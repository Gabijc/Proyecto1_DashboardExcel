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HackIO\Proyecto\Proyecto1_DashboardExcel\"/>
    </mc:Choice>
  </mc:AlternateContent>
  <xr:revisionPtr revIDLastSave="0" documentId="13_ncr:1_{1C7296C2-09FE-448D-B316-725B64C11D6E}" xr6:coauthVersionLast="47" xr6:coauthVersionMax="47" xr10:uidLastSave="{00000000-0000-0000-0000-000000000000}"/>
  <bookViews>
    <workbookView xWindow="-98" yWindow="-98" windowWidth="21795" windowHeight="12975" activeTab="1" xr2:uid="{39B1D72F-D70D-418B-BF1D-BF0CBE97DD5E}"/>
  </bookViews>
  <sheets>
    <sheet name="Dashboard" sheetId="2" r:id="rId1"/>
    <sheet name="Análisis" sheetId="1" r:id="rId2"/>
  </sheets>
  <externalReferences>
    <externalReference r:id="rId3"/>
    <externalReference r:id="rId4"/>
  </externalReferences>
  <definedNames>
    <definedName name="Dat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C18" i="1"/>
  <c r="C7" i="1"/>
  <c r="C5" i="1"/>
  <c r="C4" i="1"/>
  <c r="C15" i="1" s="1"/>
  <c r="C16" i="1" s="1"/>
  <c r="O6" i="2"/>
  <c r="L6" i="2"/>
  <c r="I6" i="2"/>
  <c r="F6" i="2"/>
</calcChain>
</file>

<file path=xl/sharedStrings.xml><?xml version="1.0" encoding="utf-8"?>
<sst xmlns="http://schemas.openxmlformats.org/spreadsheetml/2006/main" count="25" uniqueCount="24">
  <si>
    <t>-</t>
  </si>
  <si>
    <t>precio medio</t>
  </si>
  <si>
    <t>area media</t>
  </si>
  <si>
    <t xml:space="preserve">precio por pie cuadrado </t>
  </si>
  <si>
    <t>numero total de vivienda</t>
  </si>
  <si>
    <t>KPIs</t>
  </si>
  <si>
    <t xml:space="preserve">Hacemos el cambio de lakhs a euros para ver el precio: </t>
  </si>
  <si>
    <t>1 lakh = 100.000 rupias</t>
  </si>
  <si>
    <t>Precio medio en rupias</t>
  </si>
  <si>
    <t>Precio medio en euros</t>
  </si>
  <si>
    <t>Suma</t>
  </si>
  <si>
    <t>Promedio</t>
  </si>
  <si>
    <t>Total</t>
  </si>
  <si>
    <t>Recuento</t>
  </si>
  <si>
    <t>area media utilizable</t>
  </si>
  <si>
    <t>1€ = 16.762,25 rupias</t>
  </si>
  <si>
    <t xml:space="preserve">Hacemos el cambio de pies cuadrados a metros cuadrados para ver el área: </t>
  </si>
  <si>
    <t>1 sqft = 0,092903 m2</t>
  </si>
  <si>
    <t>Área en m2</t>
  </si>
  <si>
    <t>Gráficos</t>
  </si>
  <si>
    <t>Por estado de la propiedad: variación del precio pro estado de la propiedad</t>
  </si>
  <si>
    <t>Por orientación de la propiedad: variación del precio en función de la orientación</t>
  </si>
  <si>
    <t>Por tamaño: built up area, carpet area y suer built up area</t>
  </si>
  <si>
    <t>por si está o no amueblado: variación del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</si>
</sst>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25">
    <xf numFmtId="0" fontId="0" fillId="0" borderId="0" xfId="0"/>
    <xf numFmtId="0" fontId="3" fillId="0" borderId="0" xfId="3"/>
    <xf numFmtId="0" fontId="4" fillId="0" borderId="0" xfId="3" applyFont="1"/>
    <xf numFmtId="43" fontId="0" fillId="0" borderId="0" xfId="1" applyFont="1" applyFill="1" applyBorder="1" applyAlignment="1"/>
    <xf numFmtId="9" fontId="2" fillId="0" borderId="0" xfId="2" applyFont="1" applyFill="1" applyAlignment="1">
      <alignment horizontal="center"/>
    </xf>
    <xf numFmtId="164" fontId="3" fillId="0" borderId="0" xfId="3" applyNumberFormat="1" applyAlignment="1">
      <alignment horizontal="left" vertical="center"/>
    </xf>
    <xf numFmtId="43" fontId="3" fillId="0" borderId="0" xfId="3" applyNumberFormat="1" applyAlignment="1">
      <alignment horizontal="center"/>
    </xf>
    <xf numFmtId="0" fontId="3" fillId="0" borderId="0" xfId="3" applyAlignment="1">
      <alignment horizontal="center"/>
    </xf>
    <xf numFmtId="0" fontId="6" fillId="0" borderId="8" xfId="0" applyFont="1" applyBorder="1"/>
    <xf numFmtId="0" fontId="0" fillId="0" borderId="8" xfId="0" applyBorder="1"/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applyFont="1"/>
    <xf numFmtId="0" fontId="5" fillId="2" borderId="2" xfId="0" applyFont="1" applyFill="1" applyBorder="1"/>
    <xf numFmtId="0" fontId="5" fillId="2" borderId="4" xfId="0" applyFont="1" applyFill="1" applyBorder="1"/>
    <xf numFmtId="4" fontId="7" fillId="0" borderId="5" xfId="0" applyNumberFormat="1" applyFont="1" applyBorder="1" applyAlignment="1">
      <alignment horizontal="center"/>
    </xf>
    <xf numFmtId="43" fontId="7" fillId="0" borderId="2" xfId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4" fontId="7" fillId="0" borderId="6" xfId="0" applyNumberFormat="1" applyFont="1" applyBorder="1" applyAlignment="1">
      <alignment horizontal="center"/>
    </xf>
    <xf numFmtId="4" fontId="7" fillId="0" borderId="7" xfId="0" applyNumberFormat="1" applyFont="1" applyBorder="1" applyAlignment="1">
      <alignment horizontal="center"/>
    </xf>
    <xf numFmtId="0" fontId="5" fillId="2" borderId="1" xfId="0" applyFont="1" applyFill="1" applyBorder="1"/>
    <xf numFmtId="165" fontId="7" fillId="0" borderId="1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</cellXfs>
  <cellStyles count="4">
    <cellStyle name="Millares" xfId="1" builtinId="3"/>
    <cellStyle name="Normal" xfId="0" builtinId="0"/>
    <cellStyle name="Normal 2" xfId="3" xr:uid="{49810BB2-6E24-44E5-BF8F-4C25D52B3044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Gabijc/Laboratorio-Excel.git" TargetMode="External"/><Relationship Id="rId1" Type="http://schemas.openxmlformats.org/officeDocument/2006/relationships/hyperlink" Target="#an&#225;lisi!C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556148</xdr:colOff>
      <xdr:row>2</xdr:row>
      <xdr:rowOff>10698</xdr:rowOff>
    </xdr:from>
    <xdr:to>
      <xdr:col>7</xdr:col>
      <xdr:colOff>217301</xdr:colOff>
      <xdr:row>6</xdr:row>
      <xdr:rowOff>172027</xdr:rowOff>
    </xdr:to>
    <xdr:sp macro="" textlink="">
      <xdr:nvSpPr>
        <xdr:cNvPr id="2" name="Rectángulo redondead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B544B9-3EE3-4865-A542-D9C02C364CAA}"/>
            </a:ext>
          </a:extLst>
        </xdr:cNvPr>
        <xdr:cNvSpPr/>
      </xdr:nvSpPr>
      <xdr:spPr>
        <a:xfrm>
          <a:off x="3146948" y="410748"/>
          <a:ext cx="1947153" cy="961429"/>
        </a:xfrm>
        <a:prstGeom prst="roundRect">
          <a:avLst/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s-ES_tradnl" sz="2400" b="0" i="0" u="none" strike="noStrike">
            <a:solidFill>
              <a:srgbClr val="000000"/>
            </a:solidFill>
            <a:latin typeface="+mn-lt"/>
            <a:ea typeface="+mn-ea"/>
            <a:cs typeface="Algerian" panose="020F0502020204030204" pitchFamily="34" charset="0"/>
          </a:endParaRPr>
        </a:p>
      </xdr:txBody>
    </xdr:sp>
    <xdr:clientData/>
  </xdr:twoCellAnchor>
  <xdr:twoCellAnchor>
    <xdr:from>
      <xdr:col>0</xdr:col>
      <xdr:colOff>707940</xdr:colOff>
      <xdr:row>0</xdr:row>
      <xdr:rowOff>43865</xdr:rowOff>
    </xdr:from>
    <xdr:to>
      <xdr:col>18</xdr:col>
      <xdr:colOff>424763</xdr:colOff>
      <xdr:row>41</xdr:row>
      <xdr:rowOff>11216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1C5DF12-CB59-4102-B691-320F14586A01}"/>
            </a:ext>
          </a:extLst>
        </xdr:cNvPr>
        <xdr:cNvSpPr>
          <a:spLocks/>
        </xdr:cNvSpPr>
      </xdr:nvSpPr>
      <xdr:spPr>
        <a:xfrm>
          <a:off x="707940" y="43865"/>
          <a:ext cx="13270898" cy="823505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</xdr:col>
      <xdr:colOff>102973</xdr:colOff>
      <xdr:row>0</xdr:row>
      <xdr:rowOff>193074</xdr:rowOff>
    </xdr:from>
    <xdr:to>
      <xdr:col>4</xdr:col>
      <xdr:colOff>399019</xdr:colOff>
      <xdr:row>39</xdr:row>
      <xdr:rowOff>31358</xdr:rowOff>
    </xdr:to>
    <xdr:sp macro="" textlink="">
      <xdr:nvSpPr>
        <xdr:cNvPr id="4" name="Redondear rectángulo de esquina del mismo lado 3">
          <a:extLst>
            <a:ext uri="{FF2B5EF4-FFF2-40B4-BE49-F238E27FC236}">
              <a16:creationId xmlns:a16="http://schemas.microsoft.com/office/drawing/2014/main" id="{AC3B1060-E9EE-4495-88F2-4DB6A7F3DB71}"/>
            </a:ext>
          </a:extLst>
        </xdr:cNvPr>
        <xdr:cNvSpPr/>
      </xdr:nvSpPr>
      <xdr:spPr>
        <a:xfrm rot="16200000">
          <a:off x="-1925571" y="2983618"/>
          <a:ext cx="7705934" cy="2124846"/>
        </a:xfrm>
        <a:prstGeom prst="round2SameRect">
          <a:avLst>
            <a:gd name="adj1" fmla="val 37046"/>
            <a:gd name="adj2" fmla="val 0"/>
          </a:avLst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5</xdr:col>
      <xdr:colOff>169404</xdr:colOff>
      <xdr:row>2</xdr:row>
      <xdr:rowOff>144990</xdr:rowOff>
    </xdr:from>
    <xdr:to>
      <xdr:col>7</xdr:col>
      <xdr:colOff>399019</xdr:colOff>
      <xdr:row>6</xdr:row>
      <xdr:rowOff>189949</xdr:rowOff>
    </xdr:to>
    <xdr:sp macro="" textlink="[1]Análisis!C14">
      <xdr:nvSpPr>
        <xdr:cNvPr id="5" name="Rectángulo redondeado 27">
          <a:extLst>
            <a:ext uri="{FF2B5EF4-FFF2-40B4-BE49-F238E27FC236}">
              <a16:creationId xmlns:a16="http://schemas.microsoft.com/office/drawing/2014/main" id="{C1F5488A-72F5-4968-84A7-755672EAA608}"/>
            </a:ext>
          </a:extLst>
        </xdr:cNvPr>
        <xdr:cNvSpPr/>
      </xdr:nvSpPr>
      <xdr:spPr>
        <a:xfrm>
          <a:off x="3522204" y="545040"/>
          <a:ext cx="1753615" cy="845059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s-ES_tradnl" sz="1800" b="0" i="0" u="none" strike="noStrike">
            <a:solidFill>
              <a:srgbClr val="000000"/>
            </a:solidFill>
            <a:latin typeface="+mn-lt"/>
            <a:ea typeface="+mn-ea"/>
            <a:cs typeface="Algerian" panose="020F0502020204030204" pitchFamily="34" charset="0"/>
          </a:endParaRPr>
        </a:p>
        <a:p>
          <a:pPr marL="0" indent="0" algn="ctr"/>
          <a:endParaRPr lang="es-ES_tradnl" sz="1800" b="0" i="0" u="none" strike="noStrike">
            <a:solidFill>
              <a:srgbClr val="000000"/>
            </a:solidFill>
            <a:latin typeface="+mn-lt"/>
            <a:ea typeface="+mn-ea"/>
            <a:cs typeface="Algerian" panose="020F0502020204030204" pitchFamily="34" charset="0"/>
          </a:endParaRPr>
        </a:p>
      </xdr:txBody>
    </xdr:sp>
    <xdr:clientData/>
  </xdr:twoCellAnchor>
  <xdr:twoCellAnchor>
    <xdr:from>
      <xdr:col>7</xdr:col>
      <xdr:colOff>682798</xdr:colOff>
      <xdr:row>2</xdr:row>
      <xdr:rowOff>106283</xdr:rowOff>
    </xdr:from>
    <xdr:to>
      <xdr:col>10</xdr:col>
      <xdr:colOff>178731</xdr:colOff>
      <xdr:row>6</xdr:row>
      <xdr:rowOff>189948</xdr:rowOff>
    </xdr:to>
    <xdr:sp macro="" textlink="[1]Análisis!C19">
      <xdr:nvSpPr>
        <xdr:cNvPr id="6" name="Rectángulo redondeado 31">
          <a:extLst>
            <a:ext uri="{FF2B5EF4-FFF2-40B4-BE49-F238E27FC236}">
              <a16:creationId xmlns:a16="http://schemas.microsoft.com/office/drawing/2014/main" id="{6B0BF02D-1629-4836-B297-829A739545A0}"/>
            </a:ext>
          </a:extLst>
        </xdr:cNvPr>
        <xdr:cNvSpPr/>
      </xdr:nvSpPr>
      <xdr:spPr>
        <a:xfrm>
          <a:off x="5559598" y="506333"/>
          <a:ext cx="1781933" cy="88376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s-ES_tradnl" sz="1800" b="0" i="0" u="none" strike="noStrike">
            <a:solidFill>
              <a:srgbClr val="000000"/>
            </a:solidFill>
            <a:latin typeface="+mn-lt"/>
            <a:ea typeface="+mn-ea"/>
            <a:cs typeface="Algerian" panose="020F0502020204030204" pitchFamily="34" charset="0"/>
          </a:endParaRPr>
        </a:p>
        <a:p>
          <a:pPr marL="0" indent="0" algn="ctr"/>
          <a:endParaRPr lang="es-ES_tradnl" sz="1800" b="0" i="0" u="none" strike="noStrike">
            <a:solidFill>
              <a:srgbClr val="000000"/>
            </a:solidFill>
            <a:latin typeface="+mn-lt"/>
            <a:ea typeface="+mn-ea"/>
            <a:cs typeface="Algerian" panose="020F0502020204030204" pitchFamily="34" charset="0"/>
          </a:endParaRPr>
        </a:p>
      </xdr:txBody>
    </xdr:sp>
    <xdr:clientData/>
  </xdr:twoCellAnchor>
  <xdr:twoCellAnchor>
    <xdr:from>
      <xdr:col>8</xdr:col>
      <xdr:colOff>196177</xdr:colOff>
      <xdr:row>7</xdr:row>
      <xdr:rowOff>171486</xdr:rowOff>
    </xdr:from>
    <xdr:to>
      <xdr:col>14</xdr:col>
      <xdr:colOff>496529</xdr:colOff>
      <xdr:row>18</xdr:row>
      <xdr:rowOff>129268</xdr:rowOff>
    </xdr:to>
    <xdr:sp macro="" textlink="">
      <xdr:nvSpPr>
        <xdr:cNvPr id="7" name="Rectángulo redondeado 34">
          <a:extLst>
            <a:ext uri="{FF2B5EF4-FFF2-40B4-BE49-F238E27FC236}">
              <a16:creationId xmlns:a16="http://schemas.microsoft.com/office/drawing/2014/main" id="{678ED134-C222-4655-AA6C-68253E5313ED}"/>
            </a:ext>
          </a:extLst>
        </xdr:cNvPr>
        <xdr:cNvSpPr/>
      </xdr:nvSpPr>
      <xdr:spPr>
        <a:xfrm>
          <a:off x="5834977" y="1571661"/>
          <a:ext cx="4872352" cy="2224732"/>
        </a:xfrm>
        <a:prstGeom prst="roundRect">
          <a:avLst/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4</xdr:col>
      <xdr:colOff>469446</xdr:colOff>
      <xdr:row>19</xdr:row>
      <xdr:rowOff>48563</xdr:rowOff>
    </xdr:from>
    <xdr:to>
      <xdr:col>9</xdr:col>
      <xdr:colOff>323601</xdr:colOff>
      <xdr:row>27</xdr:row>
      <xdr:rowOff>171486</xdr:rowOff>
    </xdr:to>
    <xdr:sp macro="" textlink="">
      <xdr:nvSpPr>
        <xdr:cNvPr id="8" name="Rectángulo redondeado 41">
          <a:extLst>
            <a:ext uri="{FF2B5EF4-FFF2-40B4-BE49-F238E27FC236}">
              <a16:creationId xmlns:a16="http://schemas.microsoft.com/office/drawing/2014/main" id="{7B3D0A26-3F33-42E6-9BA9-BD84899A98C0}"/>
            </a:ext>
          </a:extLst>
        </xdr:cNvPr>
        <xdr:cNvSpPr/>
      </xdr:nvSpPr>
      <xdr:spPr>
        <a:xfrm>
          <a:off x="3060246" y="3915713"/>
          <a:ext cx="3664155" cy="1723123"/>
        </a:xfrm>
        <a:prstGeom prst="roundRect">
          <a:avLst/>
        </a:prstGeom>
        <a:solidFill>
          <a:schemeClr val="bg1">
            <a:alpha val="50000"/>
          </a:schemeClr>
        </a:solidFill>
        <a:ln>
          <a:solidFill>
            <a:schemeClr val="tx2">
              <a:lumMod val="10000"/>
              <a:lumOff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9</xdr:col>
      <xdr:colOff>517909</xdr:colOff>
      <xdr:row>19</xdr:row>
      <xdr:rowOff>29257</xdr:rowOff>
    </xdr:from>
    <xdr:to>
      <xdr:col>14</xdr:col>
      <xdr:colOff>456941</xdr:colOff>
      <xdr:row>27</xdr:row>
      <xdr:rowOff>152180</xdr:rowOff>
    </xdr:to>
    <xdr:sp macro="" textlink="">
      <xdr:nvSpPr>
        <xdr:cNvPr id="9" name="Rectángulo redondeado 44">
          <a:extLst>
            <a:ext uri="{FF2B5EF4-FFF2-40B4-BE49-F238E27FC236}">
              <a16:creationId xmlns:a16="http://schemas.microsoft.com/office/drawing/2014/main" id="{D667BFD4-E5DC-4F06-934E-3EBE3FB45F1D}"/>
            </a:ext>
          </a:extLst>
        </xdr:cNvPr>
        <xdr:cNvSpPr/>
      </xdr:nvSpPr>
      <xdr:spPr>
        <a:xfrm>
          <a:off x="6918709" y="3896407"/>
          <a:ext cx="3749032" cy="1723123"/>
        </a:xfrm>
        <a:prstGeom prst="roundRect">
          <a:avLst/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8</xdr:col>
      <xdr:colOff>444779</xdr:colOff>
      <xdr:row>8</xdr:row>
      <xdr:rowOff>96537</xdr:rowOff>
    </xdr:from>
    <xdr:to>
      <xdr:col>12</xdr:col>
      <xdr:colOff>553498</xdr:colOff>
      <xdr:row>9</xdr:row>
      <xdr:rowOff>24438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20570408-3710-49BB-BD66-E075D6C2BD4E}"/>
            </a:ext>
          </a:extLst>
        </xdr:cNvPr>
        <xdr:cNvSpPr txBox="1"/>
      </xdr:nvSpPr>
      <xdr:spPr>
        <a:xfrm>
          <a:off x="6083579" y="1696737"/>
          <a:ext cx="3156719" cy="194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ES_tradnl" sz="1200" b="1" baseline="0">
              <a:solidFill>
                <a:schemeClr val="tx2">
                  <a:lumMod val="90000"/>
                  <a:lumOff val="1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Estado de la propiedad</a:t>
          </a:r>
        </a:p>
      </xdr:txBody>
    </xdr:sp>
    <xdr:clientData/>
  </xdr:twoCellAnchor>
  <xdr:twoCellAnchor>
    <xdr:from>
      <xdr:col>5</xdr:col>
      <xdr:colOff>176893</xdr:colOff>
      <xdr:row>29</xdr:row>
      <xdr:rowOff>45070</xdr:rowOff>
    </xdr:from>
    <xdr:to>
      <xdr:col>13</xdr:col>
      <xdr:colOff>641742</xdr:colOff>
      <xdr:row>39</xdr:row>
      <xdr:rowOff>65998</xdr:rowOff>
    </xdr:to>
    <xdr:sp macro="" textlink="">
      <xdr:nvSpPr>
        <xdr:cNvPr id="11" name="Rectángulo redondeado 47">
          <a:extLst>
            <a:ext uri="{FF2B5EF4-FFF2-40B4-BE49-F238E27FC236}">
              <a16:creationId xmlns:a16="http://schemas.microsoft.com/office/drawing/2014/main" id="{C8F69EEC-9617-4B53-8AE3-9BF10A859D70}"/>
            </a:ext>
          </a:extLst>
        </xdr:cNvPr>
        <xdr:cNvSpPr/>
      </xdr:nvSpPr>
      <xdr:spPr>
        <a:xfrm>
          <a:off x="3531054" y="5834910"/>
          <a:ext cx="6560849" cy="1993964"/>
        </a:xfrm>
        <a:prstGeom prst="roundRect">
          <a:avLst/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5</xdr:col>
      <xdr:colOff>174138</xdr:colOff>
      <xdr:row>19</xdr:row>
      <xdr:rowOff>99033</xdr:rowOff>
    </xdr:from>
    <xdr:to>
      <xdr:col>9</xdr:col>
      <xdr:colOff>282859</xdr:colOff>
      <xdr:row>20</xdr:row>
      <xdr:rowOff>84791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BD10AB32-633D-4A20-97DC-CB8CF6334FA3}"/>
            </a:ext>
          </a:extLst>
        </xdr:cNvPr>
        <xdr:cNvSpPr txBox="1"/>
      </xdr:nvSpPr>
      <xdr:spPr>
        <a:xfrm>
          <a:off x="3526938" y="3966183"/>
          <a:ext cx="3156721" cy="185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ES_tradnl" sz="1200" b="1" baseline="0">
              <a:solidFill>
                <a:schemeClr val="tx2">
                  <a:lumMod val="90000"/>
                  <a:lumOff val="1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Orientación de la propiedad</a:t>
          </a:r>
        </a:p>
      </xdr:txBody>
    </xdr:sp>
    <xdr:clientData/>
  </xdr:twoCellAnchor>
  <xdr:twoCellAnchor>
    <xdr:from>
      <xdr:col>14</xdr:col>
      <xdr:colOff>619125</xdr:colOff>
      <xdr:row>13</xdr:row>
      <xdr:rowOff>45050</xdr:rowOff>
    </xdr:from>
    <xdr:to>
      <xdr:col>18</xdr:col>
      <xdr:colOff>296047</xdr:colOff>
      <xdr:row>40</xdr:row>
      <xdr:rowOff>83665</xdr:rowOff>
    </xdr:to>
    <xdr:sp macro="" textlink="">
      <xdr:nvSpPr>
        <xdr:cNvPr id="13" name="Rectángulo redondeado 51">
          <a:extLst>
            <a:ext uri="{FF2B5EF4-FFF2-40B4-BE49-F238E27FC236}">
              <a16:creationId xmlns:a16="http://schemas.microsoft.com/office/drawing/2014/main" id="{8D51D8FE-334B-4E4C-A2AF-EF82E0A3A866}"/>
            </a:ext>
          </a:extLst>
        </xdr:cNvPr>
        <xdr:cNvSpPr/>
      </xdr:nvSpPr>
      <xdr:spPr>
        <a:xfrm>
          <a:off x="10829925" y="2712050"/>
          <a:ext cx="3020197" cy="5439290"/>
        </a:xfrm>
        <a:prstGeom prst="roundRect">
          <a:avLst/>
        </a:prstGeom>
        <a:solidFill>
          <a:schemeClr val="bg1"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14</xdr:col>
      <xdr:colOff>838727</xdr:colOff>
      <xdr:row>13</xdr:row>
      <xdr:rowOff>121224</xdr:rowOff>
    </xdr:from>
    <xdr:to>
      <xdr:col>17</xdr:col>
      <xdr:colOff>848569</xdr:colOff>
      <xdr:row>14</xdr:row>
      <xdr:rowOff>158430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9A416F87-3602-40D2-89C6-A4EE69A12123}"/>
            </a:ext>
          </a:extLst>
        </xdr:cNvPr>
        <xdr:cNvSpPr txBox="1"/>
      </xdr:nvSpPr>
      <xdr:spPr>
        <a:xfrm>
          <a:off x="11049527" y="2788224"/>
          <a:ext cx="2500630" cy="237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ES_tradnl" sz="1200" b="1" baseline="0">
              <a:solidFill>
                <a:schemeClr val="tx2">
                  <a:lumMod val="90000"/>
                  <a:lumOff val="1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Salario por Education level</a:t>
          </a:r>
        </a:p>
      </xdr:txBody>
    </xdr:sp>
    <xdr:clientData/>
  </xdr:twoCellAnchor>
  <xdr:twoCellAnchor>
    <xdr:from>
      <xdr:col>2</xdr:col>
      <xdr:colOff>50737</xdr:colOff>
      <xdr:row>1</xdr:row>
      <xdr:rowOff>130966</xdr:rowOff>
    </xdr:from>
    <xdr:to>
      <xdr:col>4</xdr:col>
      <xdr:colOff>312964</xdr:colOff>
      <xdr:row>10</xdr:row>
      <xdr:rowOff>154460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4C4C835-40CE-494E-8951-0DE2BA2089B8}"/>
            </a:ext>
          </a:extLst>
        </xdr:cNvPr>
        <xdr:cNvSpPr txBox="1"/>
      </xdr:nvSpPr>
      <xdr:spPr>
        <a:xfrm>
          <a:off x="1118898" y="328270"/>
          <a:ext cx="1786227" cy="186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2400" b="1">
              <a:solidFill>
                <a:schemeClr val="tx2">
                  <a:lumMod val="90000"/>
                  <a:lumOff val="10000"/>
                </a:schemeClr>
              </a:solidFill>
              <a:latin typeface="+mj-lt"/>
              <a:ea typeface="Segoe UI Symbol" panose="020B0502040204020203" pitchFamily="34" charset="0"/>
              <a:cs typeface="Segoe UI Historic" panose="020B0502040204020203" pitchFamily="34" charset="0"/>
            </a:rPr>
            <a:t>Mercado</a:t>
          </a:r>
          <a:r>
            <a:rPr lang="es-ES_tradnl" sz="2400" b="1" baseline="0">
              <a:solidFill>
                <a:schemeClr val="tx2">
                  <a:lumMod val="90000"/>
                  <a:lumOff val="10000"/>
                </a:schemeClr>
              </a:solidFill>
              <a:latin typeface="+mj-lt"/>
              <a:ea typeface="Segoe UI Symbol" panose="020B0502040204020203" pitchFamily="34" charset="0"/>
              <a:cs typeface="Segoe UI Historic" panose="020B0502040204020203" pitchFamily="34" charset="0"/>
            </a:rPr>
            <a:t> inmobiliario de Gurgaon</a:t>
          </a:r>
          <a:endParaRPr lang="es-ES_tradnl" sz="2400" b="1">
            <a:solidFill>
              <a:schemeClr val="tx2">
                <a:lumMod val="90000"/>
                <a:lumOff val="10000"/>
              </a:schemeClr>
            </a:solidFill>
            <a:latin typeface="+mj-lt"/>
            <a:ea typeface="Segoe UI Symbol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5</xdr:col>
      <xdr:colOff>716663</xdr:colOff>
      <xdr:row>29</xdr:row>
      <xdr:rowOff>157837</xdr:rowOff>
    </xdr:from>
    <xdr:to>
      <xdr:col>7</xdr:col>
      <xdr:colOff>435428</xdr:colOff>
      <xdr:row>32</xdr:row>
      <xdr:rowOff>47624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20CDE430-3C87-4FC4-9864-9D33C526743B}"/>
            </a:ext>
          </a:extLst>
        </xdr:cNvPr>
        <xdr:cNvSpPr txBox="1"/>
      </xdr:nvSpPr>
      <xdr:spPr>
        <a:xfrm>
          <a:off x="4070824" y="5947677"/>
          <a:ext cx="1242765" cy="481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ES_tradnl" sz="1200" b="1" baseline="0">
              <a:solidFill>
                <a:schemeClr val="tx2">
                  <a:lumMod val="90000"/>
                  <a:lumOff val="1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Carpet Area</a:t>
          </a:r>
        </a:p>
        <a:p>
          <a:pPr algn="l"/>
          <a:endParaRPr lang="es-ES_tradnl" sz="1100" b="1" baseline="0">
            <a:solidFill>
              <a:schemeClr val="tx1"/>
            </a:solidFill>
            <a:latin typeface="Segoe UI Symbol" panose="020B0502040204020203" pitchFamily="34" charset="0"/>
            <a:ea typeface="Segoe UI Symbol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5</xdr:col>
      <xdr:colOff>340311</xdr:colOff>
      <xdr:row>2</xdr:row>
      <xdr:rowOff>90741</xdr:rowOff>
    </xdr:from>
    <xdr:to>
      <xdr:col>7</xdr:col>
      <xdr:colOff>439317</xdr:colOff>
      <xdr:row>3</xdr:row>
      <xdr:rowOff>136835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780BF7AF-E295-4786-BEC0-7FB5C6FBBDE7}"/>
            </a:ext>
          </a:extLst>
        </xdr:cNvPr>
        <xdr:cNvSpPr txBox="1"/>
      </xdr:nvSpPr>
      <xdr:spPr>
        <a:xfrm>
          <a:off x="3693111" y="490791"/>
          <a:ext cx="1623006" cy="2461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200" b="1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Precio medio</a:t>
          </a:r>
        </a:p>
      </xdr:txBody>
    </xdr:sp>
    <xdr:clientData/>
  </xdr:twoCellAnchor>
  <xdr:twoCellAnchor>
    <xdr:from>
      <xdr:col>8</xdr:col>
      <xdr:colOff>246790</xdr:colOff>
      <xdr:row>2</xdr:row>
      <xdr:rowOff>77925</xdr:rowOff>
    </xdr:from>
    <xdr:to>
      <xdr:col>10</xdr:col>
      <xdr:colOff>494587</xdr:colOff>
      <xdr:row>3</xdr:row>
      <xdr:rowOff>143405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A117ADEA-9A2E-4666-A408-35796B8BE7E9}"/>
            </a:ext>
          </a:extLst>
        </xdr:cNvPr>
        <xdr:cNvSpPr txBox="1"/>
      </xdr:nvSpPr>
      <xdr:spPr>
        <a:xfrm>
          <a:off x="5886951" y="472532"/>
          <a:ext cx="1771797" cy="2627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200" b="1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Precio por sqft</a:t>
          </a:r>
        </a:p>
      </xdr:txBody>
    </xdr:sp>
    <xdr:clientData/>
  </xdr:twoCellAnchor>
  <xdr:twoCellAnchor>
    <xdr:from>
      <xdr:col>10</xdr:col>
      <xdr:colOff>581428</xdr:colOff>
      <xdr:row>2</xdr:row>
      <xdr:rowOff>103473</xdr:rowOff>
    </xdr:from>
    <xdr:to>
      <xdr:col>13</xdr:col>
      <xdr:colOff>20410</xdr:colOff>
      <xdr:row>7</xdr:row>
      <xdr:rowOff>20223</xdr:rowOff>
    </xdr:to>
    <xdr:sp macro="" textlink="[1]Análisis!C31">
      <xdr:nvSpPr>
        <xdr:cNvPr id="23" name="Rectángulo redondeado 27">
          <a:extLst>
            <a:ext uri="{FF2B5EF4-FFF2-40B4-BE49-F238E27FC236}">
              <a16:creationId xmlns:a16="http://schemas.microsoft.com/office/drawing/2014/main" id="{147344C8-BD4E-4B08-8FCD-7C04F97DDF5F}"/>
            </a:ext>
          </a:extLst>
        </xdr:cNvPr>
        <xdr:cNvSpPr/>
      </xdr:nvSpPr>
      <xdr:spPr>
        <a:xfrm>
          <a:off x="7744228" y="503523"/>
          <a:ext cx="1724982" cy="91687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US" sz="1800" b="0" i="0" u="none" strike="noStrike">
            <a:solidFill>
              <a:srgbClr val="000000"/>
            </a:solidFill>
            <a:latin typeface="Aptos Narrow"/>
            <a:ea typeface="+mn-ea"/>
            <a:cs typeface="Algerian" panose="020F0502020204030204" pitchFamily="34" charset="0"/>
          </a:endParaRPr>
        </a:p>
        <a:p>
          <a:pPr marL="0" indent="0" algn="ctr"/>
          <a:endParaRPr lang="es-ES_tradnl" sz="1800" b="0" i="0" u="none" strike="noStrike">
            <a:solidFill>
              <a:srgbClr val="000000"/>
            </a:solidFill>
            <a:latin typeface="+mn-lt"/>
            <a:ea typeface="+mn-ea"/>
            <a:cs typeface="Algerian" panose="020F0502020204030204" pitchFamily="34" charset="0"/>
          </a:endParaRPr>
        </a:p>
      </xdr:txBody>
    </xdr:sp>
    <xdr:clientData/>
  </xdr:twoCellAnchor>
  <xdr:twoCellAnchor>
    <xdr:from>
      <xdr:col>10</xdr:col>
      <xdr:colOff>640722</xdr:colOff>
      <xdr:row>2</xdr:row>
      <xdr:rowOff>88220</xdr:rowOff>
    </xdr:from>
    <xdr:to>
      <xdr:col>13</xdr:col>
      <xdr:colOff>169015</xdr:colOff>
      <xdr:row>4</xdr:row>
      <xdr:rowOff>159014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6913F926-8895-4454-AA97-310A7EC91357}"/>
            </a:ext>
          </a:extLst>
        </xdr:cNvPr>
        <xdr:cNvSpPr txBox="1"/>
      </xdr:nvSpPr>
      <xdr:spPr>
        <a:xfrm>
          <a:off x="7803522" y="488270"/>
          <a:ext cx="1814293" cy="470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200" b="1" baseline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Nº total viviendas</a:t>
          </a:r>
        </a:p>
        <a:p>
          <a:endParaRPr lang="es-ES_tradnl" sz="1100" b="0">
            <a:solidFill>
              <a:schemeClr val="bg2">
                <a:lumMod val="50000"/>
              </a:schemeClr>
            </a:solidFill>
            <a:latin typeface="Segoe UI Symbol" panose="020B0502040204020203" pitchFamily="34" charset="0"/>
            <a:ea typeface="Segoe UI Symbol" panose="020B0502040204020203" pitchFamily="34" charset="0"/>
            <a:cs typeface="Segoe UI Historic" panose="020B0502040204020203" pitchFamily="34" charset="0"/>
          </a:endParaRPr>
        </a:p>
        <a:p>
          <a:endParaRPr lang="es-ES_tradnl" sz="1100" b="0">
            <a:solidFill>
              <a:schemeClr val="bg2">
                <a:lumMod val="50000"/>
              </a:schemeClr>
            </a:solidFill>
            <a:latin typeface="Segoe UI Symbol" panose="020B0502040204020203" pitchFamily="34" charset="0"/>
            <a:ea typeface="Segoe UI Symbol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13</xdr:col>
      <xdr:colOff>224516</xdr:colOff>
      <xdr:row>2</xdr:row>
      <xdr:rowOff>88448</xdr:rowOff>
    </xdr:from>
    <xdr:to>
      <xdr:col>15</xdr:col>
      <xdr:colOff>149677</xdr:colOff>
      <xdr:row>7</xdr:row>
      <xdr:rowOff>32971</xdr:rowOff>
    </xdr:to>
    <xdr:sp macro="" textlink="[1]Análisis!C35">
      <xdr:nvSpPr>
        <xdr:cNvPr id="25" name="Rectángulo redondeado 27">
          <a:extLst>
            <a:ext uri="{FF2B5EF4-FFF2-40B4-BE49-F238E27FC236}">
              <a16:creationId xmlns:a16="http://schemas.microsoft.com/office/drawing/2014/main" id="{D33BF3EB-6A92-4129-A469-5C38E6BBF7B1}"/>
            </a:ext>
          </a:extLst>
        </xdr:cNvPr>
        <xdr:cNvSpPr/>
      </xdr:nvSpPr>
      <xdr:spPr>
        <a:xfrm>
          <a:off x="9673316" y="488498"/>
          <a:ext cx="1768249" cy="944648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s-ES_tradnl" sz="1800" b="0" i="0" u="none" strike="noStrike">
            <a:solidFill>
              <a:srgbClr val="000000"/>
            </a:solidFill>
            <a:latin typeface="+mn-lt"/>
            <a:ea typeface="+mn-ea"/>
            <a:cs typeface="Algerian" panose="020F0502020204030204" pitchFamily="34" charset="0"/>
          </a:endParaRPr>
        </a:p>
      </xdr:txBody>
    </xdr:sp>
    <xdr:clientData/>
  </xdr:twoCellAnchor>
  <xdr:twoCellAnchor>
    <xdr:from>
      <xdr:col>14</xdr:col>
      <xdr:colOff>86845</xdr:colOff>
      <xdr:row>2</xdr:row>
      <xdr:rowOff>134984</xdr:rowOff>
    </xdr:from>
    <xdr:to>
      <xdr:col>16</xdr:col>
      <xdr:colOff>107202</xdr:colOff>
      <xdr:row>5</xdr:row>
      <xdr:rowOff>8473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9E524CFB-BA99-4C3F-A06E-23995D895003}"/>
            </a:ext>
          </a:extLst>
        </xdr:cNvPr>
        <xdr:cNvSpPr txBox="1"/>
      </xdr:nvSpPr>
      <xdr:spPr>
        <a:xfrm>
          <a:off x="10299006" y="529591"/>
          <a:ext cx="1809696" cy="465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1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Área</a:t>
          </a:r>
        </a:p>
      </xdr:txBody>
    </xdr:sp>
    <xdr:clientData/>
  </xdr:twoCellAnchor>
  <xdr:twoCellAnchor>
    <xdr:from>
      <xdr:col>10</xdr:col>
      <xdr:colOff>78851</xdr:colOff>
      <xdr:row>19</xdr:row>
      <xdr:rowOff>101795</xdr:rowOff>
    </xdr:from>
    <xdr:to>
      <xdr:col>16</xdr:col>
      <xdr:colOff>22267</xdr:colOff>
      <xdr:row>20</xdr:row>
      <xdr:rowOff>78380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AF4FF67B-162E-4835-BF49-C21C0945BC62}"/>
            </a:ext>
          </a:extLst>
        </xdr:cNvPr>
        <xdr:cNvSpPr txBox="1"/>
      </xdr:nvSpPr>
      <xdr:spPr>
        <a:xfrm>
          <a:off x="7241651" y="3968945"/>
          <a:ext cx="4782116" cy="176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ES_tradnl" sz="1200" b="1" baseline="0">
              <a:solidFill>
                <a:schemeClr val="tx2">
                  <a:lumMod val="90000"/>
                  <a:lumOff val="1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Furnishing type</a:t>
          </a:r>
        </a:p>
      </xdr:txBody>
    </xdr:sp>
    <xdr:clientData/>
  </xdr:twoCellAnchor>
  <xdr:twoCellAnchor>
    <xdr:from>
      <xdr:col>17</xdr:col>
      <xdr:colOff>421821</xdr:colOff>
      <xdr:row>40</xdr:row>
      <xdr:rowOff>20411</xdr:rowOff>
    </xdr:from>
    <xdr:to>
      <xdr:col>18</xdr:col>
      <xdr:colOff>673555</xdr:colOff>
      <xdr:row>41</xdr:row>
      <xdr:rowOff>61232</xdr:rowOff>
    </xdr:to>
    <xdr:sp macro="" textlink="">
      <xdr:nvSpPr>
        <xdr:cNvPr id="38" name="CuadroTexto 3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4303A0-1998-4BF2-A9AB-8B7EA14E8CED}"/>
            </a:ext>
          </a:extLst>
        </xdr:cNvPr>
        <xdr:cNvSpPr txBox="1"/>
      </xdr:nvSpPr>
      <xdr:spPr>
        <a:xfrm>
          <a:off x="13123409" y="8088086"/>
          <a:ext cx="1104221" cy="2408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kern="1200">
              <a:solidFill>
                <a:schemeClr val="tx2">
                  <a:lumMod val="90000"/>
                  <a:lumOff val="10000"/>
                </a:schemeClr>
              </a:solidFill>
            </a:rPr>
            <a:t>GitHub-Gabijc</a:t>
          </a:r>
        </a:p>
      </xdr:txBody>
    </xdr:sp>
    <xdr:clientData/>
  </xdr:twoCellAnchor>
  <xdr:twoCellAnchor>
    <xdr:from>
      <xdr:col>6</xdr:col>
      <xdr:colOff>513848</xdr:colOff>
      <xdr:row>5</xdr:row>
      <xdr:rowOff>144128</xdr:rowOff>
    </xdr:from>
    <xdr:to>
      <xdr:col>7</xdr:col>
      <xdr:colOff>263189</xdr:colOff>
      <xdr:row>6</xdr:row>
      <xdr:rowOff>144128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3AD5A42D-C598-4CE9-AD4B-2E52C156D88F}"/>
            </a:ext>
          </a:extLst>
        </xdr:cNvPr>
        <xdr:cNvSpPr txBox="1"/>
      </xdr:nvSpPr>
      <xdr:spPr>
        <a:xfrm>
          <a:off x="4628648" y="1144253"/>
          <a:ext cx="511341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1.470</a:t>
          </a:r>
        </a:p>
      </xdr:txBody>
    </xdr:sp>
    <xdr:clientData/>
  </xdr:twoCellAnchor>
  <xdr:twoCellAnchor>
    <xdr:from>
      <xdr:col>9</xdr:col>
      <xdr:colOff>352924</xdr:colOff>
      <xdr:row>5</xdr:row>
      <xdr:rowOff>108534</xdr:rowOff>
    </xdr:from>
    <xdr:to>
      <xdr:col>10</xdr:col>
      <xdr:colOff>219324</xdr:colOff>
      <xdr:row>6</xdr:row>
      <xdr:rowOff>106529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9A25D6CA-68E9-49D9-B642-D770CB4998BC}"/>
            </a:ext>
          </a:extLst>
        </xdr:cNvPr>
        <xdr:cNvSpPr txBox="1"/>
      </xdr:nvSpPr>
      <xdr:spPr>
        <a:xfrm>
          <a:off x="6753724" y="1108659"/>
          <a:ext cx="628400" cy="198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18 - 60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bri\HackIO\Laboratorios\Laboratorio-Excel\Dashboard%20IBM.xlsx" TargetMode="External"/><Relationship Id="rId1" Type="http://schemas.openxmlformats.org/officeDocument/2006/relationships/externalLinkPath" Target="/Users/gabri/HackIO/Laboratorios/Laboratorio-Excel/Dashboard%20IB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bri\HackIO\Proyecto\Proyecto1_DashboardExcel\EXCEL%20FINAL%20FINAL&#205;SIMO.xlsx" TargetMode="External"/><Relationship Id="rId1" Type="http://schemas.openxmlformats.org/officeDocument/2006/relationships/externalLinkPath" Target="EXCEL%20FINAL%20FINAL&#205;SI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Análisis"/>
    </sheetNames>
    <sheetDataSet>
      <sheetData sheetId="0"/>
      <sheetData sheetId="1">
        <row r="7">
          <cell r="B7" t="str">
            <v>CF age Band</v>
          </cell>
        </row>
        <row r="8">
          <cell r="G8"/>
        </row>
        <row r="10">
          <cell r="H10"/>
        </row>
        <row r="19">
          <cell r="C19">
            <v>36.934782608695649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blema datos"/>
      <sheetName val="Descripción datos"/>
      <sheetName val="Análisis"/>
      <sheetName val="Estadísticos"/>
      <sheetName val="Correlaciones"/>
      <sheetName val="Nulos y Duplicados"/>
      <sheetName val="Gráficos"/>
      <sheetName val="Datos limpios"/>
      <sheetName val="datos numéricos"/>
      <sheetName val="Datos en bruto"/>
      <sheetName val="Bibliografía"/>
    </sheetNames>
    <sheetDataSet>
      <sheetData sheetId="0"/>
      <sheetData sheetId="1"/>
      <sheetData sheetId="2"/>
      <sheetData sheetId="3">
        <row r="45">
          <cell r="C45">
            <v>170.93796096200768</v>
          </cell>
        </row>
        <row r="79">
          <cell r="C79">
            <v>9386.1692103516925</v>
          </cell>
        </row>
        <row r="239">
          <cell r="C239">
            <v>2543.8067105985751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1664C-E6FC-4019-81C2-B7B182ADC676}">
  <sheetPr>
    <tabColor rgb="FFFFFF00"/>
  </sheetPr>
  <dimension ref="F6:V21"/>
  <sheetViews>
    <sheetView showGridLines="0" topLeftCell="A4" zoomScale="70" zoomScaleNormal="70" workbookViewId="0">
      <selection activeCell="V23" sqref="V23"/>
    </sheetView>
  </sheetViews>
  <sheetFormatPr baseColWidth="10" defaultRowHeight="15.75" x14ac:dyDescent="0.5"/>
  <cols>
    <col min="1" max="1" width="10.6640625" style="1"/>
    <col min="2" max="2" width="4.265625" style="1" customWidth="1"/>
    <col min="3" max="14" width="10.6640625" style="1"/>
    <col min="15" max="15" width="15.1328125" style="1" bestFit="1" customWidth="1"/>
    <col min="16" max="16" width="9.9296875" style="1" bestFit="1" customWidth="1"/>
    <col min="17" max="17" width="9.796875" style="1" bestFit="1" customWidth="1"/>
    <col min="18" max="18" width="11.9296875" style="1" bestFit="1" customWidth="1"/>
    <col min="19" max="16384" width="10.6640625" style="1"/>
  </cols>
  <sheetData>
    <row r="6" spans="6:22" x14ac:dyDescent="0.5">
      <c r="F6" s="4" t="e">
        <f>GETPIVOTDATA("Attrition",[1]Análisis!$B$7,"Attrition","no")</f>
        <v>#REF!</v>
      </c>
      <c r="G6" s="4"/>
      <c r="I6" s="5">
        <f>[1]Análisis!C19</f>
        <v>36.934782608695649</v>
      </c>
      <c r="J6" s="5"/>
      <c r="L6" s="6">
        <f>[1]Análisis!G8</f>
        <v>0</v>
      </c>
      <c r="M6" s="7"/>
      <c r="O6" s="6">
        <f>[1]Análisis!H10</f>
        <v>0</v>
      </c>
      <c r="P6" s="7"/>
    </row>
    <row r="7" spans="6:22" x14ac:dyDescent="0.5">
      <c r="F7" s="4"/>
      <c r="G7" s="4"/>
      <c r="I7" s="5"/>
      <c r="J7" s="5"/>
      <c r="L7" s="7"/>
      <c r="M7" s="7"/>
      <c r="O7" s="7"/>
      <c r="P7" s="7"/>
    </row>
    <row r="9" spans="6:22" ht="21" x14ac:dyDescent="0.65">
      <c r="V9" s="2"/>
    </row>
    <row r="10" spans="6:22" x14ac:dyDescent="0.5">
      <c r="O10"/>
      <c r="P10"/>
      <c r="Q10"/>
      <c r="R10"/>
    </row>
    <row r="11" spans="6:22" x14ac:dyDescent="0.5">
      <c r="O11"/>
      <c r="P11"/>
      <c r="Q11"/>
      <c r="R11"/>
    </row>
    <row r="12" spans="6:22" x14ac:dyDescent="0.5">
      <c r="O12"/>
      <c r="P12"/>
      <c r="Q12"/>
      <c r="R12"/>
    </row>
    <row r="13" spans="6:22" x14ac:dyDescent="0.5">
      <c r="O13"/>
      <c r="P13"/>
      <c r="Q13"/>
      <c r="R13"/>
    </row>
    <row r="14" spans="6:22" x14ac:dyDescent="0.5">
      <c r="O14"/>
      <c r="P14"/>
      <c r="Q14"/>
      <c r="R14"/>
      <c r="T14" s="3"/>
    </row>
    <row r="15" spans="6:22" x14ac:dyDescent="0.5">
      <c r="O15"/>
      <c r="P15"/>
      <c r="Q15"/>
      <c r="R15"/>
      <c r="T15" s="3"/>
      <c r="U15"/>
    </row>
    <row r="16" spans="6:22" x14ac:dyDescent="0.5">
      <c r="O16"/>
      <c r="P16"/>
      <c r="Q16"/>
      <c r="R16"/>
      <c r="U16"/>
    </row>
    <row r="17" spans="21:21" x14ac:dyDescent="0.5">
      <c r="U17"/>
    </row>
    <row r="18" spans="21:21" x14ac:dyDescent="0.5">
      <c r="U18"/>
    </row>
    <row r="19" spans="21:21" x14ac:dyDescent="0.5">
      <c r="U19" t="s">
        <v>0</v>
      </c>
    </row>
    <row r="20" spans="21:21" x14ac:dyDescent="0.5">
      <c r="U20"/>
    </row>
    <row r="21" spans="21:21" x14ac:dyDescent="0.5">
      <c r="U21"/>
    </row>
  </sheetData>
  <mergeCells count="4">
    <mergeCell ref="F6:G7"/>
    <mergeCell ref="I6:J7"/>
    <mergeCell ref="L6:M7"/>
    <mergeCell ref="O6:P7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28F6-2A3C-4764-A169-F13D0706F903}">
  <sheetPr>
    <tabColor rgb="FFFFFF00"/>
  </sheetPr>
  <dimension ref="B2:R26"/>
  <sheetViews>
    <sheetView showGridLines="0" tabSelected="1" zoomScale="85" zoomScaleNormal="85" workbookViewId="0">
      <selection activeCell="D21" sqref="D21"/>
    </sheetView>
  </sheetViews>
  <sheetFormatPr baseColWidth="10" defaultRowHeight="14.25" x14ac:dyDescent="0.45"/>
  <cols>
    <col min="2" max="2" width="20.06640625" bestFit="1" customWidth="1"/>
    <col min="3" max="3" width="13.9296875" bestFit="1" customWidth="1"/>
  </cols>
  <sheetData>
    <row r="2" spans="2:18" ht="18.399999999999999" thickBot="1" x14ac:dyDescent="0.6">
      <c r="B2" s="8" t="s">
        <v>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2:18" ht="14.65" thickBot="1" x14ac:dyDescent="0.5"/>
    <row r="4" spans="2:18" x14ac:dyDescent="0.45">
      <c r="B4" s="10" t="s">
        <v>1</v>
      </c>
      <c r="C4" s="17">
        <f>[2]Estadísticos!$C$45</f>
        <v>170.93796096200768</v>
      </c>
    </row>
    <row r="5" spans="2:18" x14ac:dyDescent="0.45">
      <c r="B5" s="11" t="s">
        <v>14</v>
      </c>
      <c r="C5" s="20">
        <f>[2]Estadísticos!$C$239</f>
        <v>2543.8067105985751</v>
      </c>
    </row>
    <row r="6" spans="2:18" x14ac:dyDescent="0.45">
      <c r="B6" s="11" t="s">
        <v>4</v>
      </c>
      <c r="C6" s="24">
        <v>3016</v>
      </c>
    </row>
    <row r="7" spans="2:18" ht="14.65" thickBot="1" x14ac:dyDescent="0.5">
      <c r="B7" s="12" t="s">
        <v>3</v>
      </c>
      <c r="C7" s="21">
        <f>[2]Estadísticos!$C$79</f>
        <v>9386.1692103516925</v>
      </c>
    </row>
    <row r="10" spans="2:18" x14ac:dyDescent="0.45">
      <c r="B10" s="13" t="s">
        <v>6</v>
      </c>
      <c r="F10" s="13" t="s">
        <v>16</v>
      </c>
    </row>
    <row r="12" spans="2:18" x14ac:dyDescent="0.45">
      <c r="B12" s="14" t="s">
        <v>7</v>
      </c>
      <c r="C12" s="14"/>
      <c r="F12" t="s">
        <v>17</v>
      </c>
    </row>
    <row r="13" spans="2:18" ht="14.65" thickBot="1" x14ac:dyDescent="0.5">
      <c r="B13" s="14" t="s">
        <v>15</v>
      </c>
      <c r="C13" s="14"/>
    </row>
    <row r="14" spans="2:18" ht="14.65" thickBot="1" x14ac:dyDescent="0.5">
      <c r="B14" s="14"/>
      <c r="C14" s="14"/>
      <c r="F14" s="22" t="s">
        <v>18</v>
      </c>
      <c r="G14" s="23">
        <f>C5*0.092903</f>
        <v>236.32727483473943</v>
      </c>
    </row>
    <row r="15" spans="2:18" x14ac:dyDescent="0.45">
      <c r="B15" s="15" t="s">
        <v>8</v>
      </c>
      <c r="C15" s="18">
        <f>C4*100000</f>
        <v>17093796.096200768</v>
      </c>
    </row>
    <row r="16" spans="2:18" ht="14.65" thickBot="1" x14ac:dyDescent="0.5">
      <c r="B16" s="16" t="s">
        <v>9</v>
      </c>
      <c r="C16" s="19">
        <f>C15/16762.25</f>
        <v>1019.7793313070005</v>
      </c>
    </row>
    <row r="17" spans="2:18" ht="14.65" thickBot="1" x14ac:dyDescent="0.5"/>
    <row r="18" spans="2:18" ht="14.65" thickBot="1" x14ac:dyDescent="0.5">
      <c r="B18" s="22" t="s">
        <v>9</v>
      </c>
      <c r="C18" s="23">
        <f>C7/16762.25</f>
        <v>0.55995878896637941</v>
      </c>
    </row>
    <row r="21" spans="2:18" ht="18.399999999999999" thickBot="1" x14ac:dyDescent="0.6">
      <c r="B21" s="8" t="s">
        <v>19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3" spans="2:18" x14ac:dyDescent="0.45">
      <c r="B23" t="s">
        <v>20</v>
      </c>
    </row>
    <row r="24" spans="2:18" x14ac:dyDescent="0.45">
      <c r="B24" t="s">
        <v>21</v>
      </c>
    </row>
    <row r="25" spans="2:18" x14ac:dyDescent="0.45">
      <c r="B25" t="s">
        <v>22</v>
      </c>
    </row>
    <row r="26" spans="2:18" x14ac:dyDescent="0.45"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Análisis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jiménez</dc:creator>
  <cp:lastModifiedBy>gabriela jiménez</cp:lastModifiedBy>
  <dcterms:created xsi:type="dcterms:W3CDTF">2024-11-12T19:02:02Z</dcterms:created>
  <dcterms:modified xsi:type="dcterms:W3CDTF">2024-11-12T20:36:44Z</dcterms:modified>
</cp:coreProperties>
</file>