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HackIO\Proyecto\Proyecto1_DashboardExcel\"/>
    </mc:Choice>
  </mc:AlternateContent>
  <xr:revisionPtr revIDLastSave="0" documentId="13_ncr:1_{F8F29E89-2786-4A8C-B9A0-E97AB6DFDF35}" xr6:coauthVersionLast="47" xr6:coauthVersionMax="47" xr10:uidLastSave="{00000000-0000-0000-0000-000000000000}"/>
  <bookViews>
    <workbookView xWindow="-98" yWindow="-98" windowWidth="21795" windowHeight="12975" xr2:uid="{39B1D72F-D70D-418B-BF1D-BF0CBE97DD5E}"/>
  </bookViews>
  <sheets>
    <sheet name="Dashboard" sheetId="2" r:id="rId1"/>
    <sheet name="Análisis" sheetId="1" r:id="rId2"/>
  </sheets>
  <externalReferences>
    <externalReference r:id="rId3"/>
    <externalReference r:id="rId4"/>
  </externalReferences>
  <definedNames>
    <definedName name="Datos">#REF!</definedName>
    <definedName name="SegmentaciónDeDatos_BHK">#N/A</definedName>
    <definedName name="SegmentaciónDeDatos_Furnishing_type_descripction">#N/A</definedName>
    <definedName name="SegmentaciónDeDatos_Rangos_de_precios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E56" i="1" s="1"/>
  <c r="D57" i="1"/>
  <c r="E57" i="1" s="1"/>
  <c r="D58" i="1"/>
  <c r="E58" i="1" s="1"/>
  <c r="D59" i="1"/>
  <c r="E59" i="1" s="1"/>
  <c r="D55" i="1"/>
  <c r="E55" i="1" s="1"/>
  <c r="D54" i="1"/>
  <c r="E54" i="1" s="1"/>
  <c r="D53" i="1"/>
  <c r="E53" i="1" s="1"/>
  <c r="D52" i="1"/>
  <c r="E52" i="1" s="1"/>
  <c r="D51" i="1"/>
  <c r="E51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C7" i="1" l="1"/>
  <c r="C18" i="1" s="1"/>
  <c r="C5" i="1"/>
  <c r="G14" i="1" s="1"/>
  <c r="C4" i="1"/>
  <c r="C15" i="1" s="1"/>
  <c r="C16" i="1" s="1"/>
  <c r="O6" i="2"/>
  <c r="L6" i="2"/>
  <c r="I6" i="2"/>
  <c r="F6" i="2"/>
</calcChain>
</file>

<file path=xl/sharedStrings.xml><?xml version="1.0" encoding="utf-8"?>
<sst xmlns="http://schemas.openxmlformats.org/spreadsheetml/2006/main" count="73" uniqueCount="65">
  <si>
    <t>-</t>
  </si>
  <si>
    <t>precio medio</t>
  </si>
  <si>
    <t xml:space="preserve">precio por pie cuadrado </t>
  </si>
  <si>
    <t>numero total de vivienda</t>
  </si>
  <si>
    <t>KPIs</t>
  </si>
  <si>
    <t xml:space="preserve">Hacemos el cambio de lakhs a euros para ver el precio: </t>
  </si>
  <si>
    <t>1 lakh = 100.000 rupias</t>
  </si>
  <si>
    <t>Precio medio en rupias</t>
  </si>
  <si>
    <t>Precio medio en euros</t>
  </si>
  <si>
    <t>Promedio</t>
  </si>
  <si>
    <t>area media utilizable</t>
  </si>
  <si>
    <t>1€ = 16.762,25 rupias</t>
  </si>
  <si>
    <t xml:space="preserve">Hacemos el cambio de pies cuadrados a metros cuadrados para ver el área: </t>
  </si>
  <si>
    <t>1 sqft = 0,092903 m2</t>
  </si>
  <si>
    <t>Área en m2</t>
  </si>
  <si>
    <t>Gráficos</t>
  </si>
  <si>
    <t>Por tamaño: built up area, carpet area y suer built up area</t>
  </si>
  <si>
    <t>por si está o no amueblado: variación del precio</t>
  </si>
  <si>
    <t>Etiquetas de fila</t>
  </si>
  <si>
    <t>Moderately Old</t>
  </si>
  <si>
    <t>New Property</t>
  </si>
  <si>
    <t>Old Property</t>
  </si>
  <si>
    <t>Relatively New</t>
  </si>
  <si>
    <t>Under Construction</t>
  </si>
  <si>
    <t>Total general</t>
  </si>
  <si>
    <t>Promedio de price (lakhs)</t>
  </si>
  <si>
    <t>Estado de la propiedad</t>
  </si>
  <si>
    <t>Analizamos la variación del precio en función del estado de la propiedad.</t>
  </si>
  <si>
    <t>Orientación de la propiedad</t>
  </si>
  <si>
    <t>East</t>
  </si>
  <si>
    <t>North</t>
  </si>
  <si>
    <t>North-East</t>
  </si>
  <si>
    <t>North-West</t>
  </si>
  <si>
    <t>South</t>
  </si>
  <si>
    <t>South-East</t>
  </si>
  <si>
    <t>South-West</t>
  </si>
  <si>
    <t>Unknown</t>
  </si>
  <si>
    <t>West</t>
  </si>
  <si>
    <t>Proximidad a servicios</t>
  </si>
  <si>
    <t>Metro Station</t>
  </si>
  <si>
    <t>Hotel</t>
  </si>
  <si>
    <t>College</t>
  </si>
  <si>
    <t>Airport</t>
  </si>
  <si>
    <t>Mall</t>
  </si>
  <si>
    <t>Hospital</t>
  </si>
  <si>
    <t>School</t>
  </si>
  <si>
    <t>ATM</t>
  </si>
  <si>
    <t>Mandir/Church</t>
  </si>
  <si>
    <t>Bank</t>
  </si>
  <si>
    <t>Precio medio con proximidad</t>
  </si>
  <si>
    <t>Precio medio sin proximidad</t>
  </si>
  <si>
    <t>Precio en rupias</t>
  </si>
  <si>
    <t>Precio en euros</t>
  </si>
  <si>
    <t>Alto</t>
  </si>
  <si>
    <t>Bajo</t>
  </si>
  <si>
    <t>Bueno</t>
  </si>
  <si>
    <t>Lujo</t>
  </si>
  <si>
    <t>Moderado</t>
  </si>
  <si>
    <t>Muy Alto</t>
  </si>
  <si>
    <t>Pequeña</t>
  </si>
  <si>
    <t>Mediana</t>
  </si>
  <si>
    <t>Grande</t>
  </si>
  <si>
    <t>Muy grande</t>
  </si>
  <si>
    <t>Promedio de price_per_sqft (rupias)</t>
  </si>
  <si>
    <t>Cuenta de luxury_score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</si>
</sst>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39">
    <xf numFmtId="0" fontId="0" fillId="0" borderId="0" xfId="0"/>
    <xf numFmtId="0" fontId="3" fillId="0" borderId="0" xfId="3"/>
    <xf numFmtId="43" fontId="0" fillId="0" borderId="0" xfId="1" applyFont="1" applyFill="1" applyBorder="1" applyAlignment="1"/>
    <xf numFmtId="0" fontId="5" fillId="0" borderId="8" xfId="0" applyFont="1" applyBorder="1"/>
    <xf numFmtId="0" fontId="0" fillId="0" borderId="8" xfId="0" applyBorder="1"/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4" fillId="2" borderId="2" xfId="0" applyFont="1" applyFill="1" applyBorder="1"/>
    <xf numFmtId="0" fontId="4" fillId="2" borderId="4" xfId="0" applyFont="1" applyFill="1" applyBorder="1"/>
    <xf numFmtId="4" fontId="6" fillId="0" borderId="5" xfId="0" applyNumberFormat="1" applyFont="1" applyBorder="1" applyAlignment="1">
      <alignment horizontal="center"/>
    </xf>
    <xf numFmtId="43" fontId="6" fillId="0" borderId="2" xfId="1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4" fontId="6" fillId="0" borderId="7" xfId="0" applyNumberFormat="1" applyFont="1" applyBorder="1" applyAlignment="1">
      <alignment horizontal="center"/>
    </xf>
    <xf numFmtId="0" fontId="4" fillId="2" borderId="1" xfId="0" applyFont="1" applyFill="1" applyBorder="1"/>
    <xf numFmtId="165" fontId="6" fillId="0" borderId="1" xfId="0" applyNumberFormat="1" applyFont="1" applyBorder="1" applyAlignment="1">
      <alignment horizontal="center"/>
    </xf>
    <xf numFmtId="3" fontId="6" fillId="0" borderId="6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7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2" fontId="0" fillId="0" borderId="2" xfId="0" applyNumberFormat="1" applyBorder="1" applyAlignment="1">
      <alignment horizontal="center"/>
    </xf>
    <xf numFmtId="0" fontId="7" fillId="2" borderId="3" xfId="0" applyFont="1" applyFill="1" applyBorder="1" applyAlignment="1">
      <alignment horizontal="left"/>
    </xf>
    <xf numFmtId="2" fontId="0" fillId="0" borderId="3" xfId="0" applyNumberFormat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3" fontId="0" fillId="0" borderId="1" xfId="1" applyNumberFormat="1" applyFont="1" applyFill="1" applyBorder="1" applyAlignment="1">
      <alignment horizontal="center"/>
    </xf>
    <xf numFmtId="3" fontId="0" fillId="0" borderId="9" xfId="1" applyNumberFormat="1" applyFont="1" applyFill="1" applyBorder="1" applyAlignment="1">
      <alignment horizontal="center"/>
    </xf>
    <xf numFmtId="1" fontId="0" fillId="0" borderId="0" xfId="0" applyNumberFormat="1"/>
    <xf numFmtId="43" fontId="0" fillId="0" borderId="0" xfId="1" applyFont="1"/>
    <xf numFmtId="164" fontId="0" fillId="0" borderId="0" xfId="0" applyNumberFormat="1"/>
    <xf numFmtId="9" fontId="2" fillId="0" borderId="0" xfId="2" applyFont="1" applyFill="1" applyAlignment="1">
      <alignment horizontal="center"/>
    </xf>
    <xf numFmtId="164" fontId="3" fillId="0" borderId="0" xfId="3" applyNumberFormat="1" applyAlignment="1">
      <alignment horizontal="left" vertical="center"/>
    </xf>
    <xf numFmtId="43" fontId="3" fillId="0" borderId="0" xfId="3" applyNumberFormat="1" applyAlignment="1">
      <alignment horizontal="center"/>
    </xf>
    <xf numFmtId="0" fontId="3" fillId="0" borderId="0" xfId="3" applyAlignment="1">
      <alignment horizontal="center"/>
    </xf>
  </cellXfs>
  <cellStyles count="4">
    <cellStyle name="Millares" xfId="1" builtinId="3"/>
    <cellStyle name="Normal" xfId="0" builtinId="0"/>
    <cellStyle name="Normal 2" xfId="3" xr:uid="{49810BB2-6E24-44E5-BF8F-4C25D52B3044}"/>
    <cellStyle name="Porcentaje" xfId="2" builtinId="5"/>
  </cellStyles>
  <dxfs count="4">
    <dxf>
      <numFmt numFmtId="1" formatCode="0"/>
    </dxf>
    <dxf>
      <numFmt numFmtId="1" formatCode="0"/>
    </dxf>
    <dxf>
      <numFmt numFmtId="164" formatCode="_-* #,##0_-;\-* #,##0_-;_-* &quot;-&quot;??_-;_-@_-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3" Type="http://schemas.openxmlformats.org/officeDocument/2006/relationships/externalLink" Target="externalLinks/externalLink1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769771713269087"/>
          <c:y val="2.2929007558037718E-2"/>
          <c:w val="0.69036756669107069"/>
          <c:h val="0.9064598252438689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D-4800-A7FF-A2DDDF713FF6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D-4800-A7FF-A2DDDF713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Análisis!$B$33:$B$38</c:f>
              <c:strCache>
                <c:ptCount val="5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</c:strCache>
            </c:strRef>
          </c:cat>
          <c:val>
            <c:numRef>
              <c:f>Análisis!$C$33:$C$38</c:f>
              <c:numCache>
                <c:formatCode>0</c:formatCode>
                <c:ptCount val="5"/>
                <c:pt idx="0">
                  <c:v>208.32041666666663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2-4AE9-B699-74CA8CE22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9190976"/>
        <c:axId val="1449189536"/>
      </c:barChart>
      <c:catAx>
        <c:axId val="144919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189536"/>
        <c:crosses val="autoZero"/>
        <c:auto val="1"/>
        <c:lblAlgn val="ctr"/>
        <c:lblOffset val="100"/>
        <c:noMultiLvlLbl val="0"/>
      </c:catAx>
      <c:valAx>
        <c:axId val="144918953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44919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100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4B97-9FC0-07BA4C7ED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800000"/>
        <c:axId val="158800480"/>
      </c:barChart>
      <c:catAx>
        <c:axId val="15880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800480"/>
        <c:crosses val="autoZero"/>
        <c:auto val="1"/>
        <c:lblAlgn val="ctr"/>
        <c:lblOffset val="100"/>
        <c:noMultiLvlLbl val="0"/>
      </c:catAx>
      <c:valAx>
        <c:axId val="158800480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5880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Análisis!$B$113:$B$119</c:f>
              <c:strCache>
                <c:ptCount val="6"/>
                <c:pt idx="0">
                  <c:v>Bajo</c:v>
                </c:pt>
                <c:pt idx="1">
                  <c:v>Bueno</c:v>
                </c:pt>
                <c:pt idx="2">
                  <c:v>Moderado</c:v>
                </c:pt>
                <c:pt idx="3">
                  <c:v>Alto</c:v>
                </c:pt>
                <c:pt idx="4">
                  <c:v>Muy Alto</c:v>
                </c:pt>
                <c:pt idx="5">
                  <c:v>Lujo</c:v>
                </c:pt>
              </c:strCache>
            </c:strRef>
          </c:cat>
          <c:val>
            <c:numRef>
              <c:f>Análisis!$C$113:$C$119</c:f>
              <c:numCache>
                <c:formatCode>0</c:formatCode>
                <c:ptCount val="6"/>
                <c:pt idx="0">
                  <c:v>619</c:v>
                </c:pt>
                <c:pt idx="1">
                  <c:v>656</c:v>
                </c:pt>
                <c:pt idx="2">
                  <c:v>278</c:v>
                </c:pt>
                <c:pt idx="3">
                  <c:v>334</c:v>
                </c:pt>
                <c:pt idx="4">
                  <c:v>348</c:v>
                </c:pt>
                <c:pt idx="5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33-41BE-B501-721390845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2154304"/>
        <c:axId val="1292152864"/>
      </c:barChart>
      <c:catAx>
        <c:axId val="129215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52864"/>
        <c:crosses val="autoZero"/>
        <c:auto val="1"/>
        <c:lblAlgn val="ctr"/>
        <c:lblOffset val="100"/>
        <c:noMultiLvlLbl val="0"/>
      </c:catAx>
      <c:valAx>
        <c:axId val="129215286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29215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464436016143972E-2"/>
          <c:y val="8.9309932590590807E-2"/>
          <c:w val="0.93659864674191018"/>
          <c:h val="0.746977125003767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Análisis!$B$97:$B$101</c:f>
              <c:strCache>
                <c:ptCount val="4"/>
                <c:pt idx="0">
                  <c:v>Pequeña</c:v>
                </c:pt>
                <c:pt idx="1">
                  <c:v>Mediana</c:v>
                </c:pt>
                <c:pt idx="2">
                  <c:v>Grande</c:v>
                </c:pt>
                <c:pt idx="3">
                  <c:v>Muy grande</c:v>
                </c:pt>
              </c:strCache>
            </c:strRef>
          </c:cat>
          <c:val>
            <c:numRef>
              <c:f>Análisis!$C$97:$C$101</c:f>
              <c:numCache>
                <c:formatCode>_-* #,##0_-;\-* #,##0_-;_-* "-"??_-;_-@_-</c:formatCode>
                <c:ptCount val="4"/>
                <c:pt idx="0">
                  <c:v>9317.5580065359482</c:v>
                </c:pt>
                <c:pt idx="1">
                  <c:v>8689.6506787330309</c:v>
                </c:pt>
                <c:pt idx="2">
                  <c:v>10248.86404293381</c:v>
                </c:pt>
                <c:pt idx="3">
                  <c:v>12333.682539682539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6-4CE2-884B-E14A5A74A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336992"/>
        <c:axId val="1453337472"/>
      </c:barChart>
      <c:catAx>
        <c:axId val="14533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7472"/>
        <c:crosses val="autoZero"/>
        <c:auto val="1"/>
        <c:lblAlgn val="ctr"/>
        <c:lblOffset val="100"/>
        <c:noMultiLvlLbl val="0"/>
      </c:catAx>
      <c:valAx>
        <c:axId val="1453337472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45333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 por estado de la propiedad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Análisis!$B$33:$B$38</c:f>
              <c:strCache>
                <c:ptCount val="5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</c:strCache>
            </c:strRef>
          </c:cat>
          <c:val>
            <c:numRef>
              <c:f>Análisis!$C$33:$C$38</c:f>
              <c:numCache>
                <c:formatCode>0</c:formatCode>
                <c:ptCount val="5"/>
                <c:pt idx="0">
                  <c:v>208.32041666666663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9-4178-B778-892D666FA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0564047"/>
        <c:axId val="620573647"/>
      </c:barChart>
      <c:catAx>
        <c:axId val="62056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73647"/>
        <c:crosses val="autoZero"/>
        <c:auto val="1"/>
        <c:lblAlgn val="ctr"/>
        <c:lblOffset val="100"/>
        <c:noMultiLvlLbl val="0"/>
      </c:catAx>
      <c:valAx>
        <c:axId val="62057364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6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</a:t>
            </a:r>
            <a:r>
              <a:rPr lang="en-US" baseline="0"/>
              <a:t> por orientación de la propiedad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6F-4021-9B3B-41FE3B5E2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710928"/>
        <c:axId val="1512709488"/>
      </c:barChart>
      <c:catAx>
        <c:axId val="151271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09488"/>
        <c:crosses val="autoZero"/>
        <c:auto val="1"/>
        <c:lblAlgn val="ctr"/>
        <c:lblOffset val="100"/>
        <c:noMultiLvlLbl val="0"/>
      </c:catAx>
      <c:valAx>
        <c:axId val="1512709488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1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Proximidad a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D-4598-B3BC-12CEC087B48C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ED-4598-B3BC-12CEC087B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Análisis!$B$113:$B$119</c:f>
              <c:strCache>
                <c:ptCount val="6"/>
                <c:pt idx="0">
                  <c:v>Bajo</c:v>
                </c:pt>
                <c:pt idx="1">
                  <c:v>Bueno</c:v>
                </c:pt>
                <c:pt idx="2">
                  <c:v>Moderado</c:v>
                </c:pt>
                <c:pt idx="3">
                  <c:v>Alto</c:v>
                </c:pt>
                <c:pt idx="4">
                  <c:v>Muy Alto</c:v>
                </c:pt>
                <c:pt idx="5">
                  <c:v>Lujo</c:v>
                </c:pt>
              </c:strCache>
            </c:strRef>
          </c:cat>
          <c:val>
            <c:numRef>
              <c:f>Análisis!$C$113:$C$119</c:f>
              <c:numCache>
                <c:formatCode>0</c:formatCode>
                <c:ptCount val="6"/>
                <c:pt idx="0">
                  <c:v>619</c:v>
                </c:pt>
                <c:pt idx="1">
                  <c:v>656</c:v>
                </c:pt>
                <c:pt idx="2">
                  <c:v>278</c:v>
                </c:pt>
                <c:pt idx="3">
                  <c:v>334</c:v>
                </c:pt>
                <c:pt idx="4">
                  <c:v>348</c:v>
                </c:pt>
                <c:pt idx="5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0F-438A-9F53-1A76C3B2E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6865951"/>
        <c:axId val="266857791"/>
      </c:barChart>
      <c:catAx>
        <c:axId val="26686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57791"/>
        <c:crosses val="autoZero"/>
        <c:auto val="1"/>
        <c:lblAlgn val="ctr"/>
        <c:lblOffset val="100"/>
        <c:noMultiLvlLbl val="0"/>
      </c:catAx>
      <c:valAx>
        <c:axId val="26685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6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Análisis!$B$97:$B$101</c:f>
              <c:strCache>
                <c:ptCount val="4"/>
                <c:pt idx="0">
                  <c:v>Pequeña</c:v>
                </c:pt>
                <c:pt idx="1">
                  <c:v>Mediana</c:v>
                </c:pt>
                <c:pt idx="2">
                  <c:v>Grande</c:v>
                </c:pt>
                <c:pt idx="3">
                  <c:v>Muy grande</c:v>
                </c:pt>
              </c:strCache>
            </c:strRef>
          </c:cat>
          <c:val>
            <c:numRef>
              <c:f>Análisis!$C$97:$C$101</c:f>
              <c:numCache>
                <c:formatCode>_-* #,##0_-;\-* #,##0_-;_-* "-"??_-;_-@_-</c:formatCode>
                <c:ptCount val="4"/>
                <c:pt idx="0">
                  <c:v>9317.5580065359482</c:v>
                </c:pt>
                <c:pt idx="1">
                  <c:v>8689.6506787330309</c:v>
                </c:pt>
                <c:pt idx="2">
                  <c:v>10248.86404293381</c:v>
                </c:pt>
                <c:pt idx="3">
                  <c:v>12333.682539682539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4-41EA-A21E-6AC6C6C2F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336992"/>
        <c:axId val="1453337472"/>
      </c:barChart>
      <c:catAx>
        <c:axId val="14533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7472"/>
        <c:crosses val="autoZero"/>
        <c:auto val="1"/>
        <c:lblAlgn val="ctr"/>
        <c:lblOffset val="100"/>
        <c:noMultiLvlLbl val="0"/>
      </c:catAx>
      <c:valAx>
        <c:axId val="145333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7.png"/><Relationship Id="rId18" Type="http://schemas.openxmlformats.org/officeDocument/2006/relationships/image" Target="../media/image12.png"/><Relationship Id="rId3" Type="http://schemas.openxmlformats.org/officeDocument/2006/relationships/chart" Target="../charts/chart2.xml"/><Relationship Id="rId7" Type="http://schemas.openxmlformats.org/officeDocument/2006/relationships/image" Target="../media/image1.png"/><Relationship Id="rId12" Type="http://schemas.openxmlformats.org/officeDocument/2006/relationships/image" Target="../media/image6.png"/><Relationship Id="rId17" Type="http://schemas.openxmlformats.org/officeDocument/2006/relationships/image" Target="../media/image11.png"/><Relationship Id="rId2" Type="http://schemas.openxmlformats.org/officeDocument/2006/relationships/chart" Target="../charts/chart1.xml"/><Relationship Id="rId16" Type="http://schemas.openxmlformats.org/officeDocument/2006/relationships/image" Target="../media/image10.png"/><Relationship Id="rId1" Type="http://schemas.openxmlformats.org/officeDocument/2006/relationships/hyperlink" Target="#an&#225;lisi!C6"/><Relationship Id="rId6" Type="http://schemas.openxmlformats.org/officeDocument/2006/relationships/chart" Target="../charts/chart5.xml"/><Relationship Id="rId11" Type="http://schemas.openxmlformats.org/officeDocument/2006/relationships/image" Target="../media/image5.png"/><Relationship Id="rId5" Type="http://schemas.openxmlformats.org/officeDocument/2006/relationships/chart" Target="../charts/chart4.xml"/><Relationship Id="rId15" Type="http://schemas.openxmlformats.org/officeDocument/2006/relationships/image" Target="../media/image9.png"/><Relationship Id="rId10" Type="http://schemas.openxmlformats.org/officeDocument/2006/relationships/image" Target="../media/image4.png"/><Relationship Id="rId19" Type="http://schemas.openxmlformats.org/officeDocument/2006/relationships/image" Target="../media/image13.png"/><Relationship Id="rId4" Type="http://schemas.openxmlformats.org/officeDocument/2006/relationships/chart" Target="../charts/chart3.xml"/><Relationship Id="rId9" Type="http://schemas.openxmlformats.org/officeDocument/2006/relationships/image" Target="../media/image3.png"/><Relationship Id="rId14" Type="http://schemas.openxmlformats.org/officeDocument/2006/relationships/image" Target="../media/image8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612689</xdr:colOff>
      <xdr:row>19</xdr:row>
      <xdr:rowOff>54428</xdr:rowOff>
    </xdr:from>
    <xdr:to>
      <xdr:col>14</xdr:col>
      <xdr:colOff>231690</xdr:colOff>
      <xdr:row>28</xdr:row>
      <xdr:rowOff>46686</xdr:rowOff>
    </xdr:to>
    <xdr:sp macro="" textlink="">
      <xdr:nvSpPr>
        <xdr:cNvPr id="27" name="Rectángulo redondeado 41">
          <a:extLst>
            <a:ext uri="{FF2B5EF4-FFF2-40B4-BE49-F238E27FC236}">
              <a16:creationId xmlns:a16="http://schemas.microsoft.com/office/drawing/2014/main" id="{50AF6BC0-5B86-4E8F-A0E3-8C03BD8A1D6D}"/>
            </a:ext>
          </a:extLst>
        </xdr:cNvPr>
        <xdr:cNvSpPr/>
      </xdr:nvSpPr>
      <xdr:spPr>
        <a:xfrm>
          <a:off x="7014850" y="3871232"/>
          <a:ext cx="3429001" cy="1767990"/>
        </a:xfrm>
        <a:prstGeom prst="roundRect">
          <a:avLst/>
        </a:prstGeom>
        <a:solidFill>
          <a:schemeClr val="bg1">
            <a:alpha val="50000"/>
          </a:schemeClr>
        </a:solidFill>
        <a:ln>
          <a:solidFill>
            <a:schemeClr val="tx2">
              <a:lumMod val="10000"/>
              <a:lumOff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556148</xdr:colOff>
      <xdr:row>2</xdr:row>
      <xdr:rowOff>10698</xdr:rowOff>
    </xdr:from>
    <xdr:to>
      <xdr:col>7</xdr:col>
      <xdr:colOff>217301</xdr:colOff>
      <xdr:row>6</xdr:row>
      <xdr:rowOff>172027</xdr:rowOff>
    </xdr:to>
    <xdr:sp macro="" textlink="">
      <xdr:nvSpPr>
        <xdr:cNvPr id="2" name="Rectángulo redondeado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544B9-3EE3-4865-A542-D9C02C364CAA}"/>
            </a:ext>
          </a:extLst>
        </xdr:cNvPr>
        <xdr:cNvSpPr/>
      </xdr:nvSpPr>
      <xdr:spPr>
        <a:xfrm>
          <a:off x="3146948" y="410748"/>
          <a:ext cx="1947153" cy="961429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0</xdr:colOff>
      <xdr:row>0</xdr:row>
      <xdr:rowOff>0</xdr:rowOff>
    </xdr:from>
    <xdr:to>
      <xdr:col>20</xdr:col>
      <xdr:colOff>416718</xdr:colOff>
      <xdr:row>50</xdr:row>
      <xdr:rowOff>16711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1C5DF12-CB59-4102-B691-320F14586A01}"/>
            </a:ext>
          </a:extLst>
        </xdr:cNvPr>
        <xdr:cNvSpPr>
          <a:spLocks/>
        </xdr:cNvSpPr>
      </xdr:nvSpPr>
      <xdr:spPr>
        <a:xfrm>
          <a:off x="1065069" y="0"/>
          <a:ext cx="14427127" cy="997466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</xdr:col>
      <xdr:colOff>462252</xdr:colOff>
      <xdr:row>1</xdr:row>
      <xdr:rowOff>84459</xdr:rowOff>
    </xdr:from>
    <xdr:to>
      <xdr:col>5</xdr:col>
      <xdr:colOff>298759</xdr:colOff>
      <xdr:row>47</xdr:row>
      <xdr:rowOff>150398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AC3B1060-E9EE-4495-88F2-4DB6A7F3DB71}"/>
            </a:ext>
          </a:extLst>
        </xdr:cNvPr>
        <xdr:cNvSpPr/>
      </xdr:nvSpPr>
      <xdr:spPr>
        <a:xfrm rot="16200000">
          <a:off x="-2025054" y="3835994"/>
          <a:ext cx="9227257" cy="2122507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8</xdr:col>
      <xdr:colOff>123653</xdr:colOff>
      <xdr:row>2</xdr:row>
      <xdr:rowOff>86209</xdr:rowOff>
    </xdr:from>
    <xdr:to>
      <xdr:col>10</xdr:col>
      <xdr:colOff>549436</xdr:colOff>
      <xdr:row>7</xdr:row>
      <xdr:rowOff>9995</xdr:rowOff>
    </xdr:to>
    <xdr:sp macro="" textlink="Análisis!$C$7">
      <xdr:nvSpPr>
        <xdr:cNvPr id="6" name="Rectángulo redondeado 31">
          <a:extLst>
            <a:ext uri="{FF2B5EF4-FFF2-40B4-BE49-F238E27FC236}">
              <a16:creationId xmlns:a16="http://schemas.microsoft.com/office/drawing/2014/main" id="{6B0BF02D-1629-4836-B297-829A739545A0}"/>
            </a:ext>
          </a:extLst>
        </xdr:cNvPr>
        <xdr:cNvSpPr/>
      </xdr:nvSpPr>
      <xdr:spPr>
        <a:xfrm>
          <a:off x="5763814" y="480816"/>
          <a:ext cx="1949783" cy="91030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872B1F1D-A086-4ADC-8565-F8C53830F6F3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9.386,17</a:t>
          </a:fld>
          <a:endParaRPr lang="es-ES_tradnl" sz="1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627250</xdr:colOff>
      <xdr:row>2</xdr:row>
      <xdr:rowOff>80834</xdr:rowOff>
    </xdr:from>
    <xdr:to>
      <xdr:col>5</xdr:col>
      <xdr:colOff>129149</xdr:colOff>
      <xdr:row>11</xdr:row>
      <xdr:rowOff>104329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4C4C835-40CE-494E-8951-0DE2BA2089B8}"/>
            </a:ext>
          </a:extLst>
        </xdr:cNvPr>
        <xdr:cNvSpPr txBox="1"/>
      </xdr:nvSpPr>
      <xdr:spPr>
        <a:xfrm>
          <a:off x="1688369" y="481887"/>
          <a:ext cx="1782885" cy="18282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chemeClr val="accent6">
                  <a:lumMod val="5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Mercado</a:t>
          </a:r>
          <a:r>
            <a:rPr lang="es-ES_tradnl" sz="2400" b="1" baseline="0">
              <a:solidFill>
                <a:schemeClr val="accent6">
                  <a:lumMod val="5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 inmobiliario de Gurgaon</a:t>
          </a:r>
          <a:endParaRPr lang="es-ES_tradnl" sz="2400" b="1">
            <a:solidFill>
              <a:schemeClr val="accent6">
                <a:lumMod val="50000"/>
              </a:schemeClr>
            </a:solidFill>
            <a:latin typeface="+mj-lt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435103</xdr:colOff>
      <xdr:row>2</xdr:row>
      <xdr:rowOff>71450</xdr:rowOff>
    </xdr:from>
    <xdr:to>
      <xdr:col>8</xdr:col>
      <xdr:colOff>517329</xdr:colOff>
      <xdr:row>7</xdr:row>
      <xdr:rowOff>183</xdr:rowOff>
    </xdr:to>
    <xdr:grpSp>
      <xdr:nvGrpSpPr>
        <xdr:cNvPr id="49" name="Grupo 48">
          <a:extLst>
            <a:ext uri="{FF2B5EF4-FFF2-40B4-BE49-F238E27FC236}">
              <a16:creationId xmlns:a16="http://schemas.microsoft.com/office/drawing/2014/main" id="{0427234C-A83D-036C-0886-D8364F024BFD}"/>
            </a:ext>
          </a:extLst>
        </xdr:cNvPr>
        <xdr:cNvGrpSpPr/>
      </xdr:nvGrpSpPr>
      <xdr:grpSpPr>
        <a:xfrm>
          <a:off x="3786172" y="469768"/>
          <a:ext cx="2368226" cy="924530"/>
          <a:chOff x="4192204" y="553204"/>
          <a:chExt cx="2215190" cy="861388"/>
        </a:xfrm>
      </xdr:grpSpPr>
      <xdr:sp macro="" textlink="Análisis!$C$4">
        <xdr:nvSpPr>
          <xdr:cNvPr id="5" name="Rectángulo redondeado 27">
            <a:extLst>
              <a:ext uri="{FF2B5EF4-FFF2-40B4-BE49-F238E27FC236}">
                <a16:creationId xmlns:a16="http://schemas.microsoft.com/office/drawing/2014/main" id="{C1F5488A-72F5-4968-84A7-755672EAA608}"/>
              </a:ext>
            </a:extLst>
          </xdr:cNvPr>
          <xdr:cNvSpPr/>
        </xdr:nvSpPr>
        <xdr:spPr>
          <a:xfrm>
            <a:off x="4192204" y="553204"/>
            <a:ext cx="1760418" cy="861388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E09329F-D060-482E-BFD5-730438BAD554}" type="TxLink">
              <a:rPr lang="en-US" sz="14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pPr marL="0" indent="0" algn="ctr"/>
              <a:t>170,94</a:t>
            </a:fld>
            <a:endParaRPr lang="es-ES_tradnl" sz="1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17" name="CuadroTexto 16">
            <a:extLst>
              <a:ext uri="{FF2B5EF4-FFF2-40B4-BE49-F238E27FC236}">
                <a16:creationId xmlns:a16="http://schemas.microsoft.com/office/drawing/2014/main" id="{780BF7AF-E295-4786-BEC0-7FB5C6FBBDE7}"/>
              </a:ext>
            </a:extLst>
          </xdr:cNvPr>
          <xdr:cNvSpPr txBox="1"/>
        </xdr:nvSpPr>
        <xdr:spPr>
          <a:xfrm>
            <a:off x="4777585" y="574326"/>
            <a:ext cx="1629809" cy="2502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400" b="1">
                <a:solidFill>
                  <a:schemeClr val="accent6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Precio</a:t>
            </a:r>
          </a:p>
        </xdr:txBody>
      </xdr:sp>
    </xdr:grpSp>
    <xdr:clientData/>
  </xdr:twoCellAnchor>
  <xdr:twoCellAnchor>
    <xdr:from>
      <xdr:col>8</xdr:col>
      <xdr:colOff>382861</xdr:colOff>
      <xdr:row>2</xdr:row>
      <xdr:rowOff>103439</xdr:rowOff>
    </xdr:from>
    <xdr:to>
      <xdr:col>10</xdr:col>
      <xdr:colOff>630658</xdr:colOff>
      <xdr:row>3</xdr:row>
      <xdr:rowOff>168919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A117ADEA-9A2E-4666-A408-35796B8BE7E9}"/>
            </a:ext>
          </a:extLst>
        </xdr:cNvPr>
        <xdr:cNvSpPr txBox="1"/>
      </xdr:nvSpPr>
      <xdr:spPr>
        <a:xfrm>
          <a:off x="6046834" y="511653"/>
          <a:ext cx="1778601" cy="2695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400" b="1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Precio</a:t>
          </a:r>
          <a:r>
            <a:rPr lang="es-ES_tradnl" sz="1400" b="1" baseline="0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</a:t>
          </a:r>
          <a:r>
            <a:rPr lang="es-ES_tradnl" sz="1400" b="1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por sqft</a:t>
          </a:r>
        </a:p>
      </xdr:txBody>
    </xdr:sp>
    <xdr:clientData/>
  </xdr:twoCellAnchor>
  <xdr:twoCellAnchor>
    <xdr:from>
      <xdr:col>8</xdr:col>
      <xdr:colOff>136599</xdr:colOff>
      <xdr:row>7</xdr:row>
      <xdr:rowOff>77347</xdr:rowOff>
    </xdr:from>
    <xdr:to>
      <xdr:col>10</xdr:col>
      <xdr:colOff>501760</xdr:colOff>
      <xdr:row>12</xdr:row>
      <xdr:rowOff>1</xdr:rowOff>
    </xdr:to>
    <xdr:sp macro="" textlink="Análisis!$C$6">
      <xdr:nvSpPr>
        <xdr:cNvPr id="23" name="Rectángulo redondeado 27">
          <a:extLst>
            <a:ext uri="{FF2B5EF4-FFF2-40B4-BE49-F238E27FC236}">
              <a16:creationId xmlns:a16="http://schemas.microsoft.com/office/drawing/2014/main" id="{147344C8-BD4E-4B08-8FCD-7C04F97DDF5F}"/>
            </a:ext>
          </a:extLst>
        </xdr:cNvPr>
        <xdr:cNvSpPr/>
      </xdr:nvSpPr>
      <xdr:spPr>
        <a:xfrm>
          <a:off x="5800572" y="1506097"/>
          <a:ext cx="1895965" cy="94319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8F6C5AA-87A3-45C7-B5A7-85411800EC81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3.016</a:t>
          </a:fld>
          <a:endParaRPr lang="es-ES_tradnl" sz="1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321429</xdr:colOff>
      <xdr:row>7</xdr:row>
      <xdr:rowOff>113464</xdr:rowOff>
    </xdr:from>
    <xdr:to>
      <xdr:col>10</xdr:col>
      <xdr:colOff>610050</xdr:colOff>
      <xdr:row>9</xdr:row>
      <xdr:rowOff>187483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6913F926-8895-4454-AA97-310A7EC91357}"/>
            </a:ext>
          </a:extLst>
        </xdr:cNvPr>
        <xdr:cNvSpPr txBox="1"/>
      </xdr:nvSpPr>
      <xdr:spPr>
        <a:xfrm>
          <a:off x="5985402" y="1542214"/>
          <a:ext cx="1819425" cy="4822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400" b="1" baseline="0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Nº total viviendas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400346</xdr:colOff>
      <xdr:row>7</xdr:row>
      <xdr:rowOff>77346</xdr:rowOff>
    </xdr:from>
    <xdr:to>
      <xdr:col>8</xdr:col>
      <xdr:colOff>548369</xdr:colOff>
      <xdr:row>12</xdr:row>
      <xdr:rowOff>18649</xdr:rowOff>
    </xdr:to>
    <xdr:grpSp>
      <xdr:nvGrpSpPr>
        <xdr:cNvPr id="33" name="Grupo 32">
          <a:extLst>
            <a:ext uri="{FF2B5EF4-FFF2-40B4-BE49-F238E27FC236}">
              <a16:creationId xmlns:a16="http://schemas.microsoft.com/office/drawing/2014/main" id="{443E505B-AB28-3934-C3CC-1AB3BFA9649F}"/>
            </a:ext>
          </a:extLst>
        </xdr:cNvPr>
        <xdr:cNvGrpSpPr/>
      </xdr:nvGrpSpPr>
      <xdr:grpSpPr>
        <a:xfrm>
          <a:off x="3751415" y="1471461"/>
          <a:ext cx="2434023" cy="937097"/>
          <a:chOff x="2976383" y="2834583"/>
          <a:chExt cx="2429011" cy="943934"/>
        </a:xfrm>
      </xdr:grpSpPr>
      <xdr:sp macro="" textlink="Análisis!$C$5">
        <xdr:nvSpPr>
          <xdr:cNvPr id="25" name="Rectángulo redondeado 27">
            <a:extLst>
              <a:ext uri="{FF2B5EF4-FFF2-40B4-BE49-F238E27FC236}">
                <a16:creationId xmlns:a16="http://schemas.microsoft.com/office/drawing/2014/main" id="{D33BF3EB-6A92-4129-A469-5C38E6BBF7B1}"/>
              </a:ext>
            </a:extLst>
          </xdr:cNvPr>
          <xdr:cNvSpPr/>
        </xdr:nvSpPr>
        <xdr:spPr>
          <a:xfrm>
            <a:off x="2976383" y="2834583"/>
            <a:ext cx="1915418" cy="94393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BFF1BE3-FC8E-4BD7-B799-4CF17EB85DF3}" type="TxLink">
              <a:rPr lang="en-US" sz="14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pPr marL="0" indent="0" algn="ctr"/>
              <a:t>2.543,81</a:t>
            </a:fld>
            <a:endParaRPr lang="es-ES_tradnl" sz="1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26" name="CuadroTexto 25">
            <a:extLst>
              <a:ext uri="{FF2B5EF4-FFF2-40B4-BE49-F238E27FC236}">
                <a16:creationId xmlns:a16="http://schemas.microsoft.com/office/drawing/2014/main" id="{9E524CFB-BA99-4C3F-A06E-23995D895003}"/>
              </a:ext>
            </a:extLst>
          </xdr:cNvPr>
          <xdr:cNvSpPr txBox="1"/>
        </xdr:nvSpPr>
        <xdr:spPr>
          <a:xfrm>
            <a:off x="3599040" y="2881119"/>
            <a:ext cx="1806354" cy="47184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400" b="1">
                <a:solidFill>
                  <a:schemeClr val="accent6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Área</a:t>
            </a:r>
          </a:p>
        </xdr:txBody>
      </xdr:sp>
    </xdr:grpSp>
    <xdr:clientData/>
  </xdr:twoCellAnchor>
  <xdr:twoCellAnchor>
    <xdr:from>
      <xdr:col>6</xdr:col>
      <xdr:colOff>711674</xdr:colOff>
      <xdr:row>5</xdr:row>
      <xdr:rowOff>122701</xdr:rowOff>
    </xdr:from>
    <xdr:to>
      <xdr:col>8</xdr:col>
      <xdr:colOff>31139</xdr:colOff>
      <xdr:row>6</xdr:row>
      <xdr:rowOff>131653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3AD5A42D-C598-4CE9-AD4B-2E52C156D88F}"/>
            </a:ext>
          </a:extLst>
        </xdr:cNvPr>
        <xdr:cNvSpPr txBox="1"/>
      </xdr:nvSpPr>
      <xdr:spPr>
        <a:xfrm>
          <a:off x="4827835" y="1109220"/>
          <a:ext cx="843465" cy="2062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1.019,58 €</a:t>
          </a:r>
        </a:p>
      </xdr:txBody>
    </xdr:sp>
    <xdr:clientData/>
  </xdr:twoCellAnchor>
  <xdr:twoCellAnchor>
    <xdr:from>
      <xdr:col>9</xdr:col>
      <xdr:colOff>405279</xdr:colOff>
      <xdr:row>5</xdr:row>
      <xdr:rowOff>173404</xdr:rowOff>
    </xdr:from>
    <xdr:to>
      <xdr:col>10</xdr:col>
      <xdr:colOff>630658</xdr:colOff>
      <xdr:row>6</xdr:row>
      <xdr:rowOff>158419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9A25D6CA-68E9-49D9-B642-D770CB4998BC}"/>
            </a:ext>
          </a:extLst>
        </xdr:cNvPr>
        <xdr:cNvSpPr txBox="1"/>
      </xdr:nvSpPr>
      <xdr:spPr>
        <a:xfrm>
          <a:off x="6807440" y="1159923"/>
          <a:ext cx="987379" cy="1823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0,56€ el m2</a:t>
          </a:r>
        </a:p>
      </xdr:txBody>
    </xdr:sp>
    <xdr:clientData/>
  </xdr:twoCellAnchor>
  <xdr:twoCellAnchor>
    <xdr:from>
      <xdr:col>5</xdr:col>
      <xdr:colOff>595461</xdr:colOff>
      <xdr:row>36</xdr:row>
      <xdr:rowOff>176376</xdr:rowOff>
    </xdr:from>
    <xdr:to>
      <xdr:col>15</xdr:col>
      <xdr:colOff>219475</xdr:colOff>
      <xdr:row>48</xdr:row>
      <xdr:rowOff>150393</xdr:rowOff>
    </xdr:to>
    <xdr:grpSp>
      <xdr:nvGrpSpPr>
        <xdr:cNvPr id="32" name="Grupo 31">
          <a:extLst>
            <a:ext uri="{FF2B5EF4-FFF2-40B4-BE49-F238E27FC236}">
              <a16:creationId xmlns:a16="http://schemas.microsoft.com/office/drawing/2014/main" id="{A26AFAC0-1223-5AFF-B6BD-38FA6B450A6A}"/>
            </a:ext>
          </a:extLst>
        </xdr:cNvPr>
        <xdr:cNvGrpSpPr/>
      </xdr:nvGrpSpPr>
      <xdr:grpSpPr>
        <a:xfrm>
          <a:off x="3946530" y="7346103"/>
          <a:ext cx="7564400" cy="2363926"/>
          <a:chOff x="3368604" y="5968884"/>
          <a:chExt cx="7409686" cy="2059680"/>
        </a:xfrm>
      </xdr:grpSpPr>
      <xdr:sp macro="" textlink="">
        <xdr:nvSpPr>
          <xdr:cNvPr id="11" name="Rectángulo redondeado 47">
            <a:extLst>
              <a:ext uri="{FF2B5EF4-FFF2-40B4-BE49-F238E27FC236}">
                <a16:creationId xmlns:a16="http://schemas.microsoft.com/office/drawing/2014/main" id="{C8F69EEC-9617-4B53-8AE3-9BF10A859D70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20CDE430-3C87-4FC4-9864-9D33C526743B}"/>
              </a:ext>
            </a:extLst>
          </xdr:cNvPr>
          <xdr:cNvSpPr txBox="1"/>
        </xdr:nvSpPr>
        <xdr:spPr>
          <a:xfrm>
            <a:off x="6114928" y="5968884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Orientación de la propiedad</a:t>
            </a:r>
          </a:p>
        </xdr:txBody>
      </xdr:sp>
    </xdr:grpSp>
    <xdr:clientData/>
  </xdr:twoCellAnchor>
  <xdr:twoCellAnchor>
    <xdr:from>
      <xdr:col>15</xdr:col>
      <xdr:colOff>497076</xdr:colOff>
      <xdr:row>2</xdr:row>
      <xdr:rowOff>150097</xdr:rowOff>
    </xdr:from>
    <xdr:to>
      <xdr:col>20</xdr:col>
      <xdr:colOff>416718</xdr:colOff>
      <xdr:row>49</xdr:row>
      <xdr:rowOff>0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89E44972-B4E3-3A21-834E-EB422AE3D276}"/>
            </a:ext>
          </a:extLst>
        </xdr:cNvPr>
        <xdr:cNvGrpSpPr/>
      </xdr:nvGrpSpPr>
      <xdr:grpSpPr>
        <a:xfrm>
          <a:off x="11788531" y="548415"/>
          <a:ext cx="3703665" cy="9210381"/>
          <a:chOff x="10736514" y="1243978"/>
          <a:chExt cx="3704577" cy="6743653"/>
        </a:xfrm>
      </xdr:grpSpPr>
      <xdr:sp macro="" textlink="">
        <xdr:nvSpPr>
          <xdr:cNvPr id="13" name="Rectángulo redondeado 51">
            <a:extLst>
              <a:ext uri="{FF2B5EF4-FFF2-40B4-BE49-F238E27FC236}">
                <a16:creationId xmlns:a16="http://schemas.microsoft.com/office/drawing/2014/main" id="{8D51D8FE-334B-4E4C-A2AF-EF82E0A3A866}"/>
              </a:ext>
            </a:extLst>
          </xdr:cNvPr>
          <xdr:cNvSpPr/>
        </xdr:nvSpPr>
        <xdr:spPr>
          <a:xfrm>
            <a:off x="10736514" y="1243978"/>
            <a:ext cx="3454914" cy="6743653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graphicFrame macro="">
        <xdr:nvGraphicFramePr>
          <xdr:cNvPr id="22" name="Gráfico 21">
            <a:extLst>
              <a:ext uri="{FF2B5EF4-FFF2-40B4-BE49-F238E27FC236}">
                <a16:creationId xmlns:a16="http://schemas.microsoft.com/office/drawing/2014/main" id="{377248C8-5326-4AE9-BB6D-C346B1D29448}"/>
              </a:ext>
            </a:extLst>
          </xdr:cNvPr>
          <xdr:cNvGraphicFramePr>
            <a:graphicFrameLocks/>
          </xdr:cNvGraphicFramePr>
        </xdr:nvGraphicFramePr>
        <xdr:xfrm>
          <a:off x="10742960" y="1760693"/>
          <a:ext cx="3698131" cy="60258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BD10AB32-633D-4A20-97DC-CB8CF6334FA3}"/>
              </a:ext>
            </a:extLst>
          </xdr:cNvPr>
          <xdr:cNvSpPr txBox="1"/>
        </xdr:nvSpPr>
        <xdr:spPr>
          <a:xfrm>
            <a:off x="11280550" y="1529930"/>
            <a:ext cx="3160541" cy="186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4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Proximidad a servicios</a:t>
            </a:r>
          </a:p>
        </xdr:txBody>
      </xdr:sp>
    </xdr:grpSp>
    <xdr:clientData/>
  </xdr:twoCellAnchor>
  <xdr:twoCellAnchor>
    <xdr:from>
      <xdr:col>10</xdr:col>
      <xdr:colOff>658870</xdr:colOff>
      <xdr:row>1</xdr:row>
      <xdr:rowOff>199157</xdr:rowOff>
    </xdr:from>
    <xdr:to>
      <xdr:col>15</xdr:col>
      <xdr:colOff>408213</xdr:colOff>
      <xdr:row>13</xdr:row>
      <xdr:rowOff>0</xdr:rowOff>
    </xdr:to>
    <xdr:sp macro="" textlink="">
      <xdr:nvSpPr>
        <xdr:cNvPr id="41" name="Rectángulo redondeado 34">
          <a:extLst>
            <a:ext uri="{FF2B5EF4-FFF2-40B4-BE49-F238E27FC236}">
              <a16:creationId xmlns:a16="http://schemas.microsoft.com/office/drawing/2014/main" id="{30DDC58D-EBF1-41CA-AFDF-908E1C0D1ED4}"/>
            </a:ext>
          </a:extLst>
        </xdr:cNvPr>
        <xdr:cNvSpPr/>
      </xdr:nvSpPr>
      <xdr:spPr>
        <a:xfrm>
          <a:off x="7819939" y="398317"/>
          <a:ext cx="3879729" cy="2190752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216478</xdr:colOff>
      <xdr:row>2</xdr:row>
      <xdr:rowOff>94120</xdr:rowOff>
    </xdr:from>
    <xdr:to>
      <xdr:col>15</xdr:col>
      <xdr:colOff>7940</xdr:colOff>
      <xdr:row>3</xdr:row>
      <xdr:rowOff>140728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EB05616D-BA42-4872-9667-B25FF160CA03}"/>
            </a:ext>
          </a:extLst>
        </xdr:cNvPr>
        <xdr:cNvSpPr txBox="1"/>
      </xdr:nvSpPr>
      <xdr:spPr>
        <a:xfrm>
          <a:off x="8139547" y="492438"/>
          <a:ext cx="3159848" cy="2457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Super built up area</a:t>
          </a:r>
        </a:p>
      </xdr:txBody>
    </xdr:sp>
    <xdr:clientData/>
  </xdr:twoCellAnchor>
  <xdr:twoCellAnchor>
    <xdr:from>
      <xdr:col>9</xdr:col>
      <xdr:colOff>614566</xdr:colOff>
      <xdr:row>4</xdr:row>
      <xdr:rowOff>0</xdr:rowOff>
    </xdr:from>
    <xdr:to>
      <xdr:col>10</xdr:col>
      <xdr:colOff>228110</xdr:colOff>
      <xdr:row>5</xdr:row>
      <xdr:rowOff>127567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C27CBAE6-6774-72E6-7E92-89F5293369E3}"/>
            </a:ext>
          </a:extLst>
        </xdr:cNvPr>
        <xdr:cNvSpPr txBox="1"/>
      </xdr:nvSpPr>
      <xdr:spPr>
        <a:xfrm>
          <a:off x="7016727" y="789214"/>
          <a:ext cx="375544" cy="3248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₹</a:t>
          </a:r>
        </a:p>
      </xdr:txBody>
    </xdr:sp>
    <xdr:clientData/>
  </xdr:twoCellAnchor>
  <xdr:twoCellAnchor>
    <xdr:from>
      <xdr:col>7</xdr:col>
      <xdr:colOff>23813</xdr:colOff>
      <xdr:row>10</xdr:row>
      <xdr:rowOff>170413</xdr:rowOff>
    </xdr:from>
    <xdr:to>
      <xdr:col>8</xdr:col>
      <xdr:colOff>245791</xdr:colOff>
      <xdr:row>11</xdr:row>
      <xdr:rowOff>155427</xdr:rowOff>
    </xdr:to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DEA14CBF-9968-4D27-8F91-65DDBBDB3BA7}"/>
            </a:ext>
          </a:extLst>
        </xdr:cNvPr>
        <xdr:cNvSpPr txBox="1"/>
      </xdr:nvSpPr>
      <xdr:spPr>
        <a:xfrm>
          <a:off x="4901974" y="2143449"/>
          <a:ext cx="983978" cy="182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236</a:t>
          </a:r>
          <a:r>
            <a:rPr lang="en-US" sz="1100" kern="1200" baseline="0"/>
            <a:t> </a:t>
          </a:r>
          <a:r>
            <a:rPr lang="en-US" sz="1100" kern="1200"/>
            <a:t>m2</a:t>
          </a:r>
        </a:p>
      </xdr:txBody>
    </xdr:sp>
    <xdr:clientData/>
  </xdr:twoCellAnchor>
  <xdr:twoCellAnchor>
    <xdr:from>
      <xdr:col>5</xdr:col>
      <xdr:colOff>595461</xdr:colOff>
      <xdr:row>13</xdr:row>
      <xdr:rowOff>144576</xdr:rowOff>
    </xdr:from>
    <xdr:to>
      <xdr:col>15</xdr:col>
      <xdr:colOff>219475</xdr:colOff>
      <xdr:row>25</xdr:row>
      <xdr:rowOff>50003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1BE9CCE2-5DC6-48CB-9ABE-C10DB40C7178}"/>
            </a:ext>
          </a:extLst>
        </xdr:cNvPr>
        <xdr:cNvGrpSpPr/>
      </xdr:nvGrpSpPr>
      <xdr:grpSpPr>
        <a:xfrm>
          <a:off x="3946530" y="2733645"/>
          <a:ext cx="7564400" cy="2295336"/>
          <a:chOff x="3368604" y="6023231"/>
          <a:chExt cx="7409686" cy="2005333"/>
        </a:xfrm>
      </xdr:grpSpPr>
      <xdr:sp macro="" textlink="">
        <xdr:nvSpPr>
          <xdr:cNvPr id="9" name="Rectángulo redondeado 47">
            <a:extLst>
              <a:ext uri="{FF2B5EF4-FFF2-40B4-BE49-F238E27FC236}">
                <a16:creationId xmlns:a16="http://schemas.microsoft.com/office/drawing/2014/main" id="{EC1A4968-5671-B83C-E1B7-AF0C39952029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4" name="CuadroTexto 13">
            <a:extLst>
              <a:ext uri="{FF2B5EF4-FFF2-40B4-BE49-F238E27FC236}">
                <a16:creationId xmlns:a16="http://schemas.microsoft.com/office/drawing/2014/main" id="{FA5DADC7-9951-DF04-48B2-5EF65A399F9E}"/>
              </a:ext>
            </a:extLst>
          </xdr:cNvPr>
          <xdr:cNvSpPr txBox="1"/>
        </xdr:nvSpPr>
        <xdr:spPr>
          <a:xfrm>
            <a:off x="6386986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Luxury score</a:t>
            </a:r>
          </a:p>
        </xdr:txBody>
      </xdr:sp>
    </xdr:grpSp>
    <xdr:clientData/>
  </xdr:twoCellAnchor>
  <xdr:twoCellAnchor>
    <xdr:from>
      <xdr:col>5</xdr:col>
      <xdr:colOff>595461</xdr:colOff>
      <xdr:row>25</xdr:row>
      <xdr:rowOff>92868</xdr:rowOff>
    </xdr:from>
    <xdr:to>
      <xdr:col>15</xdr:col>
      <xdr:colOff>219475</xdr:colOff>
      <xdr:row>36</xdr:row>
      <xdr:rowOff>202404</xdr:rowOff>
    </xdr:to>
    <xdr:grpSp>
      <xdr:nvGrpSpPr>
        <xdr:cNvPr id="21" name="Grupo 20">
          <a:extLst>
            <a:ext uri="{FF2B5EF4-FFF2-40B4-BE49-F238E27FC236}">
              <a16:creationId xmlns:a16="http://schemas.microsoft.com/office/drawing/2014/main" id="{1799C85E-73AF-48AE-BE7C-573E21360249}"/>
            </a:ext>
          </a:extLst>
        </xdr:cNvPr>
        <xdr:cNvGrpSpPr/>
      </xdr:nvGrpSpPr>
      <xdr:grpSpPr>
        <a:xfrm>
          <a:off x="3946530" y="5071846"/>
          <a:ext cx="7564400" cy="2300285"/>
          <a:chOff x="3368604" y="6023231"/>
          <a:chExt cx="7409686" cy="2005334"/>
        </a:xfrm>
      </xdr:grpSpPr>
      <xdr:sp macro="" textlink="">
        <xdr:nvSpPr>
          <xdr:cNvPr id="36" name="Rectángulo redondeado 47">
            <a:extLst>
              <a:ext uri="{FF2B5EF4-FFF2-40B4-BE49-F238E27FC236}">
                <a16:creationId xmlns:a16="http://schemas.microsoft.com/office/drawing/2014/main" id="{69E71C16-D5D8-133C-80C4-D554256F1C8D}"/>
              </a:ext>
            </a:extLst>
          </xdr:cNvPr>
          <xdr:cNvSpPr/>
        </xdr:nvSpPr>
        <xdr:spPr>
          <a:xfrm>
            <a:off x="3368604" y="6040857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42" name="CuadroTexto 41">
            <a:extLst>
              <a:ext uri="{FF2B5EF4-FFF2-40B4-BE49-F238E27FC236}">
                <a16:creationId xmlns:a16="http://schemas.microsoft.com/office/drawing/2014/main" id="{15640ADF-ABB3-803B-4029-4307ECFB32E8}"/>
              </a:ext>
            </a:extLst>
          </xdr:cNvPr>
          <xdr:cNvSpPr txBox="1"/>
        </xdr:nvSpPr>
        <xdr:spPr>
          <a:xfrm>
            <a:off x="5955413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Estado de la propiedad</a:t>
            </a:r>
          </a:p>
        </xdr:txBody>
      </xdr:sp>
    </xdr:grpSp>
    <xdr:clientData/>
  </xdr:twoCellAnchor>
  <xdr:twoCellAnchor>
    <xdr:from>
      <xdr:col>7</xdr:col>
      <xdr:colOff>64537</xdr:colOff>
      <xdr:row>3</xdr:row>
      <xdr:rowOff>172247</xdr:rowOff>
    </xdr:from>
    <xdr:to>
      <xdr:col>8</xdr:col>
      <xdr:colOff>40379</xdr:colOff>
      <xdr:row>5</xdr:row>
      <xdr:rowOff>92975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2F379E5C-FAFE-461D-B19A-E2C57EE65D38}"/>
            </a:ext>
          </a:extLst>
        </xdr:cNvPr>
        <xdr:cNvSpPr txBox="1"/>
      </xdr:nvSpPr>
      <xdr:spPr>
        <a:xfrm>
          <a:off x="4942994" y="768595"/>
          <a:ext cx="737842" cy="31829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lakhs</a:t>
          </a:r>
        </a:p>
      </xdr:txBody>
    </xdr:sp>
    <xdr:clientData/>
  </xdr:twoCellAnchor>
  <xdr:twoCellAnchor>
    <xdr:from>
      <xdr:col>6</xdr:col>
      <xdr:colOff>103025</xdr:colOff>
      <xdr:row>25</xdr:row>
      <xdr:rowOff>179294</xdr:rowOff>
    </xdr:from>
    <xdr:to>
      <xdr:col>15</xdr:col>
      <xdr:colOff>103025</xdr:colOff>
      <xdr:row>36</xdr:row>
      <xdr:rowOff>196005</xdr:rowOff>
    </xdr:to>
    <xdr:graphicFrame macro="">
      <xdr:nvGraphicFramePr>
        <xdr:cNvPr id="55" name="Precio y estado propiedad">
          <a:extLst>
            <a:ext uri="{FF2B5EF4-FFF2-40B4-BE49-F238E27FC236}">
              <a16:creationId xmlns:a16="http://schemas.microsoft.com/office/drawing/2014/main" id="{2A804E7C-CF40-4F3D-B930-E8EAB9D3D4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68405</xdr:colOff>
      <xdr:row>37</xdr:row>
      <xdr:rowOff>60897</xdr:rowOff>
    </xdr:from>
    <xdr:to>
      <xdr:col>14</xdr:col>
      <xdr:colOff>1047148</xdr:colOff>
      <xdr:row>48</xdr:row>
      <xdr:rowOff>62197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0FE9423C-9968-4A2A-98DF-4E5B545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658906</xdr:colOff>
      <xdr:row>13</xdr:row>
      <xdr:rowOff>0</xdr:rowOff>
    </xdr:from>
    <xdr:to>
      <xdr:col>14</xdr:col>
      <xdr:colOff>841029</xdr:colOff>
      <xdr:row>25</xdr:row>
      <xdr:rowOff>0</xdr:rowOff>
    </xdr:to>
    <xdr:graphicFrame macro="">
      <xdr:nvGraphicFramePr>
        <xdr:cNvPr id="61" name="Luxury score">
          <a:extLst>
            <a:ext uri="{FF2B5EF4-FFF2-40B4-BE49-F238E27FC236}">
              <a16:creationId xmlns:a16="http://schemas.microsoft.com/office/drawing/2014/main" id="{16861FB2-82DC-47E8-B935-5F75E0B8A7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346995</xdr:colOff>
      <xdr:row>2</xdr:row>
      <xdr:rowOff>86209</xdr:rowOff>
    </xdr:from>
    <xdr:to>
      <xdr:col>15</xdr:col>
      <xdr:colOff>623455</xdr:colOff>
      <xdr:row>12</xdr:row>
      <xdr:rowOff>85438</xdr:rowOff>
    </xdr:to>
    <xdr:graphicFrame macro="">
      <xdr:nvGraphicFramePr>
        <xdr:cNvPr id="70" name="Super built up area">
          <a:extLst>
            <a:ext uri="{FF2B5EF4-FFF2-40B4-BE49-F238E27FC236}">
              <a16:creationId xmlns:a16="http://schemas.microsoft.com/office/drawing/2014/main" id="{193AB0E9-ED18-46A1-894E-5AC08B0EC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3</xdr:col>
      <xdr:colOff>458195</xdr:colOff>
      <xdr:row>44</xdr:row>
      <xdr:rowOff>77932</xdr:rowOff>
    </xdr:from>
    <xdr:to>
      <xdr:col>5</xdr:col>
      <xdr:colOff>129149</xdr:colOff>
      <xdr:row>50</xdr:row>
      <xdr:rowOff>77931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05294585-2077-D1A9-BC39-8FBB8808A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85264" y="8840932"/>
          <a:ext cx="1194954" cy="1194954"/>
        </a:xfrm>
        <a:prstGeom prst="rect">
          <a:avLst/>
        </a:prstGeom>
      </xdr:spPr>
    </xdr:pic>
    <xdr:clientData/>
  </xdr:twoCellAnchor>
  <xdr:twoCellAnchor editAs="oneCell">
    <xdr:from>
      <xdr:col>11</xdr:col>
      <xdr:colOff>365312</xdr:colOff>
      <xdr:row>14</xdr:row>
      <xdr:rowOff>60614</xdr:rowOff>
    </xdr:from>
    <xdr:to>
      <xdr:col>12</xdr:col>
      <xdr:colOff>173556</xdr:colOff>
      <xdr:row>17</xdr:row>
      <xdr:rowOff>33380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E54CAE34-A6F3-5012-0AC5-BBE0BA205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88381" y="2848841"/>
          <a:ext cx="570244" cy="570244"/>
        </a:xfrm>
        <a:prstGeom prst="rect">
          <a:avLst/>
        </a:prstGeom>
      </xdr:spPr>
    </xdr:pic>
    <xdr:clientData/>
  </xdr:twoCellAnchor>
  <xdr:twoCellAnchor editAs="oneCell">
    <xdr:from>
      <xdr:col>19</xdr:col>
      <xdr:colOff>16897</xdr:colOff>
      <xdr:row>3</xdr:row>
      <xdr:rowOff>7094</xdr:rowOff>
    </xdr:from>
    <xdr:to>
      <xdr:col>20</xdr:col>
      <xdr:colOff>70355</xdr:colOff>
      <xdr:row>7</xdr:row>
      <xdr:rowOff>25915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DEBE759-2476-CAD7-D597-74064C2C49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30375" y="604572"/>
          <a:ext cx="815458" cy="815458"/>
        </a:xfrm>
        <a:prstGeom prst="rect">
          <a:avLst/>
        </a:prstGeom>
      </xdr:spPr>
    </xdr:pic>
    <xdr:clientData/>
  </xdr:twoCellAnchor>
  <xdr:twoCellAnchor editAs="oneCell">
    <xdr:from>
      <xdr:col>4</xdr:col>
      <xdr:colOff>344291</xdr:colOff>
      <xdr:row>47</xdr:row>
      <xdr:rowOff>61949</xdr:rowOff>
    </xdr:from>
    <xdr:to>
      <xdr:col>5</xdr:col>
      <xdr:colOff>129149</xdr:colOff>
      <xdr:row>50</xdr:row>
      <xdr:rowOff>11330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2BFDC19E-5BE3-F538-0397-F353B1985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933360" y="9422427"/>
          <a:ext cx="546858" cy="546858"/>
        </a:xfrm>
        <a:prstGeom prst="rect">
          <a:avLst/>
        </a:prstGeom>
      </xdr:spPr>
    </xdr:pic>
    <xdr:clientData/>
  </xdr:twoCellAnchor>
  <xdr:twoCellAnchor editAs="oneCell">
    <xdr:from>
      <xdr:col>14</xdr:col>
      <xdr:colOff>622737</xdr:colOff>
      <xdr:row>38</xdr:row>
      <xdr:rowOff>0</xdr:rowOff>
    </xdr:from>
    <xdr:to>
      <xdr:col>15</xdr:col>
      <xdr:colOff>137827</xdr:colOff>
      <xdr:row>40</xdr:row>
      <xdr:rowOff>199157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39E448A0-35A7-783A-C191-432C14BD8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31806" y="7568045"/>
          <a:ext cx="597476" cy="597476"/>
        </a:xfrm>
        <a:prstGeom prst="rect">
          <a:avLst/>
        </a:prstGeom>
      </xdr:spPr>
    </xdr:pic>
    <xdr:clientData/>
  </xdr:twoCellAnchor>
  <xdr:twoCellAnchor editAs="oneCell">
    <xdr:from>
      <xdr:col>5</xdr:col>
      <xdr:colOff>539717</xdr:colOff>
      <xdr:row>9</xdr:row>
      <xdr:rowOff>126892</xdr:rowOff>
    </xdr:from>
    <xdr:to>
      <xdr:col>6</xdr:col>
      <xdr:colOff>112651</xdr:colOff>
      <xdr:row>11</xdr:row>
      <xdr:rowOff>63508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4B6B229-9FE9-6A11-9CCE-AC53EEC13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90786" y="1919325"/>
          <a:ext cx="334934" cy="334934"/>
        </a:xfrm>
        <a:prstGeom prst="rect">
          <a:avLst/>
        </a:prstGeom>
      </xdr:spPr>
    </xdr:pic>
    <xdr:clientData/>
  </xdr:twoCellAnchor>
  <xdr:twoCellAnchor editAs="oneCell">
    <xdr:from>
      <xdr:col>5</xdr:col>
      <xdr:colOff>595461</xdr:colOff>
      <xdr:row>4</xdr:row>
      <xdr:rowOff>142328</xdr:rowOff>
    </xdr:from>
    <xdr:to>
      <xdr:col>6</xdr:col>
      <xdr:colOff>173061</xdr:colOff>
      <xdr:row>6</xdr:row>
      <xdr:rowOff>83609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435C9495-D09D-0D8A-FD38-FE8D78DC3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946530" y="938964"/>
          <a:ext cx="339600" cy="339600"/>
        </a:xfrm>
        <a:prstGeom prst="rect">
          <a:avLst/>
        </a:prstGeom>
      </xdr:spPr>
    </xdr:pic>
    <xdr:clientData/>
  </xdr:twoCellAnchor>
  <xdr:twoCellAnchor editAs="oneCell">
    <xdr:from>
      <xdr:col>5</xdr:col>
      <xdr:colOff>215570</xdr:colOff>
      <xdr:row>47</xdr:row>
      <xdr:rowOff>51047</xdr:rowOff>
    </xdr:from>
    <xdr:to>
      <xdr:col>6</xdr:col>
      <xdr:colOff>0</xdr:colOff>
      <xdr:row>50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9DA952AA-E6E7-4FEC-9E28-D44CE7B6D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566639" y="9411525"/>
          <a:ext cx="546430" cy="546430"/>
        </a:xfrm>
        <a:prstGeom prst="rect">
          <a:avLst/>
        </a:prstGeom>
      </xdr:spPr>
    </xdr:pic>
    <xdr:clientData/>
  </xdr:twoCellAnchor>
  <xdr:twoCellAnchor editAs="oneCell">
    <xdr:from>
      <xdr:col>2</xdr:col>
      <xdr:colOff>627250</xdr:colOff>
      <xdr:row>11</xdr:row>
      <xdr:rowOff>63508</xdr:rowOff>
    </xdr:from>
    <xdr:to>
      <xdr:col>5</xdr:col>
      <xdr:colOff>170050</xdr:colOff>
      <xdr:row>23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0" name="Rangos de precios">
              <a:extLst>
                <a:ext uri="{FF2B5EF4-FFF2-40B4-BE49-F238E27FC236}">
                  <a16:creationId xmlns:a16="http://schemas.microsoft.com/office/drawing/2014/main" id="{DBF51DDE-CECA-300B-2696-6DD522E6D4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angos de preci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319" y="2254259"/>
              <a:ext cx="1828800" cy="23264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627250</xdr:colOff>
      <xdr:row>23</xdr:row>
      <xdr:rowOff>138544</xdr:rowOff>
    </xdr:from>
    <xdr:to>
      <xdr:col>5</xdr:col>
      <xdr:colOff>170050</xdr:colOff>
      <xdr:row>34</xdr:row>
      <xdr:rowOff>81955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3" name="BHK">
              <a:extLst>
                <a:ext uri="{FF2B5EF4-FFF2-40B4-BE49-F238E27FC236}">
                  <a16:creationId xmlns:a16="http://schemas.microsoft.com/office/drawing/2014/main" id="{1678C4C0-B3A7-9BCF-8FB0-9DA9441A62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HK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319" y="4719204"/>
              <a:ext cx="1828800" cy="21341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128188</xdr:colOff>
      <xdr:row>9</xdr:row>
      <xdr:rowOff>0</xdr:rowOff>
    </xdr:from>
    <xdr:to>
      <xdr:col>9</xdr:col>
      <xdr:colOff>405279</xdr:colOff>
      <xdr:row>11</xdr:row>
      <xdr:rowOff>0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8B271D1-D1C1-409B-A20B-C89BEBE1C4FA}"/>
            </a:ext>
          </a:extLst>
        </xdr:cNvPr>
        <xdr:cNvSpPr txBox="1"/>
      </xdr:nvSpPr>
      <xdr:spPr>
        <a:xfrm>
          <a:off x="5003257" y="1792433"/>
          <a:ext cx="1801091" cy="398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sqft</a:t>
          </a:r>
        </a:p>
      </xdr:txBody>
    </xdr:sp>
    <xdr:clientData/>
  </xdr:twoCellAnchor>
  <xdr:twoCellAnchor editAs="oneCell">
    <xdr:from>
      <xdr:col>9</xdr:col>
      <xdr:colOff>612689</xdr:colOff>
      <xdr:row>9</xdr:row>
      <xdr:rowOff>41557</xdr:rowOff>
    </xdr:from>
    <xdr:to>
      <xdr:col>10</xdr:col>
      <xdr:colOff>488985</xdr:colOff>
      <xdr:row>12</xdr:row>
      <xdr:rowOff>82377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EE486E95-7D10-6FB1-E0E0-C44D3F9D5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011758" y="1833990"/>
          <a:ext cx="638296" cy="638296"/>
        </a:xfrm>
        <a:prstGeom prst="rect">
          <a:avLst/>
        </a:prstGeom>
      </xdr:spPr>
    </xdr:pic>
    <xdr:clientData/>
  </xdr:twoCellAnchor>
  <xdr:twoCellAnchor editAs="oneCell">
    <xdr:from>
      <xdr:col>2</xdr:col>
      <xdr:colOff>612197</xdr:colOff>
      <xdr:row>35</xdr:row>
      <xdr:rowOff>109537</xdr:rowOff>
    </xdr:from>
    <xdr:to>
      <xdr:col>5</xdr:col>
      <xdr:colOff>154997</xdr:colOff>
      <xdr:row>41</xdr:row>
      <xdr:rowOff>112568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Furnishing type descripction">
              <a:extLst>
                <a:ext uri="{FF2B5EF4-FFF2-40B4-BE49-F238E27FC236}">
                  <a16:creationId xmlns:a16="http://schemas.microsoft.com/office/drawing/2014/main" id="{948F97C0-0201-CD62-68D5-0256DF5C55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urnishing type descripc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7266" y="7080106"/>
              <a:ext cx="1828800" cy="1197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536864</xdr:colOff>
      <xdr:row>9</xdr:row>
      <xdr:rowOff>129885</xdr:rowOff>
    </xdr:from>
    <xdr:to>
      <xdr:col>5</xdr:col>
      <xdr:colOff>157597</xdr:colOff>
      <xdr:row>11</xdr:row>
      <xdr:rowOff>114300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B5FC1E64-E44A-0C3D-6711-96A74C35B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3125933" y="1922318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8</xdr:col>
      <xdr:colOff>493568</xdr:colOff>
      <xdr:row>0</xdr:row>
      <xdr:rowOff>164523</xdr:rowOff>
    </xdr:from>
    <xdr:to>
      <xdr:col>9</xdr:col>
      <xdr:colOff>114301</xdr:colOff>
      <xdr:row>2</xdr:row>
      <xdr:rowOff>148938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6B21318A-0148-4403-8256-15B5B80BE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130637" y="164523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13</xdr:col>
      <xdr:colOff>481445</xdr:colOff>
      <xdr:row>0</xdr:row>
      <xdr:rowOff>83128</xdr:rowOff>
    </xdr:from>
    <xdr:to>
      <xdr:col>14</xdr:col>
      <xdr:colOff>102178</xdr:colOff>
      <xdr:row>2</xdr:row>
      <xdr:rowOff>67543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98EB2950-404E-4C69-B7B2-AE93AC575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928514" y="83128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15</xdr:col>
      <xdr:colOff>129887</xdr:colOff>
      <xdr:row>19</xdr:row>
      <xdr:rowOff>51955</xdr:rowOff>
    </xdr:from>
    <xdr:to>
      <xdr:col>15</xdr:col>
      <xdr:colOff>512620</xdr:colOff>
      <xdr:row>21</xdr:row>
      <xdr:rowOff>36370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7A52D5A-077B-43BA-BECE-7687C8C5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1421342" y="3835979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5</xdr:col>
      <xdr:colOff>542059</xdr:colOff>
      <xdr:row>28</xdr:row>
      <xdr:rowOff>126424</xdr:rowOff>
    </xdr:from>
    <xdr:to>
      <xdr:col>6</xdr:col>
      <xdr:colOff>162792</xdr:colOff>
      <xdr:row>30</xdr:row>
      <xdr:rowOff>110839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B253A676-ED06-412B-857B-DDAB969E7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3893128" y="5702879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16</xdr:col>
      <xdr:colOff>251114</xdr:colOff>
      <xdr:row>47</xdr:row>
      <xdr:rowOff>51954</xdr:rowOff>
    </xdr:from>
    <xdr:to>
      <xdr:col>16</xdr:col>
      <xdr:colOff>633847</xdr:colOff>
      <xdr:row>49</xdr:row>
      <xdr:rowOff>36369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4767943E-5D95-44FB-AD73-BB7662CDA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2252614" y="9412432"/>
          <a:ext cx="382733" cy="382733"/>
        </a:xfrm>
        <a:prstGeom prst="rect">
          <a:avLst/>
        </a:prstGeom>
      </xdr:spPr>
    </xdr:pic>
    <xdr:clientData/>
  </xdr:twoCellAnchor>
  <xdr:twoCellAnchor editAs="oneCell">
    <xdr:from>
      <xdr:col>15</xdr:col>
      <xdr:colOff>614796</xdr:colOff>
      <xdr:row>8</xdr:row>
      <xdr:rowOff>34634</xdr:rowOff>
    </xdr:from>
    <xdr:to>
      <xdr:col>16</xdr:col>
      <xdr:colOff>226870</xdr:colOff>
      <xdr:row>9</xdr:row>
      <xdr:rowOff>157593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021B0050-6A2A-7D16-70FC-AEA76D7BA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906251" y="1627907"/>
          <a:ext cx="322119" cy="322119"/>
        </a:xfrm>
        <a:prstGeom prst="rect">
          <a:avLst/>
        </a:prstGeom>
      </xdr:spPr>
    </xdr:pic>
    <xdr:clientData/>
  </xdr:twoCellAnchor>
  <xdr:twoCellAnchor editAs="oneCell">
    <xdr:from>
      <xdr:col>5</xdr:col>
      <xdr:colOff>536863</xdr:colOff>
      <xdr:row>26</xdr:row>
      <xdr:rowOff>53689</xdr:rowOff>
    </xdr:from>
    <xdr:to>
      <xdr:col>6</xdr:col>
      <xdr:colOff>103907</xdr:colOff>
      <xdr:row>27</xdr:row>
      <xdr:rowOff>183573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3538F63-3143-E2EA-BEDB-FD35F1EB5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853097">
          <a:off x="3887932" y="5231825"/>
          <a:ext cx="329044" cy="329044"/>
        </a:xfrm>
        <a:prstGeom prst="rect">
          <a:avLst/>
        </a:prstGeom>
      </xdr:spPr>
    </xdr:pic>
    <xdr:clientData/>
  </xdr:twoCellAnchor>
  <xdr:twoCellAnchor editAs="oneCell">
    <xdr:from>
      <xdr:col>4</xdr:col>
      <xdr:colOff>58708</xdr:colOff>
      <xdr:row>9</xdr:row>
      <xdr:rowOff>171182</xdr:rowOff>
    </xdr:from>
    <xdr:to>
      <xdr:col>4</xdr:col>
      <xdr:colOff>414599</xdr:colOff>
      <xdr:row>11</xdr:row>
      <xdr:rowOff>128755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9D94C3D7-8946-43A7-EAE2-1FBD6FE58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667488" flipH="1">
          <a:off x="2644720" y="1989082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8</xdr:col>
      <xdr:colOff>6113</xdr:colOff>
      <xdr:row>0</xdr:row>
      <xdr:rowOff>156881</xdr:rowOff>
    </xdr:from>
    <xdr:to>
      <xdr:col>8</xdr:col>
      <xdr:colOff>362004</xdr:colOff>
      <xdr:row>2</xdr:row>
      <xdr:rowOff>114454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41FE5776-2E95-46D0-B464-6F03314A8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667488" flipH="1">
          <a:off x="5640125" y="159428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12</xdr:col>
      <xdr:colOff>756907</xdr:colOff>
      <xdr:row>0</xdr:row>
      <xdr:rowOff>89647</xdr:rowOff>
    </xdr:from>
    <xdr:to>
      <xdr:col>13</xdr:col>
      <xdr:colOff>350798</xdr:colOff>
      <xdr:row>2</xdr:row>
      <xdr:rowOff>47220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4CDC2CE-E65A-45CE-85B2-8BC60D630B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667488" flipH="1">
          <a:off x="9438919" y="92194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15</xdr:col>
      <xdr:colOff>149242</xdr:colOff>
      <xdr:row>16</xdr:row>
      <xdr:rowOff>181841</xdr:rowOff>
    </xdr:from>
    <xdr:to>
      <xdr:col>15</xdr:col>
      <xdr:colOff>510227</xdr:colOff>
      <xdr:row>18</xdr:row>
      <xdr:rowOff>134320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77254034-4DA5-45B2-AFFC-6ED83EAC4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2654083" flipH="1">
          <a:off x="11439169" y="3409135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15</xdr:col>
      <xdr:colOff>504775</xdr:colOff>
      <xdr:row>47</xdr:row>
      <xdr:rowOff>156884</xdr:rowOff>
    </xdr:from>
    <xdr:to>
      <xdr:col>16</xdr:col>
      <xdr:colOff>149093</xdr:colOff>
      <xdr:row>49</xdr:row>
      <xdr:rowOff>114457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5FADA6C0-7474-4FAC-8967-D68536F52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18667488" flipH="1">
          <a:off x="11792155" y="9639607"/>
          <a:ext cx="360985" cy="355891"/>
        </a:xfrm>
        <a:prstGeom prst="rect">
          <a:avLst/>
        </a:prstGeom>
      </xdr:spPr>
    </xdr:pic>
    <xdr:clientData/>
  </xdr:twoCellAnchor>
  <xdr:twoCellAnchor editAs="oneCell">
    <xdr:from>
      <xdr:col>19</xdr:col>
      <xdr:colOff>658090</xdr:colOff>
      <xdr:row>47</xdr:row>
      <xdr:rowOff>147362</xdr:rowOff>
    </xdr:from>
    <xdr:to>
      <xdr:col>20</xdr:col>
      <xdr:colOff>394608</xdr:colOff>
      <xdr:row>50</xdr:row>
      <xdr:rowOff>53067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599B5B3E-B13C-6EF7-3FAA-496947629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4971568" y="9507840"/>
          <a:ext cx="498518" cy="503182"/>
        </a:xfrm>
        <a:prstGeom prst="rect">
          <a:avLst/>
        </a:prstGeom>
      </xdr:spPr>
    </xdr:pic>
    <xdr:clientData/>
  </xdr:twoCellAnchor>
  <xdr:twoCellAnchor editAs="oneCell">
    <xdr:from>
      <xdr:col>2</xdr:col>
      <xdr:colOff>81643</xdr:colOff>
      <xdr:row>0</xdr:row>
      <xdr:rowOff>0</xdr:rowOff>
    </xdr:from>
    <xdr:to>
      <xdr:col>2</xdr:col>
      <xdr:colOff>467591</xdr:colOff>
      <xdr:row>1</xdr:row>
      <xdr:rowOff>190399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5E9CFA04-46EA-4FCF-B0D9-753C5CDE3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46712" y="0"/>
          <a:ext cx="385948" cy="3895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28</xdr:row>
      <xdr:rowOff>0</xdr:rowOff>
    </xdr:from>
    <xdr:to>
      <xdr:col>11</xdr:col>
      <xdr:colOff>142875</xdr:colOff>
      <xdr:row>43</xdr:row>
      <xdr:rowOff>53788</xdr:rowOff>
    </xdr:to>
    <xdr:graphicFrame macro="">
      <xdr:nvGraphicFramePr>
        <xdr:cNvPr id="2" name="Estado de la propiedad">
          <a:extLst>
            <a:ext uri="{FF2B5EF4-FFF2-40B4-BE49-F238E27FC236}">
              <a16:creationId xmlns:a16="http://schemas.microsoft.com/office/drawing/2014/main" id="{A2173EE9-9E8F-A02C-A486-C0C2C16B8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103654</xdr:colOff>
      <xdr:row>48</xdr:row>
      <xdr:rowOff>160802</xdr:rowOff>
    </xdr:from>
    <xdr:to>
      <xdr:col>11</xdr:col>
      <xdr:colOff>103654</xdr:colOff>
      <xdr:row>64</xdr:row>
      <xdr:rowOff>35296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A14C9E-BC96-0A2F-CB42-4132E67562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8403</xdr:colOff>
      <xdr:row>68</xdr:row>
      <xdr:rowOff>20729</xdr:rowOff>
    </xdr:from>
    <xdr:to>
      <xdr:col>12</xdr:col>
      <xdr:colOff>151279</xdr:colOff>
      <xdr:row>93</xdr:row>
      <xdr:rowOff>145676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3369F2-B284-7A00-2E76-5CCEFD8DA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1274668</xdr:colOff>
      <xdr:row>108</xdr:row>
      <xdr:rowOff>172010</xdr:rowOff>
    </xdr:from>
    <xdr:to>
      <xdr:col>7</xdr:col>
      <xdr:colOff>226919</xdr:colOff>
      <xdr:row>124</xdr:row>
      <xdr:rowOff>46504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55C21EE-41C3-662F-D4B8-890737BAA6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476249</xdr:colOff>
      <xdr:row>90</xdr:row>
      <xdr:rowOff>75081</xdr:rowOff>
    </xdr:from>
    <xdr:to>
      <xdr:col>9</xdr:col>
      <xdr:colOff>621926</xdr:colOff>
      <xdr:row>105</xdr:row>
      <xdr:rowOff>128869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1F14B41-FEAB-B2BD-0912-1637960EDB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Laboratorios\Laboratorio-Excel\Dashboard%20IBM.xlsx" TargetMode="External"/><Relationship Id="rId1" Type="http://schemas.openxmlformats.org/officeDocument/2006/relationships/externalLinkPath" Target="/Users/gabri/HackIO/Laboratorios/Laboratorio-Excel/Dashboard%20IB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Proyecto\Proyecto1_DashboardExcel\EXCEL%20FINAL%20FINAL&#205;SIMO.xlsx" TargetMode="External"/><Relationship Id="rId1" Type="http://schemas.openxmlformats.org/officeDocument/2006/relationships/externalLinkPath" Target="EXCEL%20FINAL%20FINAL&#205;SI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Análisis"/>
    </sheetNames>
    <sheetDataSet>
      <sheetData sheetId="0"/>
      <sheetData sheetId="1">
        <row r="7">
          <cell r="B7" t="str">
            <v>CF age Band</v>
          </cell>
        </row>
        <row r="8">
          <cell r="G8"/>
        </row>
        <row r="10">
          <cell r="H10"/>
        </row>
        <row r="19">
          <cell r="C19">
            <v>36.934782608695649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l mercado inmobiliario"/>
      <sheetName val="Descripción datos"/>
      <sheetName val="Análisis"/>
      <sheetName val="Estadísticos"/>
      <sheetName val="Correlaciones"/>
      <sheetName val="Nulos y Duplicados"/>
      <sheetName val="Datos limpios"/>
      <sheetName val="datos numéricos"/>
      <sheetName val="Datos en bruto"/>
      <sheetName val="Bibliografía"/>
    </sheetNames>
    <sheetDataSet>
      <sheetData sheetId="0"/>
      <sheetData sheetId="1"/>
      <sheetData sheetId="2"/>
      <sheetData sheetId="3">
        <row r="45">
          <cell r="C45">
            <v>170.93796096200768</v>
          </cell>
        </row>
        <row r="79">
          <cell r="C79">
            <v>9386.1692103516925</v>
          </cell>
        </row>
        <row r="239">
          <cell r="C239">
            <v>2543.8067105985751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EXCEL%20FINAL%20FINAL&#205;SIM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a jiménez" refreshedDate="45608.956178935186" createdVersion="8" refreshedVersion="8" minRefreshableVersion="3" recordCount="3016" xr:uid="{A31B1845-0F94-448E-81F1-A57F680A2C9A}">
  <cacheSource type="worksheet">
    <worksheetSource name="Flats_Data_en_csv_otra_vez_NO_ELIMINAR4" r:id="rId2"/>
  </cacheSource>
  <cacheFields count="85">
    <cacheField name="society" numFmtId="0">
      <sharedItems/>
    </cacheField>
    <cacheField name="price (lakhs)" numFmtId="3">
      <sharedItems containsString="0" containsBlank="1" containsNumber="1" minValue="16" maxValue="1500" count="439">
        <n v="45"/>
        <n v="50"/>
        <n v="40"/>
        <n v="147"/>
        <n v="70"/>
        <n v="41"/>
        <n v="200"/>
        <n v="180"/>
        <n v="110"/>
        <n v="475"/>
        <n v="96"/>
        <n v="29"/>
        <n v="135"/>
        <n v="95"/>
        <n v="395"/>
        <n v="90"/>
        <n v="105"/>
        <m/>
        <n v="220.00000000000003"/>
        <n v="101"/>
        <n v="185"/>
        <n v="86"/>
        <n v="285"/>
        <n v="42"/>
        <n v="615"/>
        <n v="625"/>
        <n v="160"/>
        <n v="325"/>
        <n v="85"/>
        <n v="75"/>
        <n v="82"/>
        <n v="29.99"/>
        <n v="78"/>
        <n v="74"/>
        <n v="320"/>
        <n v="130"/>
        <n v="25"/>
        <n v="199"/>
        <n v="183"/>
        <n v="225"/>
        <n v="280"/>
        <n v="83"/>
        <n v="80"/>
        <n v="125"/>
        <n v="23"/>
        <n v="30"/>
        <n v="155"/>
        <n v="79"/>
        <n v="99"/>
        <n v="190"/>
        <n v="100"/>
        <n v="250"/>
        <n v="55"/>
        <n v="65"/>
        <n v="31.75"/>
        <n v="93"/>
        <n v="120"/>
        <n v="56"/>
        <n v="270"/>
        <n v="145"/>
        <n v="46"/>
        <n v="450"/>
        <n v="64"/>
        <n v="28"/>
        <n v="387"/>
        <n v="138"/>
        <n v="43"/>
        <n v="28.5"/>
        <n v="175"/>
        <n v="210"/>
        <n v="129"/>
        <n v="165"/>
        <n v="24"/>
        <n v="31.5"/>
        <n v="170"/>
        <n v="32"/>
        <n v="275"/>
        <n v="34"/>
        <n v="150"/>
        <n v="26"/>
        <n v="291"/>
        <n v="115"/>
        <n v="195"/>
        <n v="88"/>
        <n v="335"/>
        <n v="108"/>
        <n v="215"/>
        <n v="179"/>
        <n v="22"/>
        <n v="36"/>
        <n v="290"/>
        <n v="60"/>
        <n v="240"/>
        <n v="29.5"/>
        <n v="38"/>
        <n v="39"/>
        <n v="27"/>
        <n v="265"/>
        <n v="132"/>
        <n v="59"/>
        <n v="140"/>
        <n v="300"/>
        <n v="367"/>
        <n v="385"/>
        <n v="329"/>
        <n v="233"/>
        <n v="279"/>
        <n v="340"/>
        <n v="72"/>
        <n v="71"/>
        <n v="141"/>
        <n v="205"/>
        <n v="54"/>
        <n v="142"/>
        <n v="229"/>
        <n v="97"/>
        <n v="825"/>
        <n v="425"/>
        <n v="410"/>
        <n v="92"/>
        <n v="71.5"/>
        <n v="87.5"/>
        <n v="91"/>
        <n v="66"/>
        <n v="52.56"/>
        <n v="171"/>
        <n v="570"/>
        <n v="400"/>
        <n v="193"/>
        <n v="345"/>
        <n v="148"/>
        <n v="149"/>
        <n v="349"/>
        <n v="230"/>
        <n v="212"/>
        <n v="390"/>
        <n v="167"/>
        <n v="237"/>
        <n v="198"/>
        <n v="370"/>
        <n v="467"/>
        <n v="365"/>
        <n v="560"/>
        <n v="127"/>
        <n v="136"/>
        <n v="550"/>
        <n v="107"/>
        <n v="87"/>
        <n v="118"/>
        <n v="339"/>
        <n v="154"/>
        <n v="350"/>
        <n v="480"/>
        <n v="260"/>
        <n v="128"/>
        <n v="251"/>
        <n v="650"/>
        <n v="363"/>
        <n v="245.00000000000003"/>
        <n v="590"/>
        <n v="201"/>
        <n v="255"/>
        <n v="375"/>
        <n v="156"/>
        <n v="226"/>
        <n v="208"/>
        <n v="299"/>
        <n v="287"/>
        <n v="235"/>
        <n v="600"/>
        <n v="234"/>
        <n v="257"/>
        <n v="379"/>
        <n v="520"/>
        <n v="69"/>
        <n v="549"/>
        <n v="630"/>
        <n v="1125"/>
        <n v="330"/>
        <n v="151"/>
        <n v="460"/>
        <n v="715"/>
        <n v="164"/>
        <n v="675"/>
        <n v="176"/>
        <n v="360"/>
        <n v="178"/>
        <n v="98"/>
        <n v="282"/>
        <n v="321"/>
        <n v="119"/>
        <n v="54.99"/>
        <n v="126"/>
        <n v="295"/>
        <n v="332"/>
        <n v="109"/>
        <n v="187"/>
        <n v="177"/>
        <n v="495"/>
        <n v="531"/>
        <n v="305"/>
        <n v="116"/>
        <n v="355"/>
        <n v="152"/>
        <n v="228"/>
        <n v="98.5"/>
        <n v="56.2"/>
        <n v="133"/>
        <n v="380"/>
        <n v="203"/>
        <n v="112"/>
        <n v="104"/>
        <n v="319"/>
        <n v="88.5"/>
        <n v="49"/>
        <n v="470"/>
        <n v="62"/>
        <n v="173"/>
        <n v="445"/>
        <n v="440.00000000000006"/>
        <n v="463"/>
        <n v="27.75"/>
        <n v="278"/>
        <n v="525"/>
        <n v="124"/>
        <n v="298"/>
        <n v="137"/>
        <n v="500"/>
        <n v="117"/>
        <n v="222.00000000000003"/>
        <n v="66.989999999999995"/>
        <n v="204"/>
        <n v="224.00000000000003"/>
        <n v="131"/>
        <n v="158"/>
        <n v="168"/>
        <n v="455"/>
        <n v="478"/>
        <n v="616"/>
        <n v="530"/>
        <n v="21"/>
        <n v="272"/>
        <n v="750"/>
        <n v="1100"/>
        <n v="159"/>
        <n v="221"/>
        <n v="89.5"/>
        <n v="248"/>
        <n v="52"/>
        <n v="99.5"/>
        <n v="315"/>
        <n v="383"/>
        <n v="172"/>
        <n v="114"/>
        <n v="27.1"/>
        <n v="121"/>
        <n v="95.75"/>
        <n v="102"/>
        <n v="182"/>
        <n v="258"/>
        <n v="143"/>
        <n v="346"/>
        <n v="540"/>
        <n v="209"/>
        <n v="191"/>
        <n v="214"/>
        <n v="55.6"/>
        <n v="169"/>
        <n v="98.1"/>
        <n v="236"/>
        <n v="263"/>
        <n v="55.5"/>
        <n v="111"/>
        <n v="41.5"/>
        <n v="139"/>
        <n v="157"/>
        <n v="144"/>
        <n v="644"/>
        <n v="756"/>
        <n v="64.5"/>
        <n v="134"/>
        <n v="113"/>
        <n v="122"/>
        <n v="479"/>
        <n v="188"/>
        <n v="430"/>
        <n v="53"/>
        <n v="485"/>
        <n v="700"/>
        <n v="297"/>
        <n v="35"/>
        <n v="94.25"/>
        <n v="80.5"/>
        <n v="310"/>
        <n v="93.75"/>
        <n v="77.5"/>
        <n v="85.5"/>
        <n v="68.5"/>
        <n v="79.900000000000006"/>
        <n v="84"/>
        <n v="166"/>
        <n v="71.2"/>
        <n v="31"/>
        <n v="27.5"/>
        <n v="23.5"/>
        <n v="35.5"/>
        <n v="51"/>
        <n v="494.00000000000006"/>
        <n v="192"/>
        <n v="89"/>
        <n v="1075"/>
        <n v="914"/>
        <n v="835"/>
        <n v="73"/>
        <n v="48"/>
        <n v="81"/>
        <n v="37"/>
        <n v="26.1"/>
        <n v="106"/>
        <n v="36.5"/>
        <n v="211"/>
        <n v="610"/>
        <n v="575"/>
        <n v="1000"/>
        <n v="620"/>
        <n v="24.5"/>
        <n v="17.5"/>
        <n v="33"/>
        <n v="20"/>
        <n v="580"/>
        <n v="20.5"/>
        <n v="68"/>
        <n v="47.5"/>
        <n v="277"/>
        <n v="223"/>
        <n v="162"/>
        <n v="123"/>
        <n v="163"/>
        <n v="42.5"/>
        <n v="261"/>
        <n v="65.5"/>
        <n v="53.2"/>
        <n v="90.5"/>
        <n v="52.5"/>
        <n v="72.5"/>
        <n v="53.5"/>
        <n v="67"/>
        <n v="449"/>
        <n v="262"/>
        <n v="252"/>
        <n v="486.00000000000006"/>
        <n v="515"/>
        <n v="930"/>
        <n v="174"/>
        <n v="213"/>
        <n v="217"/>
        <n v="421"/>
        <n v="416"/>
        <n v="452"/>
        <n v="184"/>
        <n v="844"/>
        <n v="850"/>
        <n v="800"/>
        <n v="1320"/>
        <n v="292"/>
        <n v="238"/>
        <n v="97.5"/>
        <n v="264"/>
        <n v="249.00000000000003"/>
        <n v="146"/>
        <n v="63.4"/>
        <n v="206"/>
        <n v="207"/>
        <n v="44"/>
        <n v="420"/>
        <n v="232"/>
        <n v="186"/>
        <n v="85.75"/>
        <n v="87.99"/>
        <n v="86.99"/>
        <n v="995"/>
        <n v="920"/>
        <n v="49.5"/>
        <n v="16"/>
        <n v="286"/>
        <n v="86.92"/>
        <n v="94.99"/>
        <n v="88.4"/>
        <n v="372"/>
        <n v="57"/>
        <n v="95.5"/>
        <n v="96.07"/>
        <n v="19"/>
        <n v="70.849999999999994"/>
        <n v="94"/>
        <n v="752"/>
        <n v="40.299999999999997"/>
        <n v="32.5"/>
        <n v="296"/>
        <n v="58"/>
        <n v="153"/>
        <n v="47"/>
        <n v="82.5"/>
        <n v="61"/>
        <n v="1500"/>
        <n v="780"/>
        <n v="197"/>
        <n v="39.5"/>
        <n v="402"/>
        <n v="398"/>
        <n v="54.8"/>
        <n v="269"/>
        <n v="254"/>
        <n v="25.5"/>
        <n v="37.5"/>
        <n v="97.04"/>
        <n v="323"/>
        <n v="790"/>
        <n v="602"/>
        <n v="29.8"/>
        <n v="94.5"/>
        <n v="426"/>
        <n v="241"/>
        <n v="202"/>
        <n v="1400"/>
        <n v="244"/>
        <n v="900"/>
        <n v="399"/>
        <n v="64.45"/>
        <n v="37.1"/>
        <n v="740"/>
        <n v="378"/>
        <n v="98.88"/>
        <n v="68.849999999999994"/>
        <n v="26.9"/>
        <n v="26.5"/>
        <n v="73.53"/>
        <n v="89.77"/>
        <n v="62.5"/>
      </sharedItems>
    </cacheField>
    <cacheField name="price_per_sqft (rupias)" numFmtId="3">
      <sharedItems containsString="0" containsBlank="1" containsNumber="1" containsInteger="1" minValue="4" maxValue="200000"/>
    </cacheField>
    <cacheField name="bedRoom" numFmtId="0">
      <sharedItems containsString="0" containsBlank="1" containsNumber="1" containsInteger="1" minValue="1" maxValue="6"/>
    </cacheField>
    <cacheField name="facing" numFmtId="0">
      <sharedItems count="9">
        <s v="West"/>
        <s v="Unknown"/>
        <s v="North-East"/>
        <s v="South-East"/>
        <s v="East"/>
        <s v="North"/>
        <s v="South-West"/>
        <s v="North-West"/>
        <s v="South"/>
      </sharedItems>
    </cacheField>
    <cacheField name="agePossession" numFmtId="0">
      <sharedItems count="6">
        <s v="Relatively New"/>
        <s v="Old Property"/>
        <s v="New Property"/>
        <s v="Under Construction"/>
        <s v="Undefined"/>
        <s v="Moderately Old"/>
      </sharedItems>
    </cacheField>
    <cacheField name="Location" numFmtId="0">
      <sharedItems/>
    </cacheField>
    <cacheField name="Fan" numFmtId="0">
      <sharedItems containsSemiMixedTypes="0" containsString="0" containsNumber="1" containsInteger="1" minValue="0" maxValue="0"/>
    </cacheField>
    <cacheField name="Bed" numFmtId="0">
      <sharedItems containsSemiMixedTypes="0" containsString="0" containsNumber="1" containsInteger="1" minValue="0" maxValue="0"/>
    </cacheField>
    <cacheField name="bathroom" numFmtId="0">
      <sharedItems containsString="0" containsBlank="1" containsNumber="1" containsInteger="1" minValue="1" maxValue="7"/>
    </cacheField>
    <cacheField name="floorNum" numFmtId="0">
      <sharedItems containsString="0" containsBlank="1" containsNumber="1" containsInteger="1" minValue="0" maxValue="45"/>
    </cacheField>
    <cacheField name="balcony" numFmtId="0">
      <sharedItems containsString="0" containsBlank="1" containsNumber="1" containsInteger="1" minValue="0" maxValue="3"/>
    </cacheField>
    <cacheField name="BHK" numFmtId="0">
      <sharedItems containsSemiMixedTypes="0" containsString="0" containsNumber="1" containsInteger="1" minValue="1" maxValue="6" count="6">
        <n v="2"/>
        <n v="3"/>
        <n v="4"/>
        <n v="1"/>
        <n v="5"/>
        <n v="6"/>
      </sharedItems>
    </cacheField>
    <cacheField name="Total Floors" numFmtId="0">
      <sharedItems containsString="0" containsBlank="1" containsNumber="1" containsInteger="1" minValue="1" maxValue="55"/>
    </cacheField>
    <cacheField name="Servant_Room" numFmtId="0">
      <sharedItems containsSemiMixedTypes="0" containsString="0" containsNumber="1" containsInteger="1" minValue="0" maxValue="1"/>
    </cacheField>
    <cacheField name="Study_Room" numFmtId="0">
      <sharedItems containsSemiMixedTypes="0" containsString="0" containsNumber="1" containsInteger="1" minValue="0" maxValue="1"/>
    </cacheField>
    <cacheField name="Pooja_Room" numFmtId="0">
      <sharedItems containsSemiMixedTypes="0" containsString="0" containsNumber="1" containsInteger="1" minValue="0" maxValue="1"/>
    </cacheField>
    <cacheField name="Store_Room" numFmtId="0">
      <sharedItems containsSemiMixedTypes="0" containsString="0" containsNumber="1" containsInteger="1" minValue="0" maxValue="1"/>
    </cacheField>
    <cacheField name="Carpet_Area" numFmtId="0">
      <sharedItems containsMixedTypes="1" containsNumber="1" minValue="0" maxValue="874999.99999999988"/>
    </cacheField>
    <cacheField name="Built_Up_Area" numFmtId="0">
      <sharedItems containsString="0" containsBlank="1" containsNumber="1" minValue="97" maxValue="737147"/>
    </cacheField>
    <cacheField name="Super_BuiltUp_Area" numFmtId="0">
      <sharedItems containsString="0" containsBlank="1" containsNumber="1" minValue="89" maxValue="10000"/>
    </cacheField>
    <cacheField name="piped_gas" numFmtId="0">
      <sharedItems containsString="0" containsBlank="1" containsNumber="1" containsInteger="1" minValue="0" maxValue="1"/>
    </cacheField>
    <cacheField name="waste_disposal" numFmtId="0">
      <sharedItems containsString="0" containsBlank="1" containsNumber="1" containsInteger="1" minValue="0" maxValue="1"/>
    </cacheField>
    <cacheField name="shopping_centre" numFmtId="0">
      <sharedItems containsString="0" containsBlank="1" containsNumber="1" containsInteger="1" minValue="0" maxValue="1"/>
    </cacheField>
    <cacheField name="intercom" numFmtId="0">
      <sharedItems containsString="0" containsBlank="1" containsNumber="1" containsInteger="1" minValue="0" maxValue="1"/>
    </cacheField>
    <cacheField name="power_backup" numFmtId="0">
      <sharedItems containsString="0" containsBlank="1" containsNumber="1" containsInteger="1" minValue="0" maxValue="1"/>
    </cacheField>
    <cacheField name="central_ac" numFmtId="0">
      <sharedItems containsString="0" containsBlank="1" containsNumber="1" containsInteger="1" minValue="0" maxValue="1"/>
    </cacheField>
    <cacheField name="wifi" numFmtId="0">
      <sharedItems containsString="0" containsBlank="1" containsNumber="1" containsInteger="1" minValue="0" maxValue="1"/>
    </cacheField>
    <cacheField name="garden" numFmtId="0">
      <sharedItems containsString="0" containsBlank="1" containsNumber="1" containsInteger="1" minValue="0" maxValue="1"/>
    </cacheField>
    <cacheField name="community" numFmtId="0">
      <sharedItems containsString="0" containsBlank="1" containsNumber="1" containsInteger="1" minValue="0" maxValue="1"/>
    </cacheField>
    <cacheField name="staff" numFmtId="0">
      <sharedItems containsString="0" containsBlank="1" containsNumber="1" containsInteger="1" minValue="0" maxValue="1"/>
    </cacheField>
    <cacheField name="water_storage" numFmtId="0">
      <sharedItems containsString="0" containsBlank="1" containsNumber="1" containsInteger="1" minValue="0" maxValue="1"/>
    </cacheField>
    <cacheField name="visitor_parking" numFmtId="0">
      <sharedItems containsString="0" containsBlank="1" containsNumber="1" containsInteger="1" minValue="0" maxValue="1"/>
    </cacheField>
    <cacheField name="lift" numFmtId="0">
      <sharedItems containsString="0" containsBlank="1" containsNumber="1" containsInteger="1" minValue="0" maxValue="1"/>
    </cacheField>
    <cacheField name="vaastu" numFmtId="0">
      <sharedItems containsString="0" containsBlank="1" containsNumber="1" containsInteger="1" minValue="0" maxValue="1"/>
    </cacheField>
    <cacheField name="security" numFmtId="0">
      <sharedItems containsString="0" containsBlank="1" containsNumber="1" containsInteger="1" minValue="0" maxValue="1"/>
    </cacheField>
    <cacheField name="swimming" numFmtId="0">
      <sharedItems containsString="0" containsBlank="1" containsNumber="1" containsInteger="1" minValue="0" maxValue="1"/>
    </cacheField>
    <cacheField name="gym" numFmtId="0">
      <sharedItems containsString="0" containsBlank="1" containsNumber="1" containsInteger="1" minValue="0" maxValue="1"/>
    </cacheField>
    <cacheField name="luxury_score" numFmtId="0">
      <sharedItems containsSemiMixedTypes="0" containsString="0" containsNumber="1" containsInteger="1" minValue="0" maxValue="62"/>
    </cacheField>
    <cacheField name="Hospital" numFmtId="0">
      <sharedItems containsString="0" containsBlank="1" containsNumber="1" containsInteger="1" minValue="0" maxValue="1" count="3">
        <n v="1"/>
        <n v="0"/>
        <m/>
      </sharedItems>
    </cacheField>
    <cacheField name="Mall" numFmtId="0">
      <sharedItems containsString="0" containsBlank="1" containsNumber="1" containsInteger="1" minValue="0" maxValue="1" count="3">
        <n v="0"/>
        <n v="1"/>
        <m/>
      </sharedItems>
    </cacheField>
    <cacheField name="Mandir/Church" numFmtId="0">
      <sharedItems containsString="0" containsBlank="1" containsNumber="1" containsInteger="1" minValue="0" maxValue="1" count="3">
        <n v="1"/>
        <n v="0"/>
        <m/>
      </sharedItems>
    </cacheField>
    <cacheField name="ATM" numFmtId="0">
      <sharedItems containsString="0" containsBlank="1" containsNumber="1" containsInteger="1" minValue="0" maxValue="1" count="3">
        <n v="1"/>
        <n v="0"/>
        <m/>
      </sharedItems>
    </cacheField>
    <cacheField name="Bank" numFmtId="0">
      <sharedItems containsString="0" containsBlank="1" containsNumber="1" containsInteger="1" minValue="0" maxValue="1" count="3">
        <n v="1"/>
        <n v="0"/>
        <m/>
      </sharedItems>
    </cacheField>
    <cacheField name="School" numFmtId="0">
      <sharedItems containsString="0" containsBlank="1" containsNumber="1" containsInteger="1" minValue="0" maxValue="1" count="3">
        <n v="1"/>
        <n v="0"/>
        <m/>
      </sharedItems>
    </cacheField>
    <cacheField name="College" numFmtId="0">
      <sharedItems containsString="0" containsBlank="1" containsNumber="1" containsInteger="1" minValue="0" maxValue="1" count="3">
        <n v="1"/>
        <n v="0"/>
        <m/>
      </sharedItems>
    </cacheField>
    <cacheField name="Metro Station" numFmtId="0">
      <sharedItems containsString="0" containsBlank="1" containsNumber="1" containsInteger="1" minValue="0" maxValue="1" count="3">
        <n v="0"/>
        <n v="1"/>
        <m/>
      </sharedItems>
    </cacheField>
    <cacheField name="Airport" numFmtId="0">
      <sharedItems containsString="0" containsBlank="1" containsNumber="1" containsInteger="1" minValue="0" maxValue="1" count="3">
        <n v="0"/>
        <n v="1"/>
        <m/>
      </sharedItems>
    </cacheField>
    <cacheField name="Hotel" numFmtId="0">
      <sharedItems containsString="0" containsBlank="1" containsNumber="1" containsInteger="1" minValue="0" maxValue="1"/>
    </cacheField>
    <cacheField name="AC Malo" numFmtId="0">
      <sharedItems containsSemiMixedTypes="0" containsString="0" containsNumber="1" containsInteger="1" minValue="0" maxValue="14"/>
    </cacheField>
    <cacheField name="AC " numFmtId="0">
      <sharedItems containsSemiMixedTypes="0" containsString="0" containsNumber="1" containsInteger="1" minValue="0" maxValue="1"/>
    </cacheField>
    <cacheField name="Wardrobe malo" numFmtId="0">
      <sharedItems containsSemiMixedTypes="0" containsString="0" containsNumber="1" containsInteger="1" minValue="0" maxValue="13"/>
    </cacheField>
    <cacheField name="Wardrobe" numFmtId="0">
      <sharedItems containsSemiMixedTypes="0" containsString="0" containsNumber="1" containsInteger="1" minValue="0" maxValue="1"/>
    </cacheField>
    <cacheField name="Microwave malo" numFmtId="0">
      <sharedItems containsSemiMixedTypes="0" containsString="0" containsNumber="1" containsInteger="1" minValue="0" maxValue="2"/>
    </cacheField>
    <cacheField name="Microwave bueno" numFmtId="0">
      <sharedItems containsSemiMixedTypes="0" containsString="0" containsNumber="1" containsInteger="1" minValue="0" maxValue="1"/>
    </cacheField>
    <cacheField name="Fridge" numFmtId="0">
      <sharedItems containsSemiMixedTypes="0" containsString="0" containsNumber="1" containsInteger="1" minValue="0" maxValue="1"/>
    </cacheField>
    <cacheField name="Stove" numFmtId="0">
      <sharedItems containsSemiMixedTypes="0" containsString="0" containsNumber="1" containsInteger="1" minValue="0" maxValue="1"/>
    </cacheField>
    <cacheField name="Curtains malo" numFmtId="0">
      <sharedItems containsSemiMixedTypes="0" containsString="0" containsNumber="1" containsInteger="1" minValue="0" maxValue="16"/>
    </cacheField>
    <cacheField name="Curtains" numFmtId="0">
      <sharedItems containsSemiMixedTypes="0" containsString="0" containsNumber="1" containsInteger="1" minValue="0" maxValue="1"/>
    </cacheField>
    <cacheField name="Water Purifier" numFmtId="0">
      <sharedItems containsSemiMixedTypes="0" containsString="0" containsNumber="1" containsInteger="1" minValue="0" maxValue="1"/>
    </cacheField>
    <cacheField name="TV malo" numFmtId="0">
      <sharedItems containsSemiMixedTypes="0" containsString="0" containsNumber="1" containsInteger="1" minValue="0" maxValue="4"/>
    </cacheField>
    <cacheField name="TV " numFmtId="0">
      <sharedItems containsSemiMixedTypes="0" containsString="0" containsNumber="1" containsInteger="1" minValue="0" maxValue="1"/>
    </cacheField>
    <cacheField name="Modular Kitchen" numFmtId="0">
      <sharedItems containsSemiMixedTypes="0" containsString="0" containsNumber="1" containsInteger="1" minValue="0" maxValue="1"/>
    </cacheField>
    <cacheField name="Geyser malo" numFmtId="0">
      <sharedItems containsSemiMixedTypes="0" containsString="0" containsNumber="1" containsInteger="1" minValue="0" maxValue="7"/>
    </cacheField>
    <cacheField name="Geyser " numFmtId="0">
      <sharedItems containsSemiMixedTypes="0" containsString="0" containsNumber="1" containsInteger="1" minValue="0" maxValue="1"/>
    </cacheField>
    <cacheField name="Dining Table" numFmtId="0">
      <sharedItems containsSemiMixedTypes="0" containsString="0" containsNumber="1" containsInteger="1" minValue="0" maxValue="1"/>
    </cacheField>
    <cacheField name="Washing Machine" numFmtId="0">
      <sharedItems containsSemiMixedTypes="0" containsString="0" containsNumber="1" containsInteger="1" minValue="0" maxValue="0"/>
    </cacheField>
    <cacheField name="Exhaust Fan" numFmtId="0">
      <sharedItems containsSemiMixedTypes="0" containsString="0" containsNumber="1" containsInteger="1" minValue="0" maxValue="0"/>
    </cacheField>
    <cacheField name="Chimney" numFmtId="0">
      <sharedItems containsSemiMixedTypes="0" containsString="0" containsNumber="1" containsInteger="1" minValue="0" maxValue="0"/>
    </cacheField>
    <cacheField name="Light" numFmtId="0">
      <sharedItems containsSemiMixedTypes="0" containsString="0" containsNumber="1" containsInteger="1" minValue="0" maxValue="0"/>
    </cacheField>
    <cacheField name="Sofa" numFmtId="0">
      <sharedItems containsSemiMixedTypes="0" containsString="0" containsNumber="1" containsInteger="1" minValue="0" maxValue="0"/>
    </cacheField>
    <cacheField name="furnishing_type" numFmtId="0">
      <sharedItems containsSemiMixedTypes="0" containsString="0" containsNumber="1" containsInteger="1" minValue="0" maxValue="2"/>
    </cacheField>
    <cacheField name="area" numFmtId="0">
      <sharedItems containsString="0" containsBlank="1" containsNumber="1" minValue="7.2001152018430004E-4" maxValue="8.75"/>
    </cacheField>
    <cacheField name="Price (rupias)" numFmtId="3">
      <sharedItems containsString="0" containsBlank="1" containsNumber="1" minValue="1600000" maxValue="150000000"/>
    </cacheField>
    <cacheField name="price_per_sqft (lakhs)" numFmtId="0">
      <sharedItems containsString="0" containsBlank="1" containsNumber="1" minValue="4.0000000000000003E-5" maxValue="2"/>
    </cacheField>
    <cacheField name="Rangos de precios" numFmtId="4">
      <sharedItems count="7">
        <s v="Económico/bajo"/>
        <s v="Medio-bajo"/>
        <s v="Medio"/>
        <s v="Medio-alto"/>
        <s v="Lujo"/>
        <s v="Alto"/>
        <s v="Ultra-lujo"/>
      </sharedItems>
    </cacheField>
    <cacheField name="comprobación TotalFloors" numFmtId="0">
      <sharedItems/>
    </cacheField>
    <cacheField name="Furnishing type descripction" numFmtId="1">
      <sharedItems count="3">
        <s v="Sin amueblar"/>
        <s v="Amueblado"/>
        <s v="Semi-Amueblado"/>
      </sharedItems>
    </cacheField>
    <cacheField name="Rabgos luxury score" numFmtId="0">
      <sharedItems count="6">
        <s v="Moderado"/>
        <s v="Bueno"/>
        <s v="Bajo"/>
        <s v="Alto"/>
        <s v="Muy Alto"/>
        <s v="Lujo"/>
      </sharedItems>
    </cacheField>
    <cacheField name="Area es sqft" numFmtId="0">
      <sharedItems containsString="0" containsBlank="1" containsNumber="1" minValue="31.363719884317153" maxValue="381150.2195375"/>
    </cacheField>
    <cacheField name="Rangos area" numFmtId="0">
      <sharedItems count="4">
        <s v="Pequeña"/>
        <s v="Mediana"/>
        <s v="Muy grande"/>
        <s v="Grande"/>
      </sharedItems>
    </cacheField>
    <cacheField name="Rangos carpet area" numFmtId="0">
      <sharedItems count="5">
        <s v="Mediana"/>
        <s v="Pequeña"/>
        <s v="Grande"/>
        <s v="Muy grande"/>
        <e v="#DIV/0!"/>
      </sharedItems>
    </cacheField>
    <cacheField name="Rangos built up area" numFmtId="0">
      <sharedItems/>
    </cacheField>
    <cacheField name="Rangos super built up area" numFmtId="0">
      <sharedItems count="4">
        <s v="Pequeña"/>
        <s v="Mediana"/>
        <s v="Grande"/>
        <s v="Muy grande"/>
      </sharedItems>
    </cacheField>
    <cacheField name="Carpet area calculada" numFmtId="0">
      <sharedItems containsMixedTypes="1" containsNumber="1" minValue="0" maxValue="874999.99999999988"/>
    </cacheField>
  </cacheFields>
  <extLst>
    <ext xmlns:x14="http://schemas.microsoft.com/office/spreadsheetml/2009/9/main" uri="{725AE2AE-9491-48be-B2B4-4EB974FC3084}">
      <x14:pivotCacheDefinition pivotCacheId="118241178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6"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Apna Enclave"/>
    <x v="1"/>
    <n v="7692"/>
    <n v="2"/>
    <x v="0"/>
    <x v="1"/>
    <s v=" Ashok Vihar"/>
    <n v="0"/>
    <n v="0"/>
    <n v="2"/>
    <n v="1"/>
    <n v="1"/>
    <x v="0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x v="1"/>
    <s v="Todo bien"/>
    <x v="1"/>
    <x v="0"/>
    <n v="283.15148914456512"/>
    <x v="0"/>
    <x v="0"/>
    <s v="Pequeña"/>
    <x v="0"/>
    <n v="650.02600104004159"/>
  </r>
  <r>
    <s v="tulsiani easy in homes"/>
    <x v="2"/>
    <n v="6722"/>
    <n v="2"/>
    <x v="1"/>
    <x v="2"/>
    <s v=" Sohna"/>
    <n v="0"/>
    <n v="0"/>
    <n v="2"/>
    <n v="12"/>
    <n v="3"/>
    <x v="0"/>
    <n v="14"/>
    <n v="0"/>
    <n v="0"/>
    <n v="0"/>
    <n v="0"/>
    <n v="595"/>
    <m/>
    <m/>
    <n v="0"/>
    <n v="0"/>
    <n v="0"/>
    <n v="1"/>
    <n v="1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506099375185003E-3"/>
    <n v="4000000"/>
    <n v="6.7220000000000002E-2"/>
    <x v="0"/>
    <s v="Todo bien"/>
    <x v="0"/>
    <x v="0"/>
    <n v="259.20871817910921"/>
    <x v="0"/>
    <x v="1"/>
    <s v="Pequeña"/>
    <x v="0"/>
    <n v="595.06099375185954"/>
  </r>
  <r>
    <s v="    Smart World Orchard    "/>
    <x v="3"/>
    <n v="12250"/>
    <n v="2"/>
    <x v="1"/>
    <x v="3"/>
    <s v=" Sector 61 Gurgaon"/>
    <n v="0"/>
    <n v="0"/>
    <n v="2"/>
    <n v="2"/>
    <n v="2"/>
    <x v="0"/>
    <n v="4"/>
    <n v="0"/>
    <n v="1"/>
    <n v="0"/>
    <n v="0"/>
    <n v="1200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4700000"/>
    <n v="0.1225"/>
    <x v="2"/>
    <s v="Todo bien"/>
    <x v="0"/>
    <x v="1"/>
    <n v="522.72030108000001"/>
    <x v="1"/>
    <x v="0"/>
    <s v="Pequeña"/>
    <x v="0"/>
    <n v="1200"/>
  </r>
  <r>
    <s v="Parkwood Westend"/>
    <x v="4"/>
    <n v="5204"/>
    <n v="2"/>
    <x v="1"/>
    <x v="3"/>
    <s v=" Sector 92 Gurgaon"/>
    <n v="0"/>
    <n v="0"/>
    <n v="2"/>
    <n v="5"/>
    <n v="3"/>
    <x v="0"/>
    <n v="8"/>
    <n v="0"/>
    <n v="1"/>
    <n v="0"/>
    <n v="0"/>
    <n v="1345.119139123751"/>
    <m/>
    <n v="134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511913912375E-2"/>
    <n v="7000000"/>
    <n v="5.2040000000000003E-2"/>
    <x v="1"/>
    <s v="Todo bien"/>
    <x v="0"/>
    <x v="2"/>
    <n v="585.93423449269756"/>
    <x v="1"/>
    <x v="2"/>
    <s v="Pequeña"/>
    <x v="1"/>
    <n v="1345.119139123751"/>
  </r>
  <r>
    <s v="Signature Global Infinity Mall"/>
    <x v="5"/>
    <n v="6269"/>
    <n v="2"/>
    <x v="1"/>
    <x v="4"/>
    <s v=" Sector 36 Gurgaon"/>
    <n v="0"/>
    <n v="0"/>
    <n v="2"/>
    <n v="3"/>
    <n v="3"/>
    <x v="0"/>
    <n v="3"/>
    <n v="0"/>
    <n v="0"/>
    <n v="0"/>
    <n v="0"/>
    <n v="654.01180411548899"/>
    <n v="65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01180411548002E-3"/>
    <n v="4100000"/>
    <n v="6.2689999999999996E-2"/>
    <x v="0"/>
    <s v="Todo bien"/>
    <x v="0"/>
    <x v="2"/>
    <n v="284.88770596426474"/>
    <x v="0"/>
    <x v="0"/>
    <s v="Pequeña"/>
    <x v="0"/>
    <n v="654.01180411548899"/>
  </r>
  <r>
    <s v="The Cocoon"/>
    <x v="6"/>
    <n v="13333"/>
    <n v="3"/>
    <x v="1"/>
    <x v="2"/>
    <s v=" Dwarka Expressway Gurgaon"/>
    <n v="0"/>
    <n v="0"/>
    <n v="3"/>
    <n v="5"/>
    <n v="3"/>
    <x v="1"/>
    <n v="25"/>
    <n v="0"/>
    <n v="0"/>
    <n v="0"/>
    <n v="0"/>
    <n v="1500.0375009375234"/>
    <m/>
    <n v="1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3750093752E-2"/>
    <n v="20000000"/>
    <n v="0.13333"/>
    <x v="3"/>
    <s v="Todo bien"/>
    <x v="0"/>
    <x v="2"/>
    <n v="653.41671176779278"/>
    <x v="1"/>
    <x v="2"/>
    <s v="Pequeña"/>
    <x v="1"/>
    <n v="1500.0375009375234"/>
  </r>
  <r>
    <s v="ATS Triumph"/>
    <x v="7"/>
    <n v="7860"/>
    <n v="3"/>
    <x v="1"/>
    <x v="2"/>
    <s v=" Sector 104 Gurgaon"/>
    <n v="0"/>
    <n v="0"/>
    <n v="4"/>
    <n v="14"/>
    <n v="3"/>
    <x v="1"/>
    <n v="27"/>
    <n v="0"/>
    <n v="0"/>
    <n v="0"/>
    <n v="0"/>
    <n v="2813.1477642878294"/>
    <m/>
    <m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8000000"/>
    <n v="7.8600000000000003E-2"/>
    <x v="3"/>
    <s v="Todo bien"/>
    <x v="0"/>
    <x v="1"/>
    <n v="997.55782648854859"/>
    <x v="1"/>
    <x v="3"/>
    <s v="Pequeña"/>
    <x v="0"/>
    <n v="2290.0763358778627"/>
  </r>
  <r>
    <s v="Vatika XpreSS The Leafions"/>
    <x v="8"/>
    <n v="8148"/>
    <n v="2"/>
    <x v="2"/>
    <x v="3"/>
    <s v=" Sector 88B Gurgaon"/>
    <n v="0"/>
    <n v="0"/>
    <n v="4"/>
    <n v="2"/>
    <n v="3"/>
    <x v="0"/>
    <n v="3"/>
    <n v="0"/>
    <n v="1"/>
    <n v="0"/>
    <n v="0"/>
    <n v="1385.0415512465374"/>
    <n v="1350"/>
    <m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x v="2"/>
    <s v="Todo bien"/>
    <x v="0"/>
    <x v="1"/>
    <n v="588.07103091556007"/>
    <x v="1"/>
    <x v="2"/>
    <s v="Mediana"/>
    <x v="0"/>
    <n v="1350.0245459008347"/>
  </r>
  <r>
    <s v="Raheja Revanta"/>
    <x v="9"/>
    <n v="16885"/>
    <n v="3"/>
    <x v="1"/>
    <x v="3"/>
    <s v=" Sector 78 Gurgaon"/>
    <n v="0"/>
    <n v="0"/>
    <n v="3"/>
    <n v="31"/>
    <n v="2"/>
    <x v="1"/>
    <n v="40"/>
    <n v="1"/>
    <n v="0"/>
    <n v="0"/>
    <n v="0"/>
    <n v="2813.1477642878294"/>
    <n v="2813"/>
    <m/>
    <n v="0"/>
    <n v="1"/>
    <n v="0"/>
    <n v="1"/>
    <n v="0"/>
    <n v="0"/>
    <n v="1"/>
    <n v="1"/>
    <n v="0"/>
    <n v="1"/>
    <n v="0"/>
    <n v="1"/>
    <n v="1"/>
    <n v="0"/>
    <n v="1"/>
    <n v="1"/>
    <n v="1"/>
    <n v="3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31477642878201E-2"/>
    <n v="47500000"/>
    <n v="0.16885"/>
    <x v="4"/>
    <s v="Todo bien"/>
    <x v="0"/>
    <x v="3"/>
    <n v="1225.4078719425486"/>
    <x v="1"/>
    <x v="3"/>
    <s v="Muy grande"/>
    <x v="0"/>
    <n v="2813.1477642878294"/>
  </r>
  <r>
    <s v="Signature Global City "/>
    <x v="10"/>
    <n v="9767"/>
    <n v="2"/>
    <x v="1"/>
    <x v="3"/>
    <s v=" Sector 81 Gurgaon"/>
    <n v="0"/>
    <n v="0"/>
    <n v="2"/>
    <n v="1"/>
    <n v="2"/>
    <x v="0"/>
    <n v="4"/>
    <n v="0"/>
    <n v="0"/>
    <n v="0"/>
    <n v="0"/>
    <n v="639.023004828173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290160745366992E-3"/>
    <n v="9600000"/>
    <n v="9.7670000000000007E-2"/>
    <x v="1"/>
    <s v="Todo bien"/>
    <x v="0"/>
    <x v="1"/>
    <n v="428.15218681683194"/>
    <x v="0"/>
    <x v="0"/>
    <s v="Pequeña"/>
    <x v="0"/>
    <n v="982.90160745367041"/>
  </r>
  <r>
    <s v="HCBS Sports Ville"/>
    <x v="11"/>
    <n v="5587"/>
    <n v="2"/>
    <x v="1"/>
    <x v="0"/>
    <s v=" Sohna"/>
    <n v="0"/>
    <n v="0"/>
    <n v="2"/>
    <n v="4"/>
    <n v="1"/>
    <x v="0"/>
    <n v="13"/>
    <n v="0"/>
    <n v="0"/>
    <n v="0"/>
    <n v="0"/>
    <n v="2100.03818251240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6210846608004E-3"/>
    <n v="2900000"/>
    <n v="5.5870000000000003E-2"/>
    <x v="0"/>
    <s v="Todo bien"/>
    <x v="0"/>
    <x v="1"/>
    <n v="226.10358468050748"/>
    <x v="0"/>
    <x v="2"/>
    <s v="Pequeña"/>
    <x v="0"/>
    <n v="519.0621084660819"/>
  </r>
  <r>
    <s v="Supertech Araville"/>
    <x v="12"/>
    <n v="6940"/>
    <n v="3"/>
    <x v="1"/>
    <x v="0"/>
    <s v=" Sector 79 Gurgaon"/>
    <n v="0"/>
    <n v="0"/>
    <n v="3"/>
    <n v="4"/>
    <n v="3"/>
    <x v="1"/>
    <n v="15"/>
    <n v="0"/>
    <n v="0"/>
    <n v="0"/>
    <n v="0"/>
    <n v="2150.1627150162712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1.9452449567723299E-2"/>
    <n v="13500000"/>
    <n v="6.9400000000000003E-2"/>
    <x v="2"/>
    <s v="Todo bien"/>
    <x v="0"/>
    <x v="2"/>
    <n v="847.34919123198665"/>
    <x v="1"/>
    <x v="2"/>
    <s v="Pequeña"/>
    <x v="0"/>
    <n v="1945.2449567723343"/>
  </r>
  <r>
    <s v="Godrej"/>
    <x v="13"/>
    <n v="6859"/>
    <n v="2"/>
    <x v="3"/>
    <x v="3"/>
    <s v=" Sector 33 Gurgaon"/>
    <n v="0"/>
    <n v="0"/>
    <n v="2"/>
    <n v="3"/>
    <n v="3"/>
    <x v="0"/>
    <n v="20"/>
    <n v="0"/>
    <n v="0"/>
    <n v="0"/>
    <n v="0"/>
    <n v="1385.0415512465374"/>
    <m/>
    <n v="1385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x v="1"/>
    <s v="Todo bien"/>
    <x v="0"/>
    <x v="2"/>
    <n v="603.32444722991374"/>
    <x v="1"/>
    <x v="2"/>
    <s v="Pequeña"/>
    <x v="1"/>
    <n v="1385.0415512465374"/>
  </r>
  <r>
    <s v="Shree Vardhman Flora"/>
    <x v="4"/>
    <n v="5384"/>
    <n v="2"/>
    <x v="1"/>
    <x v="2"/>
    <s v=" Sector 90 Gurgaon"/>
    <n v="0"/>
    <n v="0"/>
    <n v="2"/>
    <n v="13"/>
    <n v="3"/>
    <x v="0"/>
    <n v="13"/>
    <n v="0"/>
    <n v="1"/>
    <n v="0"/>
    <n v="0"/>
    <n v="1300.1485884101041"/>
    <m/>
    <n v="130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485884101001E-2"/>
    <n v="7000000"/>
    <n v="5.3839999999999999E-2"/>
    <x v="1"/>
    <s v="Todo bien"/>
    <x v="0"/>
    <x v="2"/>
    <n v="566.34505131872049"/>
    <x v="1"/>
    <x v="2"/>
    <s v="Pequeña"/>
    <x v="1"/>
    <n v="1300.1485884101041"/>
  </r>
  <r>
    <s v="Sobha City"/>
    <x v="14"/>
    <n v="16859"/>
    <n v="4"/>
    <x v="1"/>
    <x v="4"/>
    <s v=" Sector 108 Gurgaon"/>
    <n v="0"/>
    <n v="0"/>
    <n v="5"/>
    <n v="25"/>
    <n v="3"/>
    <x v="2"/>
    <n v="25"/>
    <n v="0"/>
    <n v="0"/>
    <n v="0"/>
    <n v="0"/>
    <n v="1300.0917711838483"/>
    <n v="234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29622160270398E-2"/>
    <n v="39500000"/>
    <n v="0.16858999999999999"/>
    <x v="5"/>
    <s v="Todo bien"/>
    <x v="0"/>
    <x v="2"/>
    <n v="1020.5949291505987"/>
    <x v="1"/>
    <x v="2"/>
    <s v="Grande"/>
    <x v="0"/>
    <n v="2342.9622160270478"/>
  </r>
  <r>
    <s v="Senate Court"/>
    <x v="15"/>
    <n v="14084"/>
    <n v="1"/>
    <x v="1"/>
    <x v="4"/>
    <s v=" Sector 62 Gurgaon"/>
    <n v="0"/>
    <n v="0"/>
    <n v="1"/>
    <n v="0"/>
    <n v="0"/>
    <x v="3"/>
    <n v="1"/>
    <n v="0"/>
    <n v="0"/>
    <n v="0"/>
    <n v="0"/>
    <n v="639.02300482817384"/>
    <n v="63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902300482817E-3"/>
    <n v="9000000"/>
    <n v="0.14083999999999999"/>
    <x v="1"/>
    <s v="Todo bien"/>
    <x v="0"/>
    <x v="2"/>
    <n v="278.35858123402278"/>
    <x v="0"/>
    <x v="0"/>
    <s v="Pequeña"/>
    <x v="0"/>
    <n v="639.02300482817384"/>
  </r>
  <r>
    <s v="Shapoorji Pallonji Joyville Gurugram"/>
    <x v="16"/>
    <n v="11475"/>
    <n v="2"/>
    <x v="1"/>
    <x v="3"/>
    <s v=" Sector 102 Gurgaon"/>
    <n v="0"/>
    <n v="0"/>
    <n v="2"/>
    <n v="0"/>
    <n v="2"/>
    <x v="0"/>
    <n v="14"/>
    <n v="0"/>
    <n v="0"/>
    <n v="0"/>
    <n v="0"/>
    <n v="2038.25650674192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3267973856005E-3"/>
    <n v="10500000"/>
    <n v="0.11475"/>
    <x v="2"/>
    <s v="Todo bien"/>
    <x v="0"/>
    <x v="1"/>
    <n v="398.58846487581616"/>
    <x v="0"/>
    <x v="2"/>
    <s v="Pequeña"/>
    <x v="0"/>
    <n v="915.03267973856202"/>
  </r>
  <r>
    <s v="Signature Global Orchard Avenue "/>
    <x v="17"/>
    <m/>
    <n v="2"/>
    <x v="4"/>
    <x v="3"/>
    <s v=" Sector 93 Gurgaon"/>
    <n v="0"/>
    <n v="0"/>
    <n v="2"/>
    <n v="11"/>
    <n v="3"/>
    <x v="0"/>
    <n v="14"/>
    <n v="0"/>
    <n v="0"/>
    <n v="0"/>
    <n v="0"/>
    <n v="1570.0972447325769"/>
    <m/>
    <m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x v="0"/>
    <s v="Todo bien"/>
    <x v="0"/>
    <x v="4"/>
    <m/>
    <x v="0"/>
    <x v="2"/>
    <s v="Pequeña"/>
    <x v="0"/>
    <e v="#DIV/0!"/>
  </r>
  <r>
    <s v="Central Park Flower Valley"/>
    <x v="18"/>
    <n v="10476"/>
    <n v="3"/>
    <x v="2"/>
    <x v="2"/>
    <s v=" Sector-33 Sohna"/>
    <n v="0"/>
    <n v="0"/>
    <n v="3"/>
    <n v="12"/>
    <n v="3"/>
    <x v="1"/>
    <n v="13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1000381825123999E-2"/>
    <n v="22000000.000000004"/>
    <n v="0.10476000000000001"/>
    <x v="3"/>
    <s v="Todo bien"/>
    <x v="0"/>
    <x v="1"/>
    <n v="914.77715920198148"/>
    <x v="1"/>
    <x v="2"/>
    <s v="Pequeña"/>
    <x v="2"/>
    <n v="2100.0381825124095"/>
  </r>
  <r>
    <s v="Smart World Gems"/>
    <x v="19"/>
    <n v="9156"/>
    <n v="2"/>
    <x v="1"/>
    <x v="3"/>
    <s v=" Sector 89 Gurgaon"/>
    <n v="0"/>
    <n v="0"/>
    <n v="2"/>
    <n v="4"/>
    <n v="2"/>
    <x v="0"/>
    <n v="4"/>
    <n v="0"/>
    <n v="1"/>
    <n v="0"/>
    <n v="0"/>
    <n v="1897.3437187936886"/>
    <m/>
    <m/>
    <n v="1"/>
    <n v="0"/>
    <n v="0"/>
    <n v="1"/>
    <n v="0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0179117518E-2"/>
    <n v="10100000"/>
    <n v="9.1560000000000002E-2"/>
    <x v="2"/>
    <s v="Todo bien"/>
    <x v="0"/>
    <x v="0"/>
    <n v="480.5114170041478"/>
    <x v="0"/>
    <x v="2"/>
    <s v="Pequeña"/>
    <x v="0"/>
    <n v="1103.1017911751856"/>
  </r>
  <r>
    <s v="Bestech Altura"/>
    <x v="20"/>
    <n v="8604"/>
    <n v="3"/>
    <x v="5"/>
    <x v="2"/>
    <s v=" Sector 79 Gurgaon"/>
    <n v="0"/>
    <n v="0"/>
    <n v="4"/>
    <n v="11"/>
    <n v="3"/>
    <x v="1"/>
    <n v="22"/>
    <n v="1"/>
    <n v="0"/>
    <n v="0"/>
    <n v="0"/>
    <n v="2150.162715016271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x v="3"/>
    <s v="Todo bien"/>
    <x v="1"/>
    <x v="1"/>
    <n v="936.61141813691245"/>
    <x v="1"/>
    <x v="2"/>
    <s v="Pequeña"/>
    <x v="2"/>
    <n v="2150.1627150162712"/>
  </r>
  <r>
    <s v="Smart World Gems"/>
    <x v="21"/>
    <n v="7796"/>
    <n v="2"/>
    <x v="1"/>
    <x v="3"/>
    <s v=" Sector 89 Gurgaon"/>
    <n v="0"/>
    <n v="0"/>
    <n v="3"/>
    <n v="4"/>
    <n v="3"/>
    <x v="0"/>
    <n v="4"/>
    <n v="0"/>
    <n v="0"/>
    <n v="0"/>
    <n v="0"/>
    <n v="1103.129810159056"/>
    <m/>
    <n v="1103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2981015905E-2"/>
    <n v="8600000"/>
    <n v="7.7960000000000002E-2"/>
    <x v="1"/>
    <s v="Todo bien"/>
    <x v="0"/>
    <x v="2"/>
    <n v="480.5236220805516"/>
    <x v="0"/>
    <x v="0"/>
    <s v="Pequeña"/>
    <x v="1"/>
    <n v="1103.129810159056"/>
  </r>
  <r>
    <s v="Emaar Imperial Gardens"/>
    <x v="20"/>
    <n v="9135"/>
    <n v="3"/>
    <x v="6"/>
    <x v="0"/>
    <s v=" Sector 102 Gurgaon"/>
    <n v="0"/>
    <n v="0"/>
    <n v="3"/>
    <n v="0"/>
    <n v="3"/>
    <x v="1"/>
    <n v="14"/>
    <n v="1"/>
    <n v="0"/>
    <n v="0"/>
    <n v="0"/>
    <n v="2314.8148148148148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1778872468498E-2"/>
    <n v="18500000"/>
    <n v="9.1350000000000001E-2"/>
    <x v="3"/>
    <s v="Todo bien"/>
    <x v="1"/>
    <x v="4"/>
    <n v="882.16799580185977"/>
    <x v="1"/>
    <x v="2"/>
    <s v="Pequeña"/>
    <x v="0"/>
    <n v="2025.1778872468528"/>
  </r>
  <r>
    <s v="La Vida by Tata Housing"/>
    <x v="22"/>
    <n v="12855"/>
    <n v="3"/>
    <x v="4"/>
    <x v="2"/>
    <s v=" Sector 113 Gurgaon"/>
    <n v="0"/>
    <n v="0"/>
    <n v="3"/>
    <n v="10"/>
    <n v="3"/>
    <x v="1"/>
    <n v="25"/>
    <n v="1"/>
    <n v="0"/>
    <n v="0"/>
    <n v="0"/>
    <n v="2217.0361726954493"/>
    <m/>
    <n v="2217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0361726954399E-2"/>
    <n v="28500000"/>
    <n v="0.12855"/>
    <x v="5"/>
    <s v="Todo bien"/>
    <x v="0"/>
    <x v="3"/>
    <n v="965.74151308050943"/>
    <x v="1"/>
    <x v="2"/>
    <s v="Pequeña"/>
    <x v="2"/>
    <n v="2217.0361726954493"/>
  </r>
  <r>
    <s v="The Serenas"/>
    <x v="23"/>
    <n v="7910"/>
    <n v="2"/>
    <x v="1"/>
    <x v="4"/>
    <s v=" Sector 36 Gurgaon"/>
    <n v="0"/>
    <n v="0"/>
    <n v="2"/>
    <n v="3"/>
    <n v="1"/>
    <x v="0"/>
    <n v="3"/>
    <n v="0"/>
    <n v="0"/>
    <n v="0"/>
    <n v="0"/>
    <n v="1056.6762728146014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097345132742998E-3"/>
    <n v="4200000"/>
    <n v="7.9100000000000004E-2"/>
    <x v="0"/>
    <s v="Todo bien"/>
    <x v="0"/>
    <x v="2"/>
    <n v="231.29216861946745"/>
    <x v="0"/>
    <x v="0"/>
    <s v="Pequeña"/>
    <x v="0"/>
    <n v="530.97345132743362"/>
  </r>
  <r>
    <s v="MM Golfestate"/>
    <x v="24"/>
    <n v="18331"/>
    <n v="3"/>
    <x v="2"/>
    <x v="4"/>
    <s v=" Sector 65 Gurgaon"/>
    <n v="0"/>
    <n v="0"/>
    <n v="4"/>
    <n v="20"/>
    <n v="2"/>
    <x v="1"/>
    <n v="20"/>
    <n v="0"/>
    <n v="0"/>
    <n v="0"/>
    <n v="0"/>
    <n v="560.06179992275008"/>
    <n v="335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49724510392197E-2"/>
    <n v="61500000"/>
    <n v="0.18331"/>
    <x v="6"/>
    <s v="Todo bien"/>
    <x v="0"/>
    <x v="2"/>
    <n v="1461.4268414352721"/>
    <x v="1"/>
    <x v="1"/>
    <s v="Muy grande"/>
    <x v="0"/>
    <n v="3354.972451039223"/>
  </r>
  <r>
    <s v="Central Park Resort Belgravia Residences"/>
    <x v="25"/>
    <n v="24300"/>
    <n v="3"/>
    <x v="3"/>
    <x v="5"/>
    <s v=" Sector 48 Gurgaon"/>
    <n v="0"/>
    <n v="0"/>
    <n v="5"/>
    <n v="5"/>
    <n v="3"/>
    <x v="1"/>
    <n v="17"/>
    <n v="1"/>
    <n v="0"/>
    <n v="0"/>
    <n v="0"/>
    <n v="1370.151770657672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10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5720164609053499E-2"/>
    <n v="62500000"/>
    <n v="0.24299999999999999"/>
    <x v="6"/>
    <s v="Todo bien"/>
    <x v="1"/>
    <x v="1"/>
    <n v="1120.3710156893005"/>
    <x v="1"/>
    <x v="2"/>
    <s v="Pequeña"/>
    <x v="0"/>
    <n v="2572.01646090535"/>
  </r>
  <r>
    <s v="Apex builders"/>
    <x v="23"/>
    <n v="5600"/>
    <n v="2"/>
    <x v="5"/>
    <x v="0"/>
    <s v=" Sector 37C Gurgaon"/>
    <n v="0"/>
    <n v="0"/>
    <n v="2"/>
    <n v="4"/>
    <n v="2"/>
    <x v="0"/>
    <n v="12"/>
    <n v="0"/>
    <n v="0"/>
    <n v="0"/>
    <n v="0"/>
    <n v="2159.1363454618154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x v="0"/>
    <s v="Todo bien"/>
    <x v="0"/>
    <x v="0"/>
    <n v="326.70018817499999"/>
    <x v="0"/>
    <x v="2"/>
    <s v="Pequeña"/>
    <x v="0"/>
    <n v="750"/>
  </r>
  <r>
    <s v="Godrej Habitat"/>
    <x v="12"/>
    <n v="12784"/>
    <n v="2"/>
    <x v="2"/>
    <x v="4"/>
    <s v=" Sector 3 Gurgaon"/>
    <n v="0"/>
    <n v="0"/>
    <n v="2"/>
    <n v="4"/>
    <n v="0"/>
    <x v="0"/>
    <n v="4"/>
    <n v="0"/>
    <n v="0"/>
    <n v="0"/>
    <n v="0"/>
    <n v="1950.0780031201248"/>
    <n v="1056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00750938673E-2"/>
    <n v="13500000"/>
    <n v="0.12784000000000001"/>
    <x v="2"/>
    <s v="Todo bien"/>
    <x v="0"/>
    <x v="2"/>
    <n v="459.99713604114373"/>
    <x v="0"/>
    <x v="2"/>
    <s v="Mediana"/>
    <x v="0"/>
    <n v="1056.0075093867333"/>
  </r>
  <r>
    <s v="Ompee K S Residency"/>
    <x v="26"/>
    <n v="26936"/>
    <n v="2"/>
    <x v="1"/>
    <x v="0"/>
    <s v=" New Palam Vihar"/>
    <n v="0"/>
    <n v="0"/>
    <n v="2"/>
    <n v="1"/>
    <n v="2"/>
    <x v="0"/>
    <n v="4"/>
    <n v="0"/>
    <n v="0"/>
    <n v="0"/>
    <n v="0"/>
    <n v="4245.683555052363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00059400059003E-3"/>
    <n v="16000000"/>
    <n v="0.26935999999999999"/>
    <x v="3"/>
    <s v="Todo bien"/>
    <x v="0"/>
    <x v="2"/>
    <n v="258.74680778140606"/>
    <x v="0"/>
    <x v="3"/>
    <s v="Pequeña"/>
    <x v="0"/>
    <n v="594.00059400059399"/>
  </r>
  <r>
    <s v="Bhawna CGHS"/>
    <x v="27"/>
    <n v="10156"/>
    <n v="4"/>
    <x v="1"/>
    <x v="5"/>
    <s v=" Sector 43 Gurgaon"/>
    <n v="0"/>
    <n v="0"/>
    <n v="4"/>
    <n v="12"/>
    <n v="3"/>
    <x v="2"/>
    <n v="12"/>
    <n v="0"/>
    <n v="0"/>
    <n v="1"/>
    <n v="0"/>
    <n v="984.61538461538453"/>
    <m/>
    <n v="32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0"/>
    <x v="0"/>
    <x v="0"/>
    <x v="1"/>
    <x v="1"/>
    <x v="1"/>
    <x v="0"/>
    <n v="0"/>
    <n v="7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2000787711697502E-2"/>
    <n v="32500000"/>
    <n v="0.10156"/>
    <x v="5"/>
    <s v="Todo bien"/>
    <x v="1"/>
    <x v="3"/>
    <n v="1393.955115621307"/>
    <x v="1"/>
    <x v="0"/>
    <s v="Pequeña"/>
    <x v="3"/>
    <n v="3200.0787711697521"/>
  </r>
  <r>
    <s v="Adani Aangan Arcade"/>
    <x v="0"/>
    <n v="7194"/>
    <n v="2"/>
    <x v="1"/>
    <x v="2"/>
    <s v=" Sector 88A Gurgaon"/>
    <n v="0"/>
    <n v="0"/>
    <n v="2"/>
    <n v="8"/>
    <n v="1"/>
    <x v="0"/>
    <n v="12"/>
    <n v="0"/>
    <n v="0"/>
    <n v="0"/>
    <n v="0"/>
    <n v="1120.0995644057248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55212677231E-3"/>
    <n v="4500000"/>
    <n v="7.1940000000000004E-2"/>
    <x v="0"/>
    <s v="Todo bien"/>
    <x v="0"/>
    <x v="2"/>
    <n v="272.47722116346847"/>
    <x v="0"/>
    <x v="0"/>
    <s v="Pequeña"/>
    <x v="0"/>
    <n v="625.5212677231026"/>
  </r>
  <r>
    <s v="Sare Green Parc"/>
    <x v="28"/>
    <n v="6538"/>
    <n v="3"/>
    <x v="1"/>
    <x v="4"/>
    <s v=" Sector 92 Gurgaon"/>
    <n v="0"/>
    <n v="0"/>
    <n v="2"/>
    <n v="20"/>
    <n v="2"/>
    <x v="1"/>
    <n v="20"/>
    <n v="0"/>
    <n v="0"/>
    <n v="0"/>
    <n v="0"/>
    <n v="1300.0917711838483"/>
    <n v="1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9177118384E-2"/>
    <n v="8500000"/>
    <n v="6.5379999999999994E-2"/>
    <x v="1"/>
    <s v="Todo bien"/>
    <x v="0"/>
    <x v="2"/>
    <n v="566.32030172070608"/>
    <x v="1"/>
    <x v="2"/>
    <s v="Mediana"/>
    <x v="0"/>
    <n v="1300.0917711838483"/>
  </r>
  <r>
    <s v="Shree Vardhman Flora"/>
    <x v="29"/>
    <n v="5769"/>
    <n v="2"/>
    <x v="2"/>
    <x v="4"/>
    <s v=" Sector 90 Gurgaon"/>
    <n v="0"/>
    <n v="0"/>
    <n v="2"/>
    <n v="8"/>
    <n v="3"/>
    <x v="0"/>
    <n v="8"/>
    <n v="0"/>
    <n v="0"/>
    <n v="0"/>
    <n v="0"/>
    <n v="1995.8941605839418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7500000"/>
    <n v="5.7689999999999998E-2"/>
    <x v="1"/>
    <s v="Todo bien"/>
    <x v="0"/>
    <x v="2"/>
    <n v="566.30297828913024"/>
    <x v="1"/>
    <x v="2"/>
    <s v="Pequeña"/>
    <x v="0"/>
    <n v="1300.0520020800832"/>
  </r>
  <r>
    <s v="Supertech Hues"/>
    <x v="30"/>
    <n v="6950"/>
    <n v="2"/>
    <x v="1"/>
    <x v="3"/>
    <s v=" Sector 68 Gurgaon"/>
    <n v="0"/>
    <n v="0"/>
    <n v="2"/>
    <n v="21"/>
    <n v="3"/>
    <x v="0"/>
    <n v="24"/>
    <n v="0"/>
    <n v="0"/>
    <n v="0"/>
    <n v="0"/>
    <n v="1179.8561151079136"/>
    <m/>
    <n v="118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85611510791E-2"/>
    <n v="8200000"/>
    <n v="6.9500000000000006E-2"/>
    <x v="1"/>
    <s v="Todo bien"/>
    <x v="0"/>
    <x v="3"/>
    <n v="513.94561976690488"/>
    <x v="1"/>
    <x v="0"/>
    <s v="Pequeña"/>
    <x v="1"/>
    <n v="1179.8561151079136"/>
  </r>
  <r>
    <s v="Chintels Paradiso"/>
    <x v="7"/>
    <n v="8866"/>
    <n v="3"/>
    <x v="4"/>
    <x v="5"/>
    <s v=" Sector 109 Gurgaon"/>
    <n v="0"/>
    <n v="0"/>
    <n v="3"/>
    <n v="0"/>
    <n v="2"/>
    <x v="1"/>
    <n v="11"/>
    <n v="1"/>
    <n v="0"/>
    <n v="0"/>
    <n v="0"/>
    <n v="1789.061168853297"/>
    <m/>
    <n v="2030"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0"/>
    <x v="0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022783667944E-2"/>
    <n v="18000000"/>
    <n v="8.8660000000000003E-2"/>
    <x v="3"/>
    <s v="Todo bien"/>
    <x v="0"/>
    <x v="3"/>
    <n v="884.3677550417284"/>
    <x v="1"/>
    <x v="2"/>
    <s v="Pequeña"/>
    <x v="2"/>
    <n v="2030.2278366794494"/>
  </r>
  <r>
    <s v="Breez Global Hill View"/>
    <x v="31"/>
    <n v="5403"/>
    <n v="2"/>
    <x v="2"/>
    <x v="2"/>
    <s v=" Sohna"/>
    <n v="0"/>
    <n v="0"/>
    <n v="2"/>
    <n v="6"/>
    <n v="2"/>
    <x v="0"/>
    <n v="19"/>
    <n v="0"/>
    <n v="0"/>
    <n v="0"/>
    <n v="0"/>
    <n v="1562.5"/>
    <m/>
    <n v="655"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506200259115004E-3"/>
    <n v="2999000"/>
    <n v="5.4030000000000002E-2"/>
    <x v="0"/>
    <s v="Todo bien"/>
    <x v="0"/>
    <x v="3"/>
    <n v="241.78514759376142"/>
    <x v="0"/>
    <x v="2"/>
    <s v="Pequeña"/>
    <x v="0"/>
    <n v="555.06200259115303"/>
  </r>
  <r>
    <s v="ILD Greens"/>
    <x v="32"/>
    <n v="5714"/>
    <n v="2"/>
    <x v="5"/>
    <x v="5"/>
    <s v=" Sector 37C Gurgaon"/>
    <n v="0"/>
    <n v="0"/>
    <n v="2"/>
    <n v="1"/>
    <n v="3"/>
    <x v="0"/>
    <n v="19"/>
    <n v="0"/>
    <n v="0"/>
    <n v="0"/>
    <n v="0"/>
    <n v="1828.0949326491339"/>
    <n v="1068.0999999999999"/>
    <n v="136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6506825341267E-2"/>
    <n v="7800000"/>
    <n v="5.7140000000000003E-2"/>
    <x v="1"/>
    <s v="Todo bien"/>
    <x v="1"/>
    <x v="3"/>
    <n v="594.62407368218385"/>
    <x v="1"/>
    <x v="2"/>
    <s v="Mediana"/>
    <x v="1"/>
    <n v="1365.0682534126706"/>
  </r>
  <r>
    <s v="Ansal Sushant Lok CI"/>
    <x v="6"/>
    <n v="15151"/>
    <n v="3"/>
    <x v="5"/>
    <x v="1"/>
    <s v=" Sector 43 Gurgaon"/>
    <n v="0"/>
    <n v="0"/>
    <n v="3"/>
    <n v="1"/>
    <n v="2"/>
    <x v="1"/>
    <n v="3"/>
    <n v="1"/>
    <n v="0"/>
    <n v="0"/>
    <n v="0"/>
    <n v="958.02125065319626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0"/>
    <x v="0"/>
    <x v="0"/>
    <x v="1"/>
    <x v="1"/>
    <x v="0"/>
    <n v="0"/>
    <n v="0"/>
    <n v="0"/>
    <n v="5"/>
    <n v="1"/>
    <n v="0"/>
    <n v="0"/>
    <n v="0"/>
    <n v="0"/>
    <n v="1"/>
    <n v="1"/>
    <n v="0"/>
    <n v="2"/>
    <n v="1"/>
    <n v="0"/>
    <n v="3"/>
    <n v="1"/>
    <n v="1"/>
    <n v="0"/>
    <n v="0"/>
    <n v="0"/>
    <n v="0"/>
    <n v="0"/>
    <n v="1"/>
    <n v="1.32004488152597E-2"/>
    <n v="20000000"/>
    <n v="0.15151000000000001"/>
    <x v="3"/>
    <s v="Todo bien"/>
    <x v="2"/>
    <x v="2"/>
    <n v="575.01188159197329"/>
    <x v="1"/>
    <x v="0"/>
    <s v="Pequeña"/>
    <x v="0"/>
    <n v="1320.0448815259717"/>
  </r>
  <r>
    <s v="Ashiana Mulberry"/>
    <x v="33"/>
    <n v="6200"/>
    <n v="2"/>
    <x v="7"/>
    <x v="2"/>
    <s v=" Sohna"/>
    <n v="0"/>
    <n v="0"/>
    <n v="2"/>
    <n v="12"/>
    <n v="3"/>
    <x v="0"/>
    <n v="17"/>
    <n v="0"/>
    <n v="0"/>
    <n v="0"/>
    <n v="0"/>
    <n v="1310.0436681222707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935483870967699E-2"/>
    <n v="7400000"/>
    <n v="6.2E-2"/>
    <x v="1"/>
    <s v="Todo bien"/>
    <x v="0"/>
    <x v="4"/>
    <n v="519.90997688064328"/>
    <x v="1"/>
    <x v="2"/>
    <s v="Pequeña"/>
    <x v="0"/>
    <n v="1193.5483870967741"/>
  </r>
  <r>
    <s v="Godrej Meridien"/>
    <x v="34"/>
    <n v="16000"/>
    <n v="3"/>
    <x v="1"/>
    <x v="3"/>
    <s v=" Sector 106 Gurgaon"/>
    <n v="0"/>
    <n v="0"/>
    <n v="3"/>
    <n v="6"/>
    <n v="3"/>
    <x v="1"/>
    <n v="24"/>
    <n v="1"/>
    <n v="0"/>
    <n v="0"/>
    <n v="0"/>
    <n v="1440.12407222776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32000000"/>
    <n v="0.16"/>
    <x v="5"/>
    <s v="Todo bien"/>
    <x v="0"/>
    <x v="1"/>
    <n v="871.2005018000001"/>
    <x v="1"/>
    <x v="2"/>
    <s v="Pequeña"/>
    <x v="0"/>
    <n v="2000"/>
  </r>
  <r>
    <s v="Mapsko Casa Bella"/>
    <x v="35"/>
    <n v="6378"/>
    <n v="4"/>
    <x v="5"/>
    <x v="0"/>
    <s v=" Sector 82 Gurgaon"/>
    <n v="0"/>
    <n v="0"/>
    <n v="4"/>
    <n v="1"/>
    <n v="3"/>
    <x v="2"/>
    <n v="25"/>
    <n v="1"/>
    <n v="0"/>
    <n v="0"/>
    <n v="0"/>
    <n v="2038.2565067419253"/>
    <m/>
    <n v="196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825650674192E-2"/>
    <n v="13000000"/>
    <n v="6.3780000000000003E-2"/>
    <x v="2"/>
    <s v="Todo bien"/>
    <x v="0"/>
    <x v="5"/>
    <n v="887.86504573533796"/>
    <x v="1"/>
    <x v="2"/>
    <s v="Pequeña"/>
    <x v="1"/>
    <n v="2038.2565067419253"/>
  </r>
  <r>
    <s v="Pooja Apartment"/>
    <x v="36"/>
    <n v="3571"/>
    <n v="2"/>
    <x v="4"/>
    <x v="0"/>
    <s v=" Ashok Vihar Phase 3 Extension"/>
    <n v="0"/>
    <n v="0"/>
    <n v="2"/>
    <n v="2"/>
    <n v="2"/>
    <x v="0"/>
    <n v="4"/>
    <n v="0"/>
    <n v="0"/>
    <n v="0"/>
    <n v="0"/>
    <n v="1400.1077005923532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7.0008401008119997E-3"/>
    <n v="2500000"/>
    <n v="3.5709999999999999E-2"/>
    <x v="0"/>
    <s v="Todo bien"/>
    <x v="0"/>
    <x v="2"/>
    <n v="304.95677044244889"/>
    <x v="0"/>
    <x v="2"/>
    <s v="Pequeña"/>
    <x v="0"/>
    <n v="700.08401008120973"/>
  </r>
  <r>
    <s v="Signature Global Park"/>
    <x v="13"/>
    <n v="7846"/>
    <n v="3"/>
    <x v="1"/>
    <x v="0"/>
    <s v=" Sohna"/>
    <n v="0"/>
    <n v="0"/>
    <n v="2"/>
    <n v="1"/>
    <n v="3"/>
    <x v="1"/>
    <n v="4"/>
    <n v="0"/>
    <n v="0"/>
    <n v="0"/>
    <n v="0"/>
    <n v="2000"/>
    <n v="1210.73"/>
    <m/>
    <n v="0"/>
    <n v="0"/>
    <n v="0"/>
    <n v="0"/>
    <n v="0"/>
    <n v="0"/>
    <n v="0"/>
    <n v="1"/>
    <n v="1"/>
    <n v="1"/>
    <n v="1"/>
    <n v="0"/>
    <n v="1"/>
    <n v="0"/>
    <n v="1"/>
    <n v="1"/>
    <n v="1"/>
    <n v="2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8080550599001E-2"/>
    <n v="9500000"/>
    <n v="7.8460000000000002E-2"/>
    <x v="1"/>
    <s v="Todo bien"/>
    <x v="0"/>
    <x v="1"/>
    <n v="527.42829257583355"/>
    <x v="1"/>
    <x v="2"/>
    <s v="Mediana"/>
    <x v="0"/>
    <n v="1210.8080550599032"/>
  </r>
  <r>
    <s v="DLF New Town Heights "/>
    <x v="37"/>
    <n v="7297"/>
    <n v="4"/>
    <x v="4"/>
    <x v="0"/>
    <s v=" Sector 90 Gurgaon"/>
    <n v="0"/>
    <n v="0"/>
    <n v="4"/>
    <n v="9"/>
    <n v="3"/>
    <x v="2"/>
    <n v="29"/>
    <n v="1"/>
    <n v="0"/>
    <n v="1"/>
    <n v="0"/>
    <n v="1276.052743513398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72714814307249E-2"/>
    <n v="19900000"/>
    <n v="7.2969999999999993E-2"/>
    <x v="3"/>
    <s v="Todo bien"/>
    <x v="1"/>
    <x v="5"/>
    <n v="1187.9464153638457"/>
    <x v="1"/>
    <x v="2"/>
    <s v="Pequeña"/>
    <x v="0"/>
    <n v="2727.1481430724957"/>
  </r>
  <r>
    <s v="Paras Dews"/>
    <x v="16"/>
    <n v="7581"/>
    <n v="2"/>
    <x v="0"/>
    <x v="2"/>
    <s v=" Sector 106 Gurgaon"/>
    <n v="0"/>
    <n v="0"/>
    <n v="2"/>
    <n v="5"/>
    <n v="2"/>
    <x v="0"/>
    <n v="8"/>
    <n v="0"/>
    <n v="0"/>
    <n v="0"/>
    <n v="0"/>
    <n v="1258.9173310952581"/>
    <m/>
    <m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50415512465301E-2"/>
    <n v="10500000"/>
    <n v="7.5810000000000002E-2"/>
    <x v="2"/>
    <s v="Todo bien"/>
    <x v="0"/>
    <x v="5"/>
    <n v="603.32444722991374"/>
    <x v="1"/>
    <x v="2"/>
    <s v="Pequeña"/>
    <x v="0"/>
    <n v="1385.0415512465374"/>
  </r>
  <r>
    <s v="Godrej Air"/>
    <x v="38"/>
    <n v="10005"/>
    <n v="3"/>
    <x v="1"/>
    <x v="3"/>
    <s v=" Sector 85 Gurgaon"/>
    <n v="0"/>
    <n v="0"/>
    <n v="3"/>
    <n v="18"/>
    <n v="3"/>
    <x v="1"/>
    <n v="32"/>
    <n v="0"/>
    <n v="0"/>
    <n v="0"/>
    <n v="0"/>
    <n v="1640.0612289525475"/>
    <m/>
    <m/>
    <n v="0"/>
    <n v="0"/>
    <n v="1"/>
    <n v="0"/>
    <n v="0"/>
    <n v="1"/>
    <n v="0"/>
    <n v="1"/>
    <n v="1"/>
    <n v="1"/>
    <n v="1"/>
    <n v="1"/>
    <n v="1"/>
    <n v="0"/>
    <n v="1"/>
    <n v="1"/>
    <n v="1"/>
    <n v="4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90854572713601E-2"/>
    <n v="18300000"/>
    <n v="0.10005"/>
    <x v="3"/>
    <s v="Todo bien"/>
    <x v="0"/>
    <x v="4"/>
    <n v="796.7500841049457"/>
    <x v="1"/>
    <x v="2"/>
    <s v="Pequeña"/>
    <x v="0"/>
    <n v="1829.0854572713642"/>
  </r>
  <r>
    <s v="DLF The Primus"/>
    <x v="39"/>
    <n v="10714"/>
    <n v="3"/>
    <x v="4"/>
    <x v="0"/>
    <s v=" Sector 82A Gurgaon"/>
    <n v="0"/>
    <n v="0"/>
    <n v="3"/>
    <n v="29"/>
    <n v="3"/>
    <x v="1"/>
    <n v="31"/>
    <n v="1"/>
    <n v="0"/>
    <n v="0"/>
    <n v="0"/>
    <n v="609.98856271444913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1000560014933702E-2"/>
    <n v="22500000"/>
    <n v="0.10714"/>
    <x v="3"/>
    <s v="Todo bien"/>
    <x v="2"/>
    <x v="4"/>
    <n v="914.78492115456288"/>
    <x v="1"/>
    <x v="0"/>
    <s v="Pequeña"/>
    <x v="0"/>
    <n v="2100.0560014933731"/>
  </r>
  <r>
    <s v="Emaar MGF Emerald Floors Premier"/>
    <x v="40"/>
    <n v="16969"/>
    <n v="3"/>
    <x v="1"/>
    <x v="0"/>
    <s v=" Sector 65 Gurgaon"/>
    <n v="0"/>
    <n v="0"/>
    <n v="3"/>
    <n v="3"/>
    <n v="3"/>
    <x v="1"/>
    <n v="5"/>
    <n v="1"/>
    <n v="1"/>
    <n v="0"/>
    <n v="0"/>
    <n v="1690.1027582477016"/>
    <m/>
    <m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1"/>
    <n v="1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65006777064058E-2"/>
    <n v="28000000"/>
    <n v="0.16969000000000001"/>
    <x v="5"/>
    <s v="Todo bien"/>
    <x v="1"/>
    <x v="1"/>
    <n v="718.76993489304039"/>
    <x v="1"/>
    <x v="2"/>
    <s v="Pequeña"/>
    <x v="0"/>
    <n v="1650.0677706405797"/>
  </r>
  <r>
    <s v="DLF Regency Park "/>
    <x v="26"/>
    <n v="14545"/>
    <n v="2"/>
    <x v="5"/>
    <x v="0"/>
    <s v=" DLF Phase 4"/>
    <n v="0"/>
    <n v="0"/>
    <n v="2"/>
    <n v="3"/>
    <n v="2"/>
    <x v="0"/>
    <n v="26"/>
    <n v="0"/>
    <n v="0"/>
    <n v="0"/>
    <n v="0"/>
    <n v="1934.9845201238388"/>
    <m/>
    <m/>
    <n v="0"/>
    <n v="0"/>
    <n v="0"/>
    <n v="1"/>
    <n v="1"/>
    <n v="0"/>
    <n v="0"/>
    <n v="1"/>
    <n v="1"/>
    <n v="1"/>
    <n v="0"/>
    <n v="0"/>
    <n v="1"/>
    <n v="0"/>
    <n v="0"/>
    <n v="1"/>
    <n v="1"/>
    <n v="24"/>
    <x v="0"/>
    <x v="0"/>
    <x v="0"/>
    <x v="0"/>
    <x v="0"/>
    <x v="1"/>
    <x v="1"/>
    <x v="1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343760742499E-2"/>
    <n v="16000000"/>
    <n v="0.14545"/>
    <x v="3"/>
    <s v="Todo bien"/>
    <x v="0"/>
    <x v="1"/>
    <n v="479.17525021656826"/>
    <x v="0"/>
    <x v="2"/>
    <s v="Pequeña"/>
    <x v="0"/>
    <n v="1100.0343760742524"/>
  </r>
  <r>
    <s v="Supertech Araville"/>
    <x v="41"/>
    <n v="5424"/>
    <n v="2"/>
    <x v="2"/>
    <x v="2"/>
    <s v=" Sector 79 Gurgaon"/>
    <n v="0"/>
    <n v="0"/>
    <n v="2"/>
    <n v="5"/>
    <n v="3"/>
    <x v="0"/>
    <n v="18"/>
    <n v="0"/>
    <n v="1"/>
    <n v="0"/>
    <n v="0"/>
    <n v="650.026001040041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1"/>
    <n v="1"/>
    <n v="1"/>
    <n v="1"/>
    <n v="1"/>
    <n v="1"/>
    <n v="1"/>
    <n v="0"/>
    <n v="0"/>
    <n v="1"/>
    <n v="1"/>
    <n v="1"/>
    <n v="0"/>
    <n v="0"/>
    <n v="0"/>
    <n v="0"/>
    <n v="0"/>
    <n v="0"/>
    <n v="1"/>
    <n v="1.53023598820059E-2"/>
    <n v="8300000"/>
    <n v="5.4239999999999997E-2"/>
    <x v="1"/>
    <s v="Todo bien"/>
    <x v="2"/>
    <x v="1"/>
    <n v="666.57118039638647"/>
    <x v="1"/>
    <x v="0"/>
    <s v="Pequeña"/>
    <x v="0"/>
    <n v="1530.2359882005901"/>
  </r>
  <r>
    <s v="Signature Global Park"/>
    <x v="41"/>
    <n v="7410"/>
    <n v="3"/>
    <x v="1"/>
    <x v="2"/>
    <s v=" Sohna"/>
    <n v="0"/>
    <n v="0"/>
    <n v="2"/>
    <n v="1"/>
    <n v="2"/>
    <x v="1"/>
    <n v="4"/>
    <n v="0"/>
    <n v="0"/>
    <n v="0"/>
    <n v="0"/>
    <n v="1789.0970322037467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1079622132201E-2"/>
    <n v="8300000"/>
    <n v="7.4099999999999999E-2"/>
    <x v="1"/>
    <s v="Todo bien"/>
    <x v="0"/>
    <x v="2"/>
    <n v="487.91930937516639"/>
    <x v="0"/>
    <x v="2"/>
    <s v="Pequeña"/>
    <x v="0"/>
    <n v="1120.1079622132254"/>
  </r>
  <r>
    <s v="Maxworth City Residences"/>
    <x v="42"/>
    <n v="6400"/>
    <n v="2"/>
    <x v="1"/>
    <x v="2"/>
    <s v=" Sector 10A Gurgaon"/>
    <n v="0"/>
    <n v="0"/>
    <n v="3"/>
    <n v="9"/>
    <n v="2"/>
    <x v="0"/>
    <n v="12"/>
    <n v="0"/>
    <n v="0"/>
    <n v="0"/>
    <n v="0"/>
    <n v="2016.1290322580646"/>
    <m/>
    <m/>
    <n v="0"/>
    <n v="0"/>
    <n v="0"/>
    <n v="1"/>
    <n v="0"/>
    <n v="0"/>
    <n v="0"/>
    <n v="1"/>
    <n v="1"/>
    <n v="0"/>
    <n v="1"/>
    <n v="1"/>
    <n v="1"/>
    <n v="0"/>
    <n v="1"/>
    <n v="0"/>
    <n v="1"/>
    <n v="2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8000000"/>
    <n v="6.4000000000000001E-2"/>
    <x v="1"/>
    <s v="Todo bien"/>
    <x v="0"/>
    <x v="1"/>
    <n v="544.5003136250001"/>
    <x v="1"/>
    <x v="2"/>
    <s v="Pequeña"/>
    <x v="0"/>
    <n v="1250"/>
  </r>
  <r>
    <s v="Deepak Minda"/>
    <x v="43"/>
    <n v="4715"/>
    <n v="4"/>
    <x v="1"/>
    <x v="5"/>
    <s v=" Sector 1A IMT Manesar"/>
    <n v="0"/>
    <n v="0"/>
    <n v="4"/>
    <n v="6"/>
    <n v="3"/>
    <x v="2"/>
    <n v="10"/>
    <n v="0"/>
    <n v="0"/>
    <n v="0"/>
    <n v="0"/>
    <n v="1689.02615577646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11134676564099E-2"/>
    <n v="12500000"/>
    <n v="4.7149999999999997E-2"/>
    <x v="2"/>
    <s v="Todo bien"/>
    <x v="0"/>
    <x v="1"/>
    <n v="1154.8256916755013"/>
    <x v="1"/>
    <x v="2"/>
    <s v="Pequeña"/>
    <x v="0"/>
    <n v="2651.1134676564157"/>
  </r>
  <r>
    <s v="Shree Shyam residency"/>
    <x v="44"/>
    <n v="5000"/>
    <n v="1"/>
    <x v="8"/>
    <x v="0"/>
    <s v=" Block A Surya Vihar"/>
    <n v="0"/>
    <n v="0"/>
    <n v="1"/>
    <n v="2"/>
    <n v="1"/>
    <x v="3"/>
    <n v="4"/>
    <n v="0"/>
    <n v="0"/>
    <n v="0"/>
    <n v="0"/>
    <n v="1838.2352941176468"/>
    <m/>
    <m/>
    <n v="0"/>
    <n v="0"/>
    <n v="0"/>
    <n v="0"/>
    <n v="0"/>
    <n v="0"/>
    <n v="0"/>
    <n v="0"/>
    <n v="0"/>
    <n v="0"/>
    <n v="0"/>
    <n v="0"/>
    <n v="1"/>
    <n v="0"/>
    <n v="1"/>
    <n v="0"/>
    <n v="0"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999999999999999E-3"/>
    <n v="2300000"/>
    <n v="0.05"/>
    <x v="0"/>
    <s v="Todo bien"/>
    <x v="0"/>
    <x v="2"/>
    <n v="200.376115414"/>
    <x v="0"/>
    <x v="2"/>
    <s v="Pequeña"/>
    <x v="0"/>
    <n v="460"/>
  </r>
  <r>
    <s v="Pivotal Devaan"/>
    <x v="45"/>
    <n v="6666"/>
    <n v="1"/>
    <x v="1"/>
    <x v="2"/>
    <s v=" Sector 84 Gurgaon"/>
    <n v="0"/>
    <n v="0"/>
    <n v="1"/>
    <n v="14"/>
    <n v="1"/>
    <x v="3"/>
    <n v="14"/>
    <n v="0"/>
    <n v="0"/>
    <n v="0"/>
    <n v="0"/>
    <n v="810.09796533534279"/>
    <m/>
    <m/>
    <n v="0"/>
    <n v="0"/>
    <n v="0"/>
    <n v="0"/>
    <n v="0"/>
    <n v="0"/>
    <n v="0"/>
    <n v="0"/>
    <n v="0"/>
    <n v="1"/>
    <n v="1"/>
    <n v="0"/>
    <n v="0"/>
    <n v="0"/>
    <n v="1"/>
    <n v="0"/>
    <n v="0"/>
    <n v="13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004500450044997E-3"/>
    <n v="3000000"/>
    <n v="6.6659999999999997E-2"/>
    <x v="0"/>
    <s v="Todo bien"/>
    <x v="0"/>
    <x v="0"/>
    <n v="196.03971687668766"/>
    <x v="0"/>
    <x v="0"/>
    <s v="Pequeña"/>
    <x v="0"/>
    <n v="450.04500450045009"/>
  </r>
  <r>
    <s v="Unitech The Residences"/>
    <x v="46"/>
    <n v="9872"/>
    <n v="3"/>
    <x v="8"/>
    <x v="0"/>
    <s v=" Sector 33 Gurgaon"/>
    <n v="0"/>
    <n v="0"/>
    <n v="4"/>
    <n v="1"/>
    <n v="1"/>
    <x v="1"/>
    <n v="11"/>
    <n v="1"/>
    <n v="0"/>
    <n v="0"/>
    <n v="0"/>
    <n v="1570.0972447325769"/>
    <m/>
    <n v="157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1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972447325701E-2"/>
    <n v="15500000"/>
    <n v="9.8720000000000002E-2"/>
    <x v="3"/>
    <s v="Todo bien"/>
    <x v="0"/>
    <x v="0"/>
    <n v="683.93475374290631"/>
    <x v="1"/>
    <x v="2"/>
    <s v="Pequeña"/>
    <x v="1"/>
    <n v="1570.0972447325769"/>
  </r>
  <r>
    <s v="CHD Avenue "/>
    <x v="47"/>
    <n v="6594"/>
    <n v="2"/>
    <x v="3"/>
    <x v="0"/>
    <s v=" Sector 71 Gurgaon"/>
    <n v="0"/>
    <n v="0"/>
    <n v="2"/>
    <n v="8"/>
    <n v="2"/>
    <x v="0"/>
    <n v="14"/>
    <n v="0"/>
    <n v="0"/>
    <n v="0"/>
    <n v="0"/>
    <n v="1198.0588413709434"/>
    <m/>
    <n v="1198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19805884137094E-2"/>
    <n v="7900000"/>
    <n v="6.5939999999999999E-2"/>
    <x v="1"/>
    <s v="Todo bien"/>
    <x v="0"/>
    <x v="2"/>
    <n v="521.87473189414482"/>
    <x v="1"/>
    <x v="0"/>
    <s v="Pequeña"/>
    <x v="1"/>
    <n v="1198.0588413709434"/>
  </r>
  <r>
    <s v="Gokuldham Society, Bahadurgarh"/>
    <x v="1"/>
    <n v="5555"/>
    <n v="2"/>
    <x v="1"/>
    <x v="5"/>
    <s v=" Sector-7 Housing Board"/>
    <n v="0"/>
    <n v="0"/>
    <n v="2"/>
    <n v="2"/>
    <n v="2"/>
    <x v="0"/>
    <n v="2"/>
    <n v="0"/>
    <n v="0"/>
    <n v="0"/>
    <n v="1"/>
    <n v="380.05472788081482"/>
    <m/>
    <n v="9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0009000900089994E-3"/>
    <n v="5000000"/>
    <n v="5.5550000000000002E-2"/>
    <x v="1"/>
    <s v="Todo bien"/>
    <x v="0"/>
    <x v="2"/>
    <n v="392.07943375337533"/>
    <x v="0"/>
    <x v="1"/>
    <s v="Pequeña"/>
    <x v="0"/>
    <n v="900.09000900090007"/>
  </r>
  <r>
    <s v="Silverglades The Melia"/>
    <x v="19"/>
    <n v="7000"/>
    <n v="2"/>
    <x v="1"/>
    <x v="3"/>
    <s v=" Sohna"/>
    <n v="0"/>
    <n v="0"/>
    <n v="2"/>
    <n v="12"/>
    <n v="3"/>
    <x v="0"/>
    <n v="12"/>
    <n v="0"/>
    <n v="1"/>
    <n v="0"/>
    <n v="0"/>
    <n v="1744.2742302441984"/>
    <m/>
    <n v="14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4285714285714E-2"/>
    <n v="10100000"/>
    <n v="7.0000000000000007E-2"/>
    <x v="2"/>
    <s v="Todo bien"/>
    <x v="0"/>
    <x v="3"/>
    <n v="628.50893344142742"/>
    <x v="1"/>
    <x v="2"/>
    <s v="Pequeña"/>
    <x v="1"/>
    <n v="1442.8571428571427"/>
  </r>
  <r>
    <s v="Sare Crescent Parc Royal Greens Phase "/>
    <x v="13"/>
    <n v="5007"/>
    <n v="4"/>
    <x v="1"/>
    <x v="5"/>
    <s v=" Sector 92 Gurgaon"/>
    <n v="0"/>
    <n v="0"/>
    <n v="5"/>
    <n v="4"/>
    <n v="3"/>
    <x v="2"/>
    <n v="14"/>
    <n v="1"/>
    <n v="0"/>
    <n v="0"/>
    <n v="0"/>
    <n v="1897.3437187936886"/>
    <m/>
    <n v="1897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73437187936801E-2"/>
    <n v="9500000"/>
    <n v="5.0070000000000003E-2"/>
    <x v="1"/>
    <s v="Todo bien"/>
    <x v="0"/>
    <x v="0"/>
    <n v="826.48339995006609"/>
    <x v="1"/>
    <x v="2"/>
    <s v="Pequeña"/>
    <x v="1"/>
    <n v="1897.3437187936886"/>
  </r>
  <r>
    <s v="Umang Winter Hills"/>
    <x v="48"/>
    <n v="7857"/>
    <n v="2"/>
    <x v="5"/>
    <x v="0"/>
    <s v=" Sector 77 Gurgaon"/>
    <n v="0"/>
    <n v="0"/>
    <n v="2"/>
    <n v="1"/>
    <n v="2"/>
    <x v="0"/>
    <n v="18"/>
    <n v="0"/>
    <n v="0"/>
    <n v="0"/>
    <n v="0"/>
    <n v="1252.0253351008985"/>
    <m/>
    <n v="1260"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229095074401E-2"/>
    <n v="9900000"/>
    <n v="7.8570000000000001E-2"/>
    <x v="1"/>
    <s v="Todo bien"/>
    <x v="0"/>
    <x v="1"/>
    <n v="548.86629552118893"/>
    <x v="1"/>
    <x v="2"/>
    <s v="Pequeña"/>
    <x v="1"/>
    <n v="1260.0229095074455"/>
  </r>
  <r>
    <s v="Ramprastha Skyz"/>
    <x v="8"/>
    <n v="6376"/>
    <n v="3"/>
    <x v="4"/>
    <x v="3"/>
    <s v=" Sector 37D Gurgaon"/>
    <n v="0"/>
    <n v="0"/>
    <n v="3"/>
    <n v="7"/>
    <n v="3"/>
    <x v="1"/>
    <n v="19"/>
    <n v="0"/>
    <n v="0"/>
    <n v="0"/>
    <n v="0"/>
    <n v="1725.219573400251"/>
    <m/>
    <n v="1725"/>
    <n v="1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195734002499E-2"/>
    <n v="11000000"/>
    <n v="6.3759999999999997E-2"/>
    <x v="2"/>
    <s v="Todo bien"/>
    <x v="0"/>
    <x v="4"/>
    <n v="751.5060790307399"/>
    <x v="1"/>
    <x v="2"/>
    <s v="Pequeña"/>
    <x v="1"/>
    <n v="1725.219573400251"/>
  </r>
  <r>
    <s v="S Aradhya Homes"/>
    <x v="49"/>
    <n v="8863"/>
    <n v="4"/>
    <x v="1"/>
    <x v="2"/>
    <s v=" Sector 67A Gurgaon"/>
    <n v="0"/>
    <n v="0"/>
    <n v="4"/>
    <n v="3"/>
    <n v="3"/>
    <x v="2"/>
    <n v="4"/>
    <n v="0"/>
    <n v="0"/>
    <n v="0"/>
    <n v="0"/>
    <n v="2143.7436533904997"/>
    <m/>
    <n v="2200"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0"/>
    <x v="1"/>
    <x v="1"/>
    <x v="1"/>
    <x v="1"/>
    <x v="0"/>
    <x v="0"/>
    <x v="0"/>
    <x v="1"/>
    <n v="1"/>
    <n v="0"/>
    <n v="0"/>
    <n v="4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2.14374365339049E-2"/>
    <n v="19000000"/>
    <n v="8.863E-2"/>
    <x v="3"/>
    <s v="Todo bien"/>
    <x v="1"/>
    <x v="2"/>
    <n v="933.8152732821801"/>
    <x v="1"/>
    <x v="2"/>
    <s v="Pequeña"/>
    <x v="2"/>
    <n v="2143.7436533904997"/>
  </r>
  <r>
    <s v="ILD Greens"/>
    <x v="50"/>
    <n v="4320"/>
    <n v="3"/>
    <x v="5"/>
    <x v="3"/>
    <s v=" Sector 37C Gurgaon"/>
    <n v="0"/>
    <n v="0"/>
    <n v="3"/>
    <n v="5"/>
    <n v="3"/>
    <x v="1"/>
    <n v="20"/>
    <n v="0"/>
    <n v="0"/>
    <n v="0"/>
    <n v="0"/>
    <n v="2314.8148148148148"/>
    <m/>
    <n v="1875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48148148148098E-2"/>
    <n v="10000000"/>
    <n v="4.3200000000000002E-2"/>
    <x v="1"/>
    <s v="Todo bien"/>
    <x v="0"/>
    <x v="1"/>
    <n v="1008.3339141203683"/>
    <x v="1"/>
    <x v="2"/>
    <s v="Pequeña"/>
    <x v="1"/>
    <n v="2314.8148148148148"/>
  </r>
  <r>
    <s v="BPTP Freedom Park Life"/>
    <x v="51"/>
    <n v="11111"/>
    <n v="3"/>
    <x v="1"/>
    <x v="5"/>
    <s v=" Sector 57 Gurgaon"/>
    <n v="0"/>
    <n v="0"/>
    <n v="3"/>
    <n v="9"/>
    <n v="3"/>
    <x v="1"/>
    <n v="15"/>
    <n v="0"/>
    <n v="0"/>
    <n v="0"/>
    <n v="0"/>
    <n v="2250.0225002250022"/>
    <m/>
    <n v="2250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500225002250001E-2"/>
    <n v="25000000"/>
    <n v="0.11111"/>
    <x v="3"/>
    <s v="Todo bien"/>
    <x v="0"/>
    <x v="2"/>
    <n v="980.11036562865536"/>
    <x v="1"/>
    <x v="2"/>
    <s v="Pequeña"/>
    <x v="2"/>
    <n v="2250.0225002250022"/>
  </r>
  <r>
    <s v="Godrej Habitat"/>
    <x v="8"/>
    <n v="10410"/>
    <n v="2"/>
    <x v="1"/>
    <x v="3"/>
    <s v=" Sector 3 Gurgaon"/>
    <n v="0"/>
    <n v="0"/>
    <n v="2"/>
    <n v="14"/>
    <n v="2"/>
    <x v="0"/>
    <n v="17"/>
    <n v="0"/>
    <n v="0"/>
    <n v="0"/>
    <n v="0"/>
    <n v="1056.6762728146014"/>
    <m/>
    <n v="1056.58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6762728146E-2"/>
    <n v="11000000"/>
    <n v="0.1041"/>
    <x v="2"/>
    <s v="Todo bien"/>
    <x v="0"/>
    <x v="2"/>
    <n v="460.28844955811667"/>
    <x v="0"/>
    <x v="0"/>
    <s v="Pequeña"/>
    <x v="1"/>
    <n v="1056.6762728146014"/>
  </r>
  <r>
    <s v="Ramsons Kshitij"/>
    <x v="11"/>
    <n v="5178"/>
    <n v="2"/>
    <x v="1"/>
    <x v="0"/>
    <s v=" Sector 95 Gurgaon"/>
    <n v="0"/>
    <n v="0"/>
    <n v="2"/>
    <n v="14"/>
    <n v="2"/>
    <x v="0"/>
    <n v="14"/>
    <n v="0"/>
    <n v="0"/>
    <n v="0"/>
    <n v="0"/>
    <n v="560.06179992275008"/>
    <m/>
    <n v="560"/>
    <n v="0"/>
    <n v="0"/>
    <n v="1"/>
    <n v="1"/>
    <n v="1"/>
    <n v="0"/>
    <n v="0"/>
    <n v="1"/>
    <n v="0"/>
    <n v="0"/>
    <n v="0"/>
    <n v="0"/>
    <n v="1"/>
    <n v="1"/>
    <n v="0"/>
    <n v="1"/>
    <n v="1"/>
    <n v="2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006179992274998E-3"/>
    <n v="2900000"/>
    <n v="5.178E-2"/>
    <x v="0"/>
    <s v="Todo bien"/>
    <x v="0"/>
    <x v="1"/>
    <n v="243.9630605658555"/>
    <x v="0"/>
    <x v="1"/>
    <s v="Pequeña"/>
    <x v="0"/>
    <n v="560.06179992275008"/>
  </r>
  <r>
    <s v="Sidhartha NCR One"/>
    <x v="52"/>
    <n v="5556"/>
    <n v="2"/>
    <x v="2"/>
    <x v="4"/>
    <s v=" Sector 95 Gurgaon"/>
    <n v="0"/>
    <n v="0"/>
    <n v="2"/>
    <n v="15"/>
    <n v="3"/>
    <x v="0"/>
    <n v="20"/>
    <n v="0"/>
    <n v="0"/>
    <n v="0"/>
    <n v="0"/>
    <n v="826.03667602841563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992080633549008E-3"/>
    <n v="5500000"/>
    <n v="5.5559999999999998E-2"/>
    <x v="1"/>
    <s v="Todo bien"/>
    <x v="0"/>
    <x v="2"/>
    <n v="431.20975161086983"/>
    <x v="0"/>
    <x v="0"/>
    <s v="Mediana"/>
    <x v="0"/>
    <n v="989.92080633549324"/>
  </r>
  <r>
    <s v="Raheja Sampada"/>
    <x v="53"/>
    <n v="4744"/>
    <n v="3"/>
    <x v="2"/>
    <x v="0"/>
    <s v=" Sector 92 Gurgaon"/>
    <n v="0"/>
    <n v="0"/>
    <n v="2"/>
    <n v="6"/>
    <n v="3"/>
    <x v="1"/>
    <n v="14"/>
    <n v="0"/>
    <n v="0"/>
    <n v="0"/>
    <n v="0"/>
    <n v="1370.1517706576728"/>
    <m/>
    <n v="13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15177065767E-2"/>
    <n v="6500000"/>
    <n v="4.7440000000000003E-2"/>
    <x v="1"/>
    <s v="Todo bien"/>
    <x v="0"/>
    <x v="1"/>
    <n v="596.83845506956038"/>
    <x v="1"/>
    <x v="2"/>
    <s v="Pequeña"/>
    <x v="1"/>
    <n v="1370.1517706576728"/>
  </r>
  <r>
    <s v="Signature The Serenas"/>
    <x v="1"/>
    <n v="9406"/>
    <n v="2"/>
    <x v="1"/>
    <x v="2"/>
    <s v=" Sohna"/>
    <n v="0"/>
    <n v="0"/>
    <n v="2"/>
    <n v="6"/>
    <n v="2"/>
    <x v="0"/>
    <n v="14"/>
    <n v="0"/>
    <n v="0"/>
    <n v="0"/>
    <n v="0"/>
    <n v="700.1166861143524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57559004890003E-3"/>
    <n v="5000000"/>
    <n v="9.4060000000000005E-2"/>
    <x v="1"/>
    <s v="Todo bien"/>
    <x v="0"/>
    <x v="0"/>
    <n v="231.55446039761642"/>
    <x v="0"/>
    <x v="0"/>
    <s v="Pequeña"/>
    <x v="0"/>
    <n v="531.57559004890493"/>
  </r>
  <r>
    <s v="Pareena Laxmi Apartments"/>
    <x v="54"/>
    <n v="5521"/>
    <n v="2"/>
    <x v="1"/>
    <x v="2"/>
    <s v=" Sector 99A Gurgaon"/>
    <n v="0"/>
    <n v="0"/>
    <n v="2"/>
    <n v="2"/>
    <n v="1"/>
    <x v="0"/>
    <n v="12"/>
    <n v="0"/>
    <n v="0"/>
    <n v="0"/>
    <n v="0"/>
    <n v="587.13010803193993"/>
    <m/>
    <n v="575"/>
    <n v="0"/>
    <n v="0"/>
    <n v="0"/>
    <n v="0"/>
    <n v="0"/>
    <n v="0"/>
    <n v="0"/>
    <n v="1"/>
    <n v="1"/>
    <n v="1"/>
    <n v="0"/>
    <n v="0"/>
    <n v="1"/>
    <n v="1"/>
    <n v="1"/>
    <n v="1"/>
    <n v="0"/>
    <n v="1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507697880817997E-3"/>
    <n v="3175000"/>
    <n v="5.5210000000000002E-2"/>
    <x v="0"/>
    <s v="Todo bien"/>
    <x v="0"/>
    <x v="0"/>
    <n v="250.50367625565718"/>
    <x v="0"/>
    <x v="1"/>
    <s v="Pequeña"/>
    <x v="0"/>
    <n v="575.07697880818694"/>
  </r>
  <r>
    <s v="Satya The Hermitage"/>
    <x v="55"/>
    <n v="6404"/>
    <n v="2"/>
    <x v="4"/>
    <x v="0"/>
    <s v=" Sector 103 Gurgaon"/>
    <n v="0"/>
    <n v="0"/>
    <n v="3"/>
    <n v="3"/>
    <n v="3"/>
    <x v="0"/>
    <n v="11"/>
    <n v="1"/>
    <n v="0"/>
    <n v="0"/>
    <n v="0"/>
    <n v="1319.841619005719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4"/>
    <n v="1"/>
    <n v="0"/>
    <n v="0"/>
    <n v="0"/>
    <n v="1"/>
    <n v="0"/>
    <n v="0"/>
    <n v="0"/>
    <n v="0"/>
    <n v="0"/>
    <n v="0"/>
    <n v="0"/>
    <n v="0"/>
    <n v="2"/>
    <n v="1.4522173641474E-2"/>
    <n v="9300000"/>
    <n v="6.404E-2"/>
    <x v="1"/>
    <s v="Todo bien"/>
    <x v="1"/>
    <x v="5"/>
    <n v="632.58624818394412"/>
    <x v="1"/>
    <x v="2"/>
    <s v="Pequeña"/>
    <x v="0"/>
    <n v="1452.2173641474078"/>
  </r>
  <r>
    <s v="Smart World Gems"/>
    <x v="56"/>
    <n v="8432"/>
    <n v="3"/>
    <x v="2"/>
    <x v="2"/>
    <s v=" Sector 89 Gurgaon"/>
    <n v="0"/>
    <n v="0"/>
    <n v="3"/>
    <n v="2"/>
    <n v="2"/>
    <x v="1"/>
    <n v="4"/>
    <n v="0"/>
    <n v="0"/>
    <n v="0"/>
    <n v="0"/>
    <n v="1433.046723988535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1"/>
    <n v="619.92445574003375"/>
    <x v="1"/>
    <x v="2"/>
    <s v="Pequeña"/>
    <x v="0"/>
    <n v="1423.1499051233395"/>
  </r>
  <r>
    <s v="GLS Arawali Homes"/>
    <x v="45"/>
    <n v="4687"/>
    <n v="2"/>
    <x v="1"/>
    <x v="0"/>
    <s v=" Sohna"/>
    <n v="0"/>
    <n v="0"/>
    <n v="2"/>
    <n v="4"/>
    <n v="2"/>
    <x v="0"/>
    <n v="13"/>
    <n v="0"/>
    <n v="0"/>
    <n v="0"/>
    <n v="0"/>
    <n v="2399.8800059997002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1"/>
    <n v="1"/>
    <n v="0"/>
    <n v="1"/>
    <n v="1"/>
    <n v="0"/>
    <n v="0"/>
    <n v="0"/>
    <n v="0"/>
    <n v="0"/>
    <n v="0"/>
    <n v="0"/>
    <n v="6.4006827394921997E-3"/>
    <n v="3000000"/>
    <n v="4.6870000000000002E-2"/>
    <x v="0"/>
    <s v="Todo bien"/>
    <x v="0"/>
    <x v="0"/>
    <n v="278.81390072541018"/>
    <x v="0"/>
    <x v="2"/>
    <s v="Pequeña"/>
    <x v="0"/>
    <n v="640.06827394922118"/>
  </r>
  <r>
    <s v="Signature Global Park"/>
    <x v="57"/>
    <n v="6812"/>
    <n v="2"/>
    <x v="8"/>
    <x v="2"/>
    <s v=" Sohna"/>
    <n v="0"/>
    <n v="0"/>
    <n v="2"/>
    <n v="3"/>
    <n v="3"/>
    <x v="0"/>
    <n v="4"/>
    <n v="0"/>
    <n v="0"/>
    <n v="0"/>
    <n v="0"/>
    <n v="1999.0592662276574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x v="1"/>
    <s v="Todo bien"/>
    <x v="0"/>
    <x v="5"/>
    <n v="358.09768130357992"/>
    <x v="0"/>
    <x v="2"/>
    <s v="Pequeña"/>
    <x v="0"/>
    <n v="822.07868467410447"/>
  </r>
  <r>
    <s v="Bestech Park View City "/>
    <x v="58"/>
    <n v="12505"/>
    <n v="3"/>
    <x v="1"/>
    <x v="5"/>
    <s v=" Sector 49 Gurgaon"/>
    <n v="0"/>
    <n v="0"/>
    <n v="4"/>
    <n v="6"/>
    <n v="3"/>
    <x v="1"/>
    <n v="14"/>
    <n v="0"/>
    <n v="0"/>
    <n v="0"/>
    <n v="0"/>
    <n v="2159.1363454618154"/>
    <m/>
    <n v="215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91363454618099E-2"/>
    <n v="27000000"/>
    <n v="0.12504999999999999"/>
    <x v="5"/>
    <s v="Todo bien"/>
    <x v="0"/>
    <x v="2"/>
    <n v="940.52033381047352"/>
    <x v="1"/>
    <x v="2"/>
    <s v="Pequeña"/>
    <x v="2"/>
    <n v="2159.1363454618154"/>
  </r>
  <r>
    <s v="Shree Vardhman Flora"/>
    <x v="50"/>
    <n v="5128"/>
    <n v="3"/>
    <x v="2"/>
    <x v="2"/>
    <s v=" Sector 90 Gurgaon"/>
    <n v="0"/>
    <n v="0"/>
    <n v="4"/>
    <n v="8"/>
    <n v="3"/>
    <x v="1"/>
    <n v="13"/>
    <n v="1"/>
    <n v="0"/>
    <n v="0"/>
    <n v="0"/>
    <n v="1950.0780031201248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x v="1"/>
    <s v="Todo bien"/>
    <x v="0"/>
    <x v="5"/>
    <n v="849.4544674336953"/>
    <x v="1"/>
    <x v="2"/>
    <s v="Pequeña"/>
    <x v="1"/>
    <n v="1950.0780031201248"/>
  </r>
  <r>
    <s v="AFNHB Jalvayu Vihar"/>
    <x v="59"/>
    <n v="11153"/>
    <n v="3"/>
    <x v="5"/>
    <x v="1"/>
    <s v=" Sector 30 Gurgaon"/>
    <n v="0"/>
    <n v="0"/>
    <n v="2"/>
    <n v="2"/>
    <n v="2"/>
    <x v="1"/>
    <n v="4"/>
    <n v="0"/>
    <n v="0"/>
    <n v="0"/>
    <n v="0"/>
    <n v="1484.2767295597484"/>
    <n v="1300"/>
    <m/>
    <n v="1"/>
    <n v="0"/>
    <n v="0"/>
    <n v="0"/>
    <n v="1"/>
    <n v="0"/>
    <n v="1"/>
    <n v="1"/>
    <n v="1"/>
    <n v="1"/>
    <n v="0"/>
    <n v="0"/>
    <n v="0"/>
    <n v="1"/>
    <n v="1"/>
    <n v="0"/>
    <n v="0"/>
    <n v="7"/>
    <x v="0"/>
    <x v="0"/>
    <x v="1"/>
    <x v="0"/>
    <x v="0"/>
    <x v="0"/>
    <x v="1"/>
    <x v="0"/>
    <x v="0"/>
    <n v="1"/>
    <n v="1"/>
    <n v="1"/>
    <n v="4"/>
    <n v="1"/>
    <n v="0"/>
    <n v="0"/>
    <n v="0"/>
    <n v="1"/>
    <n v="1"/>
    <n v="1"/>
    <n v="1"/>
    <n v="0"/>
    <n v="0"/>
    <n v="0"/>
    <n v="1"/>
    <n v="1"/>
    <n v="1"/>
    <n v="0"/>
    <n v="0"/>
    <n v="0"/>
    <n v="0"/>
    <n v="0"/>
    <n v="1"/>
    <n v="1.30009862817179E-2"/>
    <n v="14500000"/>
    <n v="0.11153"/>
    <x v="2"/>
    <s v="Todo bien"/>
    <x v="2"/>
    <x v="2"/>
    <n v="566.32328862637758"/>
    <x v="1"/>
    <x v="2"/>
    <s v="Mediana"/>
    <x v="0"/>
    <n v="1300.0986281717924"/>
  </r>
  <r>
    <s v="MM Soulitude"/>
    <x v="43"/>
    <n v="8784"/>
    <n v="3"/>
    <x v="1"/>
    <x v="4"/>
    <s v=" Sector 89 Gurgaon"/>
    <n v="0"/>
    <n v="0"/>
    <n v="3"/>
    <n v="4"/>
    <n v="0"/>
    <x v="1"/>
    <n v="4"/>
    <n v="0"/>
    <n v="0"/>
    <n v="0"/>
    <n v="0"/>
    <n v="1666.6666666666667"/>
    <n v="142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Mediana"/>
    <x v="0"/>
    <n v="1423.0418943533698"/>
  </r>
  <r>
    <s v="Pyramid Elite"/>
    <x v="60"/>
    <n v="79"/>
    <n v="2"/>
    <x v="1"/>
    <x v="3"/>
    <s v=" Sector 86 Gurgaon"/>
    <n v="0"/>
    <n v="0"/>
    <n v="2"/>
    <n v="0"/>
    <n v="1"/>
    <x v="0"/>
    <n v="14"/>
    <n v="0"/>
    <n v="0"/>
    <n v="0"/>
    <n v="0"/>
    <n v="2040.022234574763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8227848101265822"/>
    <n v="4600000"/>
    <n v="7.9000000000000001E-4"/>
    <x v="0"/>
    <s v="Todo bien"/>
    <x v="0"/>
    <x v="2"/>
    <n v="25364.065242278484"/>
    <x v="2"/>
    <x v="2"/>
    <s v="Pequeña"/>
    <x v="0"/>
    <n v="58227.848101265823"/>
  </r>
  <r>
    <s v="Emaar MGF Palm Terraces"/>
    <x v="61"/>
    <n v="10599"/>
    <n v="5"/>
    <x v="1"/>
    <x v="2"/>
    <s v=" Sector 66 Gurgaon"/>
    <n v="0"/>
    <n v="0"/>
    <n v="5"/>
    <n v="11"/>
    <n v="3"/>
    <x v="4"/>
    <n v="11"/>
    <n v="1"/>
    <n v="0"/>
    <n v="0"/>
    <n v="0"/>
    <n v="4245.6835550523638"/>
    <m/>
    <n v="367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456835550523597E-2"/>
    <n v="45000000"/>
    <n v="0.10599"/>
    <x v="4"/>
    <s v="Todo bien"/>
    <x v="1"/>
    <x v="4"/>
    <n v="1849.4208218228121"/>
    <x v="3"/>
    <x v="3"/>
    <s v="Pequeña"/>
    <x v="3"/>
    <n v="4245.6835550523638"/>
  </r>
  <r>
    <s v="Anamika Enclave"/>
    <x v="62"/>
    <n v="6500"/>
    <n v="2"/>
    <x v="1"/>
    <x v="2"/>
    <s v=" Sector 15 Part 1"/>
    <n v="0"/>
    <n v="0"/>
    <n v="2"/>
    <n v="1"/>
    <n v="1"/>
    <x v="0"/>
    <n v="3"/>
    <n v="0"/>
    <n v="0"/>
    <n v="0"/>
    <n v="0"/>
    <n v="984.61538461538453"/>
    <m/>
    <n v="10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461538461537997E-3"/>
    <n v="6400000"/>
    <n v="6.5000000000000002E-2"/>
    <x v="1"/>
    <s v="Todo bien"/>
    <x v="0"/>
    <x v="2"/>
    <n v="428.89870857845955"/>
    <x v="0"/>
    <x v="0"/>
    <s v="Pequeña"/>
    <x v="0"/>
    <n v="984.61538461538453"/>
  </r>
  <r>
    <s v="HCBS Sports Ville"/>
    <x v="63"/>
    <n v="3768"/>
    <n v="2"/>
    <x v="4"/>
    <x v="0"/>
    <s v=" Sohna"/>
    <n v="0"/>
    <n v="0"/>
    <n v="2"/>
    <n v="11"/>
    <n v="1"/>
    <x v="0"/>
    <n v="13"/>
    <n v="0"/>
    <n v="0"/>
    <n v="0"/>
    <n v="0"/>
    <n v="1969.226425748165"/>
    <n v="743"/>
    <m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9978768577001E-3"/>
    <n v="2800000"/>
    <n v="3.7679999999999998E-2"/>
    <x v="0"/>
    <s v="Todo bien"/>
    <x v="0"/>
    <x v="1"/>
    <n v="323.69445395965818"/>
    <x v="0"/>
    <x v="2"/>
    <s v="Pequeña"/>
    <x v="0"/>
    <n v="743.09978768577503"/>
  </r>
  <r>
    <s v="Puri The Aravallis"/>
    <x v="64"/>
    <n v="17200"/>
    <n v="3"/>
    <x v="4"/>
    <x v="3"/>
    <s v=" Sector 61 Gurgaon"/>
    <n v="0"/>
    <n v="0"/>
    <n v="4"/>
    <n v="21"/>
    <n v="3"/>
    <x v="1"/>
    <n v="41"/>
    <n v="1"/>
    <n v="0"/>
    <n v="0"/>
    <n v="0"/>
    <n v="2900.0341180484479"/>
    <m/>
    <n v="2250"/>
    <n v="1"/>
    <n v="0"/>
    <n v="0"/>
    <n v="1"/>
    <n v="0"/>
    <n v="0"/>
    <n v="1"/>
    <n v="1"/>
    <n v="1"/>
    <n v="1"/>
    <n v="1"/>
    <n v="1"/>
    <n v="1"/>
    <n v="0"/>
    <n v="0"/>
    <n v="1"/>
    <n v="0"/>
    <n v="37"/>
    <x v="0"/>
    <x v="0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99999999999999E-2"/>
    <n v="38700000"/>
    <n v="0.17199999999999999"/>
    <x v="5"/>
    <s v="Todo bien"/>
    <x v="0"/>
    <x v="3"/>
    <n v="980.10056452499998"/>
    <x v="1"/>
    <x v="3"/>
    <s v="Pequeña"/>
    <x v="2"/>
    <n v="2250"/>
  </r>
  <r>
    <s v="Brisk Lumbini Terrace Homes"/>
    <x v="65"/>
    <n v="6338"/>
    <n v="3"/>
    <x v="1"/>
    <x v="5"/>
    <s v=" Sector 109 Gurgaon"/>
    <n v="0"/>
    <n v="0"/>
    <n v="3"/>
    <n v="4"/>
    <n v="1"/>
    <x v="1"/>
    <n v="13"/>
    <n v="0"/>
    <n v="0"/>
    <n v="0"/>
    <n v="0"/>
    <n v="568.50483229107442"/>
    <m/>
    <m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73430104133702E-2"/>
    <n v="13800000"/>
    <n v="6.3380000000000006E-2"/>
    <x v="2"/>
    <s v="Todo bien"/>
    <x v="0"/>
    <x v="0"/>
    <n v="948.45116163142541"/>
    <x v="1"/>
    <x v="1"/>
    <s v="Pequeña"/>
    <x v="0"/>
    <n v="2177.3430104133795"/>
  </r>
  <r>
    <s v="HUDA Ashok Vihar Phase "/>
    <x v="66"/>
    <n v="6615"/>
    <n v="2"/>
    <x v="1"/>
    <x v="0"/>
    <s v=" Laxman Vihar"/>
    <n v="0"/>
    <n v="0"/>
    <n v="2"/>
    <n v="2"/>
    <n v="1"/>
    <x v="0"/>
    <n v="5"/>
    <n v="0"/>
    <n v="0"/>
    <n v="0"/>
    <n v="0"/>
    <n v="1364.1900121802678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5003779289493002E-3"/>
    <n v="4300000"/>
    <n v="6.615E-2"/>
    <x v="0"/>
    <s v="Todo bien"/>
    <x v="0"/>
    <x v="2"/>
    <n v="283.15662567951375"/>
    <x v="0"/>
    <x v="2"/>
    <s v="Pequeña"/>
    <x v="0"/>
    <n v="650.03779289493571"/>
  </r>
  <r>
    <s v="My Home"/>
    <x v="67"/>
    <n v="3166"/>
    <n v="2"/>
    <x v="1"/>
    <x v="0"/>
    <s v=" New Palam Vihar"/>
    <n v="0"/>
    <n v="0"/>
    <n v="1"/>
    <n v="2"/>
    <n v="1"/>
    <x v="0"/>
    <n v="3"/>
    <n v="0"/>
    <n v="0"/>
    <n v="0"/>
    <n v="0"/>
    <n v="1620.0294550810015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0018951358180003E-3"/>
    <n v="2850000"/>
    <n v="3.1660000000000001E-2"/>
    <x v="0"/>
    <s v="Todo bien"/>
    <x v="1"/>
    <x v="2"/>
    <n v="392.12277797378107"/>
    <x v="0"/>
    <x v="2"/>
    <s v="Pequeña"/>
    <x v="0"/>
    <n v="900.18951358180664"/>
  </r>
  <r>
    <s v="Signature Global City"/>
    <x v="8"/>
    <n v="9838"/>
    <n v="2"/>
    <x v="8"/>
    <x v="4"/>
    <s v=" Sector 37D Gurgaon"/>
    <n v="0"/>
    <n v="0"/>
    <n v="2"/>
    <n v="4"/>
    <n v="2"/>
    <x v="0"/>
    <n v="4"/>
    <n v="0"/>
    <n v="0"/>
    <n v="0"/>
    <n v="0"/>
    <n v="1294.8207171314741"/>
    <m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81134376905801E-2"/>
    <n v="11000000"/>
    <n v="9.8379999999999995E-2"/>
    <x v="2"/>
    <s v="Todo bien"/>
    <x v="0"/>
    <x v="2"/>
    <n v="487.05049399267824"/>
    <x v="0"/>
    <x v="2"/>
    <s v="Pequeña"/>
    <x v="0"/>
    <n v="1118.1134376905875"/>
  </r>
  <r>
    <s v="MM Heights"/>
    <x v="6"/>
    <n v="13957"/>
    <n v="2"/>
    <x v="1"/>
    <x v="4"/>
    <s v=" Sector 65 Gurgaon"/>
    <n v="0"/>
    <n v="0"/>
    <n v="2"/>
    <n v="32"/>
    <n v="2"/>
    <x v="0"/>
    <n v="32"/>
    <n v="0"/>
    <n v="0"/>
    <n v="0"/>
    <n v="0"/>
    <n v="1579.0372140662341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297270187002E-2"/>
    <n v="20000000"/>
    <n v="0.13957"/>
    <x v="3"/>
    <s v="Todo bien"/>
    <x v="0"/>
    <x v="2"/>
    <n v="624.2032684674316"/>
    <x v="1"/>
    <x v="2"/>
    <s v="Mediana"/>
    <x v="0"/>
    <n v="1432.9727018700294"/>
  </r>
  <r>
    <s v="Signature Global Park"/>
    <x v="15"/>
    <n v="8035"/>
    <n v="3"/>
    <x v="8"/>
    <x v="3"/>
    <s v=" Sohna"/>
    <n v="0"/>
    <n v="0"/>
    <n v="2"/>
    <n v="2"/>
    <n v="2"/>
    <x v="1"/>
    <n v="4"/>
    <n v="0"/>
    <n v="0"/>
    <n v="0"/>
    <n v="0"/>
    <n v="1120.0995644057248"/>
    <m/>
    <n v="1120"/>
    <n v="1"/>
    <n v="0"/>
    <n v="1"/>
    <n v="1"/>
    <n v="0"/>
    <n v="1"/>
    <n v="1"/>
    <n v="1"/>
    <n v="1"/>
    <n v="1"/>
    <n v="1"/>
    <n v="1"/>
    <n v="1"/>
    <n v="0"/>
    <n v="1"/>
    <n v="1"/>
    <n v="1"/>
    <n v="5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9000000"/>
    <n v="8.0350000000000005E-2"/>
    <x v="1"/>
    <s v="Todo bien"/>
    <x v="0"/>
    <x v="5"/>
    <n v="487.91565128811237"/>
    <x v="0"/>
    <x v="0"/>
    <s v="Pequeña"/>
    <x v="1"/>
    <n v="1120.0995644057248"/>
  </r>
  <r>
    <s v="Signature Global Park"/>
    <x v="15"/>
    <n v="8036"/>
    <n v="3"/>
    <x v="1"/>
    <x v="3"/>
    <s v=" Sohna"/>
    <n v="0"/>
    <n v="0"/>
    <n v="2"/>
    <n v="2"/>
    <n v="0"/>
    <x v="1"/>
    <n v="2"/>
    <n v="0"/>
    <n v="0"/>
    <n v="0"/>
    <n v="0"/>
    <n v="1119.9601791936286"/>
    <n v="112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99601791936201E-2"/>
    <n v="9000000"/>
    <n v="8.0360000000000001E-2"/>
    <x v="1"/>
    <s v="Todo bien"/>
    <x v="0"/>
    <x v="2"/>
    <n v="487.85493505474989"/>
    <x v="0"/>
    <x v="0"/>
    <s v="Mediana"/>
    <x v="0"/>
    <n v="1119.9601791936286"/>
  </r>
  <r>
    <s v="Godrej Nature Plus"/>
    <x v="68"/>
    <n v="8768"/>
    <n v="3"/>
    <x v="1"/>
    <x v="4"/>
    <s v=" Sector-33 Sohna"/>
    <n v="0"/>
    <n v="0"/>
    <n v="3"/>
    <n v="2"/>
    <n v="0"/>
    <x v="1"/>
    <n v="2"/>
    <n v="0"/>
    <n v="0"/>
    <n v="0"/>
    <n v="0"/>
    <n v="1995.8941605839418"/>
    <n v="1996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89416058394E-2"/>
    <n v="17500000"/>
    <n v="8.7679999999999994E-2"/>
    <x v="3"/>
    <s v="Todo bien"/>
    <x v="0"/>
    <x v="2"/>
    <n v="869.41199712020921"/>
    <x v="1"/>
    <x v="2"/>
    <s v="Grande"/>
    <x v="0"/>
    <n v="1995.8941605839418"/>
  </r>
  <r>
    <s v="Supertech Hues"/>
    <x v="55"/>
    <n v="8611"/>
    <n v="2"/>
    <x v="1"/>
    <x v="4"/>
    <s v=" Sector 68 Gurgaon"/>
    <n v="0"/>
    <n v="0"/>
    <n v="2"/>
    <n v="11"/>
    <n v="2"/>
    <x v="0"/>
    <n v="11"/>
    <n v="0"/>
    <n v="0"/>
    <n v="0"/>
    <n v="0"/>
    <n v="1622.206200432588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1393566368E-2"/>
    <n v="9300000"/>
    <n v="8.6110000000000006E-2"/>
    <x v="1"/>
    <s v="Todo bien"/>
    <x v="0"/>
    <x v="2"/>
    <n v="470.45434135059548"/>
    <x v="0"/>
    <x v="2"/>
    <s v="Pequeña"/>
    <x v="0"/>
    <n v="1080.013935663686"/>
  </r>
  <r>
    <s v="DLF New Town Heights "/>
    <x v="7"/>
    <n v="6600"/>
    <n v="4"/>
    <x v="1"/>
    <x v="5"/>
    <s v=" Sector 90 Gurgaon"/>
    <n v="0"/>
    <n v="0"/>
    <n v="4"/>
    <n v="23"/>
    <n v="3"/>
    <x v="2"/>
    <n v="26"/>
    <n v="0"/>
    <n v="0"/>
    <n v="0"/>
    <n v="0"/>
    <n v="2727.272727272727"/>
    <m/>
    <n v="2727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8000000"/>
    <n v="6.6000000000000003E-2"/>
    <x v="3"/>
    <s v="Todo bien"/>
    <x v="0"/>
    <x v="2"/>
    <n v="1188.0006842727241"/>
    <x v="1"/>
    <x v="3"/>
    <s v="Pequeña"/>
    <x v="2"/>
    <n v="2727.272727272727"/>
  </r>
  <r>
    <s v="Central Park Flower Valley Aqua Front Towers"/>
    <x v="69"/>
    <n v="11738"/>
    <n v="3"/>
    <x v="1"/>
    <x v="3"/>
    <s v=" Sector-33 Sohna"/>
    <n v="0"/>
    <n v="0"/>
    <n v="3"/>
    <n v="6"/>
    <n v="2"/>
    <x v="1"/>
    <n v="12"/>
    <n v="0"/>
    <n v="0"/>
    <n v="0"/>
    <n v="0"/>
    <n v="1789.06116885329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11688532902E-2"/>
    <n v="21000000"/>
    <n v="0.11738"/>
    <x v="3"/>
    <s v="Todo bien"/>
    <x v="0"/>
    <x v="2"/>
    <n v="779.31549402794053"/>
    <x v="1"/>
    <x v="2"/>
    <s v="Pequeña"/>
    <x v="1"/>
    <n v="1789.061168853297"/>
  </r>
  <r>
    <s v="Ambience Creacions"/>
    <x v="6"/>
    <n v="14492"/>
    <n v="2"/>
    <x v="4"/>
    <x v="0"/>
    <s v=" Sector 22 Gurgaon"/>
    <n v="0"/>
    <n v="0"/>
    <n v="2"/>
    <n v="9"/>
    <n v="2"/>
    <x v="0"/>
    <n v="20"/>
    <n v="0"/>
    <n v="0"/>
    <n v="0"/>
    <n v="0"/>
    <n v="1260.05192173747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1.3800717637317101E-2"/>
    <n v="20000000"/>
    <n v="0.14491999999999999"/>
    <x v="3"/>
    <s v="Todo bien"/>
    <x v="0"/>
    <x v="1"/>
    <n v="601.15960654153844"/>
    <x v="1"/>
    <x v="2"/>
    <s v="Pequeña"/>
    <x v="0"/>
    <n v="1380.0717637317141"/>
  </r>
  <r>
    <s v="Signature Global City A"/>
    <x v="6"/>
    <n v="12800"/>
    <n v="3"/>
    <x v="5"/>
    <x v="3"/>
    <s v=" Sector 63A Gurgaon"/>
    <n v="0"/>
    <n v="0"/>
    <n v="3"/>
    <n v="1"/>
    <n v="2"/>
    <x v="1"/>
    <n v="4"/>
    <n v="0"/>
    <n v="0"/>
    <n v="0"/>
    <n v="0"/>
    <n v="1562.5"/>
    <n v="1540"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25E-2"/>
    <n v="20000000"/>
    <n v="0.128"/>
    <x v="3"/>
    <s v="Todo bien"/>
    <x v="0"/>
    <x v="0"/>
    <n v="680.62539203125004"/>
    <x v="1"/>
    <x v="2"/>
    <s v="Mediana"/>
    <x v="0"/>
    <n v="1562.5"/>
  </r>
  <r>
    <s v="Godrej Oasis"/>
    <x v="70"/>
    <n v="7800"/>
    <n v="3"/>
    <x v="1"/>
    <x v="2"/>
    <s v=" Sector 88A Gurgaon"/>
    <n v="0"/>
    <n v="0"/>
    <n v="3"/>
    <n v="5"/>
    <n v="3"/>
    <x v="1"/>
    <n v="15"/>
    <n v="0"/>
    <n v="1"/>
    <n v="0"/>
    <n v="0"/>
    <n v="2467.105263157895"/>
    <m/>
    <n v="1629"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38461538461498E-2"/>
    <n v="12900000"/>
    <n v="7.8E-2"/>
    <x v="2"/>
    <s v="Todo bien"/>
    <x v="0"/>
    <x v="1"/>
    <n v="720.41579956538294"/>
    <x v="1"/>
    <x v="2"/>
    <s v="Pequeña"/>
    <x v="1"/>
    <n v="1653.8461538461538"/>
  </r>
  <r>
    <s v="MM Skycity"/>
    <x v="22"/>
    <n v="15590"/>
    <n v="3"/>
    <x v="8"/>
    <x v="3"/>
    <s v=" Sector 65 Gurgaon"/>
    <n v="0"/>
    <n v="0"/>
    <n v="3"/>
    <n v="43"/>
    <n v="3"/>
    <x v="1"/>
    <n v="47"/>
    <n v="0"/>
    <n v="0"/>
    <n v="0"/>
    <n v="0"/>
    <n v="1828.0949326491339"/>
    <m/>
    <n v="1828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809493264913E-2"/>
    <n v="28500000"/>
    <n v="0.15590000000000001"/>
    <x v="5"/>
    <s v="Todo bien"/>
    <x v="0"/>
    <x v="5"/>
    <n v="796.31861133097971"/>
    <x v="1"/>
    <x v="2"/>
    <s v="Pequeña"/>
    <x v="1"/>
    <n v="1828.0949326491339"/>
  </r>
  <r>
    <s v="Supertech Araville"/>
    <x v="8"/>
    <n v="5641"/>
    <n v="3"/>
    <x v="1"/>
    <x v="0"/>
    <s v=" Sector 79 Gurgaon"/>
    <n v="0"/>
    <n v="0"/>
    <n v="3"/>
    <n v="1"/>
    <n v="3"/>
    <x v="1"/>
    <n v="1"/>
    <n v="0"/>
    <n v="0"/>
    <n v="0"/>
    <n v="0"/>
    <n v="1365.1877133105802"/>
    <m/>
    <m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1"/>
    <x v="0"/>
    <x v="1"/>
    <x v="1"/>
    <x v="1"/>
    <x v="1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500088636766499E-2"/>
    <n v="11000000"/>
    <n v="5.6410000000000002E-2"/>
    <x v="2"/>
    <s v="Todo bien"/>
    <x v="1"/>
    <x v="3"/>
    <n v="849.42435027477268"/>
    <x v="1"/>
    <x v="2"/>
    <s v="Pequeña"/>
    <x v="0"/>
    <n v="1950.0088636766529"/>
  </r>
  <r>
    <s v="Smart World Orchard"/>
    <x v="71"/>
    <n v="13750"/>
    <n v="2"/>
    <x v="1"/>
    <x v="3"/>
    <s v=" Sector 61 Gurgaon"/>
    <n v="0"/>
    <n v="0"/>
    <n v="2"/>
    <n v="1"/>
    <n v="2"/>
    <x v="0"/>
    <n v="4"/>
    <n v="0"/>
    <n v="1"/>
    <n v="0"/>
    <n v="0"/>
    <n v="1259.8992080633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6500000"/>
    <n v="0.13750000000000001"/>
    <x v="3"/>
    <s v="Todo bien"/>
    <x v="0"/>
    <x v="2"/>
    <n v="522.72030108000001"/>
    <x v="1"/>
    <x v="2"/>
    <s v="Pequeña"/>
    <x v="0"/>
    <n v="1200"/>
  </r>
  <r>
    <s v="HCBS Sports Ville"/>
    <x v="72"/>
    <n v="7407"/>
    <n v="1"/>
    <x v="5"/>
    <x v="2"/>
    <s v=" Sohna"/>
    <n v="0"/>
    <n v="0"/>
    <n v="1"/>
    <n v="1"/>
    <n v="2"/>
    <x v="3"/>
    <n v="13"/>
    <n v="0"/>
    <n v="0"/>
    <n v="0"/>
    <n v="0"/>
    <n v="1565.2173913043478"/>
    <m/>
    <m/>
    <n v="0"/>
    <n v="0"/>
    <n v="1"/>
    <n v="1"/>
    <n v="1"/>
    <n v="0"/>
    <n v="0"/>
    <n v="1"/>
    <n v="1"/>
    <n v="1"/>
    <n v="1"/>
    <n v="0"/>
    <n v="1"/>
    <n v="0"/>
    <n v="1"/>
    <n v="1"/>
    <n v="0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01782098015002E-3"/>
    <n v="2400000"/>
    <n v="7.4069999999999997E-2"/>
    <x v="0"/>
    <s v="Todo bien"/>
    <x v="0"/>
    <x v="3"/>
    <n v="141.14224411502465"/>
    <x v="0"/>
    <x v="2"/>
    <s v="Pequeña"/>
    <x v="0"/>
    <n v="324.01782098015394"/>
  </r>
  <r>
    <s v="Emaar Palm Premier"/>
    <x v="69"/>
    <n v="10500"/>
    <n v="3"/>
    <x v="1"/>
    <x v="2"/>
    <s v=" Sector 77 Gurgaon"/>
    <n v="0"/>
    <n v="0"/>
    <n v="4"/>
    <n v="11"/>
    <n v="3"/>
    <x v="1"/>
    <n v="12"/>
    <n v="1"/>
    <n v="0"/>
    <n v="0"/>
    <n v="0"/>
    <n v="1361.0203764193498"/>
    <n v="1600"/>
    <n v="200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0.02"/>
    <n v="21000000"/>
    <n v="0.105"/>
    <x v="3"/>
    <s v="Todo bien"/>
    <x v="1"/>
    <x v="4"/>
    <n v="871.2005018000001"/>
    <x v="1"/>
    <x v="2"/>
    <s v="Mediana"/>
    <x v="1"/>
    <n v="2000"/>
  </r>
  <r>
    <s v="Godrej Nature Plus"/>
    <x v="49"/>
    <n v="9849"/>
    <n v="3"/>
    <x v="1"/>
    <x v="2"/>
    <s v=" Sector-33 Sohna"/>
    <n v="0"/>
    <n v="0"/>
    <n v="3"/>
    <n v="14"/>
    <n v="3"/>
    <x v="1"/>
    <n v="24"/>
    <n v="1"/>
    <n v="0"/>
    <n v="0"/>
    <n v="0"/>
    <n v="1960.169358632586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986089958E-2"/>
    <n v="19000000"/>
    <n v="9.8489999999999994E-2"/>
    <x v="3"/>
    <s v="Todo bien"/>
    <x v="0"/>
    <x v="4"/>
    <n v="840.32945142653921"/>
    <x v="1"/>
    <x v="2"/>
    <s v="Pequeña"/>
    <x v="0"/>
    <n v="1929.1298608995837"/>
  </r>
  <r>
    <s v="Godrej Aria"/>
    <x v="8"/>
    <n v="11482"/>
    <n v="2"/>
    <x v="1"/>
    <x v="2"/>
    <s v=" Sector 79 Gurgaon"/>
    <n v="0"/>
    <n v="0"/>
    <n v="2"/>
    <n v="9"/>
    <n v="3"/>
    <x v="0"/>
    <n v="30"/>
    <n v="0"/>
    <n v="0"/>
    <n v="0"/>
    <n v="0"/>
    <n v="958.02125065319626"/>
    <m/>
    <n v="8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2125065318992E-3"/>
    <n v="11000000"/>
    <n v="0.11482000000000001"/>
    <x v="2"/>
    <s v="Todo bien"/>
    <x v="0"/>
    <x v="2"/>
    <n v="417.31429715206133"/>
    <x v="0"/>
    <x v="0"/>
    <s v="Pequeña"/>
    <x v="0"/>
    <n v="958.02125065319626"/>
  </r>
  <r>
    <s v="Ramsons Kshitij"/>
    <x v="73"/>
    <n v="4500"/>
    <n v="2"/>
    <x v="1"/>
    <x v="0"/>
    <s v=" Sector 95 Gurgaon"/>
    <n v="0"/>
    <n v="0"/>
    <n v="2"/>
    <n v="8"/>
    <n v="1"/>
    <x v="0"/>
    <n v="14"/>
    <n v="0"/>
    <n v="0"/>
    <n v="0"/>
    <n v="0"/>
    <n v="1310.0436681222707"/>
    <m/>
    <n v="70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1"/>
    <n v="1"/>
    <n v="1"/>
    <n v="1"/>
    <n v="1"/>
    <n v="1"/>
    <n v="1"/>
    <n v="1"/>
    <n v="1"/>
    <n v="1"/>
    <n v="1"/>
    <n v="0"/>
    <n v="0"/>
    <n v="0"/>
    <n v="0"/>
    <n v="0"/>
    <n v="1"/>
    <n v="7.0000000000000001E-3"/>
    <n v="3150000"/>
    <n v="4.4999999999999998E-2"/>
    <x v="0"/>
    <s v="Todo bien"/>
    <x v="2"/>
    <x v="2"/>
    <n v="304.92017563000002"/>
    <x v="0"/>
    <x v="2"/>
    <s v="Pequeña"/>
    <x v="0"/>
    <n v="700"/>
  </r>
  <r>
    <s v="Conscient One"/>
    <x v="74"/>
    <n v="17617"/>
    <n v="1"/>
    <x v="1"/>
    <x v="4"/>
    <s v=" Sector 109 Gurgaon"/>
    <n v="0"/>
    <n v="0"/>
    <n v="1"/>
    <n v="9"/>
    <n v="2"/>
    <x v="3"/>
    <n v="9"/>
    <n v="0"/>
    <n v="0"/>
    <n v="0"/>
    <n v="0"/>
    <n v="1095"/>
    <n v="965"/>
    <m/>
    <m/>
    <m/>
    <m/>
    <m/>
    <m/>
    <m/>
    <m/>
    <m/>
    <m/>
    <m/>
    <m/>
    <m/>
    <m/>
    <m/>
    <m/>
    <m/>
    <m/>
    <n v="0"/>
    <x v="0"/>
    <x v="0"/>
    <x v="0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497701084180005E-3"/>
    <n v="17000000"/>
    <n v="0.17616999999999999"/>
    <x v="3"/>
    <s v="Todo bien"/>
    <x v="0"/>
    <x v="2"/>
    <n v="420.34422803542014"/>
    <x v="0"/>
    <x v="0"/>
    <s v="Mediana"/>
    <x v="0"/>
    <n v="964.97701084180062"/>
  </r>
  <r>
    <s v="Pareena Laxmi Apartments"/>
    <x v="75"/>
    <n v="6106"/>
    <n v="2"/>
    <x v="1"/>
    <x v="2"/>
    <s v=" Sector 99A Gurgaon"/>
    <n v="0"/>
    <n v="0"/>
    <n v="2"/>
    <n v="2"/>
    <n v="2"/>
    <x v="0"/>
    <n v="12"/>
    <n v="0"/>
    <n v="0"/>
    <n v="0"/>
    <n v="0"/>
    <n v="1425"/>
    <m/>
    <n v="524"/>
    <n v="0"/>
    <n v="0"/>
    <n v="0"/>
    <n v="0"/>
    <n v="0"/>
    <n v="0"/>
    <n v="0"/>
    <n v="1"/>
    <n v="1"/>
    <n v="1"/>
    <n v="0"/>
    <n v="1"/>
    <n v="1"/>
    <n v="1"/>
    <n v="1"/>
    <n v="1"/>
    <n v="0"/>
    <n v="2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407468064198997E-3"/>
    <n v="3200000"/>
    <n v="6.1060000000000003E-2"/>
    <x v="0"/>
    <s v="Todo bien"/>
    <x v="0"/>
    <x v="1"/>
    <n v="228.28706237798821"/>
    <x v="0"/>
    <x v="2"/>
    <s v="Pequeña"/>
    <x v="0"/>
    <n v="524.07468064199145"/>
  </r>
  <r>
    <s v="Pyramid Elite"/>
    <x v="0"/>
    <n v="7739"/>
    <n v="2"/>
    <x v="1"/>
    <x v="3"/>
    <s v=" Sector 86 Gurgaon"/>
    <n v="0"/>
    <n v="0"/>
    <n v="2"/>
    <n v="4"/>
    <n v="1"/>
    <x v="0"/>
    <n v="14"/>
    <n v="0"/>
    <n v="0"/>
    <n v="0"/>
    <n v="0"/>
    <n v="699.9784622011631"/>
    <m/>
    <m/>
    <n v="0"/>
    <n v="0"/>
    <n v="1"/>
    <n v="1"/>
    <n v="1"/>
    <n v="0"/>
    <n v="0"/>
    <n v="1"/>
    <n v="1"/>
    <n v="1"/>
    <n v="1"/>
    <n v="1"/>
    <n v="1"/>
    <n v="0"/>
    <n v="1"/>
    <n v="0"/>
    <n v="1"/>
    <n v="3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147047422146998E-3"/>
    <n v="4500000"/>
    <n v="7.739E-2"/>
    <x v="0"/>
    <s v="Todo bien"/>
    <x v="0"/>
    <x v="3"/>
    <n v="253.28868446181431"/>
    <x v="0"/>
    <x v="0"/>
    <s v="Pequeña"/>
    <x v="0"/>
    <n v="581.47047422147568"/>
  </r>
  <r>
    <s v="Raheja Revanta"/>
    <x v="56"/>
    <n v="10018"/>
    <n v="1"/>
    <x v="1"/>
    <x v="3"/>
    <s v=" Sector 78 Gurgaon"/>
    <n v="0"/>
    <n v="0"/>
    <n v="2"/>
    <n v="32"/>
    <n v="2"/>
    <x v="3"/>
    <n v="55"/>
    <n v="0"/>
    <n v="0"/>
    <n v="0"/>
    <n v="0"/>
    <n v="1996.9278033794162"/>
    <m/>
    <n v="1197.8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78438810141699E-2"/>
    <n v="12000000"/>
    <n v="0.10018000000000001"/>
    <x v="2"/>
    <s v="Todo bien"/>
    <x v="0"/>
    <x v="0"/>
    <n v="521.78109510880222"/>
    <x v="1"/>
    <x v="2"/>
    <s v="Pequeña"/>
    <x v="1"/>
    <n v="1197.8438810141745"/>
  </r>
  <r>
    <s v="MM Skycity"/>
    <x v="69"/>
    <n v="16030"/>
    <n v="2"/>
    <x v="1"/>
    <x v="2"/>
    <s v=" Sector 65 Gurgaon"/>
    <n v="0"/>
    <n v="0"/>
    <n v="2"/>
    <n v="43"/>
    <n v="2"/>
    <x v="0"/>
    <n v="47"/>
    <n v="0"/>
    <n v="0"/>
    <n v="0"/>
    <n v="0"/>
    <n v="1310.0436681222707"/>
    <m/>
    <n v="1310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21000000"/>
    <n v="0.1603"/>
    <x v="3"/>
    <s v="Todo bien"/>
    <x v="0"/>
    <x v="5"/>
    <n v="570.65535052401719"/>
    <x v="1"/>
    <x v="2"/>
    <s v="Pequeña"/>
    <x v="1"/>
    <n v="1310.0436681222707"/>
  </r>
  <r>
    <s v="Signature The Roselia"/>
    <x v="0"/>
    <n v="7"/>
    <n v="2"/>
    <x v="6"/>
    <x v="2"/>
    <s v=" Sector 95A Gurgaon"/>
    <n v="0"/>
    <n v="0"/>
    <n v="2"/>
    <n v="2"/>
    <n v="2"/>
    <x v="0"/>
    <n v="19"/>
    <n v="0"/>
    <n v="0"/>
    <n v="0"/>
    <n v="0"/>
    <n v="1381.9856952357861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1"/>
    <x v="1"/>
    <x v="1"/>
    <x v="1"/>
    <x v="1"/>
    <x v="1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285714285714288"/>
    <n v="4500000"/>
    <n v="6.9999999999999994E-5"/>
    <x v="0"/>
    <s v="Todo bien"/>
    <x v="0"/>
    <x v="3"/>
    <n v="280028.73272142862"/>
    <x v="2"/>
    <x v="2"/>
    <s v="Pequeña"/>
    <x v="0"/>
    <n v="642857.14285714296"/>
  </r>
  <r>
    <s v="Not Applicable"/>
    <x v="23"/>
    <n v="5600"/>
    <n v="2"/>
    <x v="1"/>
    <x v="0"/>
    <s v=" Laxman Vihar"/>
    <n v="0"/>
    <n v="0"/>
    <n v="2"/>
    <n v="3"/>
    <n v="1"/>
    <x v="0"/>
    <n v="4"/>
    <n v="0"/>
    <n v="0"/>
    <n v="0"/>
    <n v="0"/>
    <n v="4060.5014719317837"/>
    <m/>
    <m/>
    <n v="0"/>
    <n v="0"/>
    <n v="0"/>
    <n v="0"/>
    <n v="0"/>
    <n v="0"/>
    <n v="0"/>
    <n v="0"/>
    <n v="0"/>
    <n v="1"/>
    <n v="1"/>
    <n v="0"/>
    <n v="1"/>
    <n v="0"/>
    <n v="0"/>
    <n v="0"/>
    <n v="0"/>
    <n v="13"/>
    <x v="0"/>
    <x v="0"/>
    <x v="0"/>
    <x v="0"/>
    <x v="0"/>
    <x v="0"/>
    <x v="0"/>
    <x v="0"/>
    <x v="0"/>
    <n v="0"/>
    <n v="2"/>
    <n v="1"/>
    <n v="4"/>
    <n v="1"/>
    <n v="0"/>
    <n v="0"/>
    <n v="0"/>
    <n v="1"/>
    <n v="1"/>
    <n v="1"/>
    <n v="1"/>
    <n v="0"/>
    <n v="0"/>
    <n v="1"/>
    <n v="0"/>
    <n v="0"/>
    <n v="0"/>
    <n v="0"/>
    <n v="0"/>
    <n v="0"/>
    <n v="0"/>
    <n v="0"/>
    <n v="2"/>
    <n v="7.4999999999999997E-3"/>
    <n v="4200000"/>
    <n v="5.6000000000000001E-2"/>
    <x v="0"/>
    <s v="Todo bien"/>
    <x v="1"/>
    <x v="0"/>
    <n v="326.70018817499999"/>
    <x v="0"/>
    <x v="3"/>
    <s v="Pequeña"/>
    <x v="0"/>
    <n v="750"/>
  </r>
  <r>
    <s v="Godrej Nature Plus"/>
    <x v="46"/>
    <n v="9955"/>
    <n v="3"/>
    <x v="4"/>
    <x v="2"/>
    <s v=" Sector-33 Sohna"/>
    <n v="0"/>
    <n v="0"/>
    <n v="2"/>
    <n v="8"/>
    <n v="3"/>
    <x v="1"/>
    <n v="22"/>
    <n v="0"/>
    <n v="0"/>
    <n v="0"/>
    <n v="0"/>
    <n v="2600.0452181777073"/>
    <m/>
    <m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0652938222E-2"/>
    <n v="15500000"/>
    <n v="9.955E-2"/>
    <x v="3"/>
    <s v="Todo bien"/>
    <x v="0"/>
    <x v="1"/>
    <n v="678.23243485183332"/>
    <x v="1"/>
    <x v="3"/>
    <s v="Pequeña"/>
    <x v="0"/>
    <n v="1557.0065293822199"/>
  </r>
  <r>
    <s v="Ramprastha City"/>
    <x v="35"/>
    <n v="9027"/>
    <n v="3"/>
    <x v="1"/>
    <x v="3"/>
    <s v=" Dwarka Expressway Gurgaon"/>
    <n v="0"/>
    <n v="0"/>
    <n v="3"/>
    <n v="3"/>
    <n v="2"/>
    <x v="1"/>
    <n v="4"/>
    <n v="0"/>
    <n v="0"/>
    <n v="0"/>
    <n v="0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012407222776E-2"/>
    <n v="13000000"/>
    <n v="9.0270000000000003E-2"/>
    <x v="2"/>
    <s v="Todo bien"/>
    <x v="0"/>
    <x v="2"/>
    <n v="627.31840718954197"/>
    <x v="1"/>
    <x v="2"/>
    <s v="Pequeña"/>
    <x v="1"/>
    <n v="1440.1240722277612"/>
  </r>
  <r>
    <s v="Smartworld DXP"/>
    <x v="76"/>
    <n v="10589"/>
    <n v="4"/>
    <x v="4"/>
    <x v="3"/>
    <s v=" Sector 113 Gurgaon"/>
    <n v="0"/>
    <n v="0"/>
    <n v="4"/>
    <n v="20"/>
    <n v="3"/>
    <x v="2"/>
    <n v="32"/>
    <n v="1"/>
    <n v="1"/>
    <n v="1"/>
    <n v="0"/>
    <n v="1407.0634585619812"/>
    <m/>
    <m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1"/>
    <x v="0"/>
    <x v="0"/>
    <x v="1"/>
    <x v="0"/>
    <x v="0"/>
    <n v="0"/>
    <n v="1"/>
    <n v="1"/>
    <n v="0"/>
    <n v="0"/>
    <n v="1"/>
    <n v="1"/>
    <n v="1"/>
    <n v="0"/>
    <n v="0"/>
    <n v="0"/>
    <n v="1"/>
    <n v="0"/>
    <n v="0"/>
    <n v="1"/>
    <n v="1"/>
    <n v="1"/>
    <n v="0"/>
    <n v="0"/>
    <n v="0"/>
    <n v="0"/>
    <n v="0"/>
    <n v="0"/>
    <n v="1"/>
    <n v="2.5970346586079801E-2"/>
    <n v="27500000"/>
    <n v="0.10589"/>
    <x v="5"/>
    <s v="Todo bien"/>
    <x v="2"/>
    <x v="1"/>
    <n v="1131.268948885632"/>
    <x v="1"/>
    <x v="2"/>
    <s v="Pequeña"/>
    <x v="0"/>
    <n v="2597.0346586079895"/>
  </r>
  <r>
    <s v="Ansal Housing Highland Park"/>
    <x v="43"/>
    <n v="6443"/>
    <n v="3"/>
    <x v="2"/>
    <x v="2"/>
    <s v=" Sector 103 Gurgaon"/>
    <n v="0"/>
    <n v="0"/>
    <n v="3"/>
    <n v="2"/>
    <n v="3"/>
    <x v="1"/>
    <n v="17"/>
    <n v="0"/>
    <n v="0"/>
    <n v="1"/>
    <n v="0"/>
    <n v="1630.0496102055279"/>
    <m/>
    <n v="1940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0900201769301E-2"/>
    <n v="12500000"/>
    <n v="6.4430000000000001E-2"/>
    <x v="2"/>
    <s v="Todo bien"/>
    <x v="0"/>
    <x v="5"/>
    <n v="845.10369955765691"/>
    <x v="1"/>
    <x v="2"/>
    <s v="Pequeña"/>
    <x v="1"/>
    <n v="1940.0900201769362"/>
  </r>
  <r>
    <s v="Czar Mahira Homes A"/>
    <x v="23"/>
    <n v="7407"/>
    <n v="3"/>
    <x v="1"/>
    <x v="4"/>
    <s v=" Sector 63A Gurgaon"/>
    <n v="0"/>
    <n v="0"/>
    <n v="2"/>
    <n v="0"/>
    <n v="2"/>
    <x v="1"/>
    <n v="28"/>
    <n v="0"/>
    <n v="0"/>
    <n v="0"/>
    <n v="0"/>
    <n v="1100.110011001100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3118671525997E-3"/>
    <n v="4200000"/>
    <n v="7.4069999999999997E-2"/>
    <x v="0"/>
    <s v="Todo bien"/>
    <x v="0"/>
    <x v="2"/>
    <n v="246.99892720129199"/>
    <x v="0"/>
    <x v="0"/>
    <s v="Pequeña"/>
    <x v="0"/>
    <n v="567.03118671526931"/>
  </r>
  <r>
    <s v="Breez Global Heights"/>
    <x v="2"/>
    <n v="6420"/>
    <n v="2"/>
    <x v="2"/>
    <x v="2"/>
    <s v=" Sohna"/>
    <n v="0"/>
    <n v="0"/>
    <n v="2"/>
    <n v="4"/>
    <n v="1"/>
    <x v="0"/>
    <n v="10"/>
    <n v="0"/>
    <n v="0"/>
    <n v="0"/>
    <n v="0"/>
    <n v="2786.1123017573941"/>
    <m/>
    <n v="62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305295950154998E-3"/>
    <n v="4000000"/>
    <n v="6.4199999999999993E-2"/>
    <x v="0"/>
    <s v="Todo bien"/>
    <x v="0"/>
    <x v="1"/>
    <n v="271.40202548286271"/>
    <x v="0"/>
    <x v="3"/>
    <s v="Pequeña"/>
    <x v="0"/>
    <n v="623.05295950155767"/>
  </r>
  <r>
    <s v="Trisara Our Homes "/>
    <x v="77"/>
    <n v="5405"/>
    <n v="2"/>
    <x v="1"/>
    <x v="2"/>
    <s v=" Sohna"/>
    <n v="0"/>
    <n v="0"/>
    <n v="2"/>
    <n v="0"/>
    <n v="1"/>
    <x v="0"/>
    <n v="4"/>
    <n v="0"/>
    <n v="0"/>
    <n v="0"/>
    <n v="0"/>
    <n v="2605.0712052796111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717853839E-3"/>
    <n v="3400000"/>
    <n v="5.4050000000000001E-2"/>
    <x v="0"/>
    <s v="Todo bien"/>
    <x v="0"/>
    <x v="2"/>
    <n v="274.01310879925978"/>
    <x v="0"/>
    <x v="3"/>
    <s v="Pequeña"/>
    <x v="0"/>
    <n v="629.04717853839043"/>
  </r>
  <r>
    <s v="MM Soulitude"/>
    <x v="43"/>
    <n v="8784"/>
    <n v="3"/>
    <x v="4"/>
    <x v="2"/>
    <s v=" Sector 89 Gurgaon"/>
    <n v="0"/>
    <n v="0"/>
    <n v="3"/>
    <n v="3"/>
    <n v="3"/>
    <x v="1"/>
    <n v="4"/>
    <n v="0"/>
    <n v="1"/>
    <n v="0"/>
    <n v="0"/>
    <n v="1423.0418943533698"/>
    <m/>
    <n v="1423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Pequeña"/>
    <x v="1"/>
    <n v="1423.0418943533698"/>
  </r>
  <r>
    <s v="Emaar MGF Palm Hills"/>
    <x v="78"/>
    <n v="12744"/>
    <n v="3"/>
    <x v="2"/>
    <x v="0"/>
    <s v=" Sector 77 Gurgaon"/>
    <n v="0"/>
    <n v="0"/>
    <n v="3"/>
    <n v="4"/>
    <n v="3"/>
    <x v="1"/>
    <n v="8"/>
    <n v="0"/>
    <n v="0"/>
    <n v="0"/>
    <n v="0"/>
    <n v="1572.0204728247625"/>
    <m/>
    <n v="145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4"/>
    <n v="1"/>
    <n v="10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17702448210922E-2"/>
    <n v="15000000"/>
    <n v="0.12744"/>
    <x v="2"/>
    <s v="Todo bien"/>
    <x v="1"/>
    <x v="4"/>
    <n v="512.71215972221887"/>
    <x v="1"/>
    <x v="2"/>
    <s v="Pequeña"/>
    <x v="1"/>
    <n v="1177.0244821092278"/>
  </r>
  <r>
    <s v="Ramprastha City"/>
    <x v="35"/>
    <n v="9285"/>
    <n v="3"/>
    <x v="1"/>
    <x v="3"/>
    <s v=" Dwarka Expressway Gurgaon"/>
    <n v="0"/>
    <n v="0"/>
    <n v="3"/>
    <n v="3"/>
    <n v="2"/>
    <x v="1"/>
    <n v="4"/>
    <n v="0"/>
    <n v="0"/>
    <n v="0"/>
    <n v="0"/>
    <n v="1400.1077005923532"/>
    <m/>
    <n v="14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0770059235E-2"/>
    <n v="13000000"/>
    <n v="9.2850000000000002E-2"/>
    <x v="2"/>
    <s v="Todo bien"/>
    <x v="0"/>
    <x v="2"/>
    <n v="609.88726566504977"/>
    <x v="1"/>
    <x v="2"/>
    <s v="Pequeña"/>
    <x v="1"/>
    <n v="1400.1077005923532"/>
  </r>
  <r>
    <s v="Pareena Coban Residences"/>
    <x v="26"/>
    <n v="8000"/>
    <n v="3"/>
    <x v="1"/>
    <x v="3"/>
    <s v=" Sector 99A Gurgaon"/>
    <n v="0"/>
    <n v="0"/>
    <n v="3"/>
    <n v="6"/>
    <n v="3"/>
    <x v="1"/>
    <n v="20"/>
    <n v="0"/>
    <n v="0"/>
    <n v="0"/>
    <n v="0"/>
    <n v="2000"/>
    <m/>
    <n v="2000"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6000000"/>
    <n v="0.08"/>
    <x v="3"/>
    <s v="Todo bien"/>
    <x v="0"/>
    <x v="2"/>
    <n v="871.2005018000001"/>
    <x v="1"/>
    <x v="2"/>
    <s v="Pequeña"/>
    <x v="1"/>
    <n v="2000"/>
  </r>
  <r>
    <s v="La Vida by Tata Housing"/>
    <x v="78"/>
    <n v="11755"/>
    <n v="2"/>
    <x v="1"/>
    <x v="2"/>
    <s v=" Sector 113 Gurgaon"/>
    <n v="0"/>
    <n v="0"/>
    <n v="2"/>
    <n v="13"/>
    <n v="2"/>
    <x v="0"/>
    <n v="13"/>
    <n v="0"/>
    <n v="0"/>
    <n v="0"/>
    <n v="0"/>
    <n v="1407.063458561981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x v="2"/>
    <s v="Todo bien"/>
    <x v="0"/>
    <x v="2"/>
    <n v="555.84889523606603"/>
    <x v="1"/>
    <x v="2"/>
    <s v="Pequeña"/>
    <x v="0"/>
    <n v="1276.0527435133986"/>
  </r>
  <r>
    <s v="La Vida by Tata Housing"/>
    <x v="78"/>
    <n v="11755"/>
    <n v="2"/>
    <x v="1"/>
    <x v="2"/>
    <s v=" Sector 113 Gurgaon"/>
    <n v="0"/>
    <n v="0"/>
    <n v="2"/>
    <n v="13"/>
    <n v="2"/>
    <x v="0"/>
    <n v="13"/>
    <n v="0"/>
    <n v="0"/>
    <n v="0"/>
    <n v="0"/>
    <n v="1276.0527435133986"/>
    <m/>
    <n v="1276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x v="2"/>
    <s v="Todo bien"/>
    <x v="0"/>
    <x v="3"/>
    <n v="555.84889523606603"/>
    <x v="1"/>
    <x v="2"/>
    <s v="Pequeña"/>
    <x v="1"/>
    <n v="1276.0527435133986"/>
  </r>
  <r>
    <s v="Godrej Summit Premia Towers"/>
    <x v="15"/>
    <n v="7149"/>
    <n v="2"/>
    <x v="1"/>
    <x v="4"/>
    <s v=" Sector 104 Gurgaon"/>
    <n v="0"/>
    <n v="0"/>
    <n v="2"/>
    <n v="16"/>
    <n v="0"/>
    <x v="0"/>
    <n v="16"/>
    <n v="0"/>
    <n v="0"/>
    <n v="0"/>
    <n v="0"/>
    <n v="1258.9173310952581"/>
    <n v="125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91733109525E-2"/>
    <n v="9000000"/>
    <n v="7.1489999999999998E-2"/>
    <x v="1"/>
    <s v="Todo bien"/>
    <x v="0"/>
    <x v="2"/>
    <n v="548.38470528744926"/>
    <x v="1"/>
    <x v="2"/>
    <s v="Mediana"/>
    <x v="0"/>
    <n v="1258.9173310952581"/>
  </r>
  <r>
    <s v="Ardee City"/>
    <x v="78"/>
    <n v="9146"/>
    <n v="4"/>
    <x v="1"/>
    <x v="1"/>
    <s v=" Sector 52 Gurgaon"/>
    <n v="0"/>
    <n v="0"/>
    <n v="4"/>
    <n v="3"/>
    <n v="3"/>
    <x v="2"/>
    <n v="4"/>
    <n v="0"/>
    <n v="0"/>
    <n v="0"/>
    <n v="0"/>
    <n v="1640.0612289525475"/>
    <m/>
    <n v="1640"/>
    <n v="1"/>
    <n v="0"/>
    <n v="0"/>
    <n v="1"/>
    <n v="0"/>
    <n v="0"/>
    <n v="0"/>
    <n v="1"/>
    <n v="1"/>
    <n v="1"/>
    <n v="1"/>
    <n v="0"/>
    <n v="1"/>
    <n v="1"/>
    <n v="1"/>
    <n v="1"/>
    <n v="1"/>
    <n v="30"/>
    <x v="0"/>
    <x v="0"/>
    <x v="0"/>
    <x v="0"/>
    <x v="0"/>
    <x v="0"/>
    <x v="1"/>
    <x v="0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6400612289525399E-2"/>
    <n v="15000000"/>
    <n v="9.146E-2"/>
    <x v="2"/>
    <s v="Todo bien"/>
    <x v="1"/>
    <x v="1"/>
    <n v="714.4110828230888"/>
    <x v="1"/>
    <x v="2"/>
    <s v="Pequeña"/>
    <x v="1"/>
    <n v="1640.0612289525475"/>
  </r>
  <r>
    <s v="MM One Key Resiments"/>
    <x v="42"/>
    <n v="13115"/>
    <n v="1"/>
    <x v="1"/>
    <x v="4"/>
    <s v=" Sector 67 Gurgaon"/>
    <n v="0"/>
    <n v="0"/>
    <n v="1"/>
    <n v="0"/>
    <n v="0"/>
    <x v="3"/>
    <n v="1"/>
    <n v="0"/>
    <n v="0"/>
    <n v="0"/>
    <n v="0"/>
    <n v="609.98856271444913"/>
    <n v="6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998856271444E-3"/>
    <n v="8000000"/>
    <n v="0.13114999999999999"/>
    <x v="1"/>
    <s v="Todo bien"/>
    <x v="0"/>
    <x v="2"/>
    <n v="265.71117096454049"/>
    <x v="0"/>
    <x v="0"/>
    <s v="Pequeña"/>
    <x v="0"/>
    <n v="609.98856271444913"/>
  </r>
  <r>
    <s v="Ansal Heights "/>
    <x v="43"/>
    <n v="7396"/>
    <n v="3"/>
    <x v="1"/>
    <x v="2"/>
    <s v=" Sector 86 Gurgaon"/>
    <n v="0"/>
    <n v="0"/>
    <n v="2"/>
    <n v="11"/>
    <n v="1"/>
    <x v="1"/>
    <n v="14"/>
    <n v="0"/>
    <n v="0"/>
    <n v="0"/>
    <n v="0"/>
    <n v="1690.1027582477016"/>
    <m/>
    <n v="169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x v="2"/>
    <s v="Todo bien"/>
    <x v="0"/>
    <x v="1"/>
    <n v="736.20918553948025"/>
    <x v="1"/>
    <x v="2"/>
    <s v="Pequeña"/>
    <x v="1"/>
    <n v="1690.1027582477016"/>
  </r>
  <r>
    <s v="MVN Athens"/>
    <x v="79"/>
    <n v="5397"/>
    <n v="2"/>
    <x v="1"/>
    <x v="0"/>
    <s v=" Sohna"/>
    <n v="0"/>
    <n v="0"/>
    <n v="2"/>
    <n v="2"/>
    <n v="1"/>
    <x v="0"/>
    <n v="14"/>
    <n v="0"/>
    <n v="0"/>
    <n v="0"/>
    <n v="0"/>
    <n v="2892.1138253369832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1"/>
    <x v="0"/>
    <x v="1"/>
    <x v="0"/>
    <x v="0"/>
    <x v="1"/>
    <x v="1"/>
    <x v="0"/>
    <x v="0"/>
    <n v="1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8174911988140999E-3"/>
    <n v="2600000"/>
    <n v="5.3969999999999997E-2"/>
    <x v="0"/>
    <s v="Todo bien"/>
    <x v="0"/>
    <x v="0"/>
    <n v="209.85003749119639"/>
    <x v="0"/>
    <x v="3"/>
    <s v="Pequeña"/>
    <x v="0"/>
    <n v="481.74911988141565"/>
  </r>
  <r>
    <s v="Signature The Serenas"/>
    <x v="23"/>
    <n v="7909"/>
    <n v="2"/>
    <x v="1"/>
    <x v="2"/>
    <s v=" Sohna"/>
    <n v="0"/>
    <n v="0"/>
    <n v="2"/>
    <n v="12"/>
    <n v="1"/>
    <x v="0"/>
    <n v="12"/>
    <n v="0"/>
    <n v="0"/>
    <n v="0"/>
    <n v="0"/>
    <n v="2143.3470507544585"/>
    <m/>
    <m/>
    <n v="0"/>
    <n v="0"/>
    <n v="1"/>
    <n v="0"/>
    <n v="0"/>
    <n v="0"/>
    <n v="0"/>
    <n v="1"/>
    <n v="1"/>
    <n v="1"/>
    <n v="1"/>
    <n v="0"/>
    <n v="1"/>
    <n v="0"/>
    <n v="1"/>
    <n v="0"/>
    <n v="1"/>
    <n v="23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5.3104058667341001E-3"/>
    <n v="4200000"/>
    <n v="7.9089999999999994E-2"/>
    <x v="0"/>
    <s v="Todo bien"/>
    <x v="1"/>
    <x v="1"/>
    <n v="231.32141279302061"/>
    <x v="0"/>
    <x v="2"/>
    <s v="Pequeña"/>
    <x v="0"/>
    <n v="531.04058667341008"/>
  </r>
  <r>
    <s v="Sushant Lok  Builder Floors"/>
    <x v="51"/>
    <n v="12920"/>
    <n v="3"/>
    <x v="1"/>
    <x v="2"/>
    <s v=" Sushant Lok Phase 1"/>
    <n v="0"/>
    <n v="0"/>
    <n v="3"/>
    <n v="2"/>
    <n v="2"/>
    <x v="1"/>
    <n v="4"/>
    <n v="0"/>
    <n v="0"/>
    <n v="0"/>
    <n v="0"/>
    <n v="1934.9845201238388"/>
    <m/>
    <n v="21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49845201238301E-2"/>
    <n v="25000000"/>
    <n v="0.12920000000000001"/>
    <x v="3"/>
    <s v="Todo bien"/>
    <x v="0"/>
    <x v="2"/>
    <n v="842.87974245355656"/>
    <x v="1"/>
    <x v="2"/>
    <s v="Pequeña"/>
    <x v="0"/>
    <n v="1934.9845201238388"/>
  </r>
  <r>
    <s v="Umang Monsoon Breeze"/>
    <x v="15"/>
    <n v="4615"/>
    <n v="3"/>
    <x v="1"/>
    <x v="5"/>
    <s v=" Sector 78 Gurgaon"/>
    <n v="0"/>
    <n v="0"/>
    <n v="3"/>
    <n v="1"/>
    <n v="2"/>
    <x v="1"/>
    <n v="18"/>
    <n v="1"/>
    <n v="0"/>
    <n v="1"/>
    <n v="0"/>
    <n v="1900.137232133432"/>
    <n v="1900"/>
    <n v="1950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1"/>
    <n v="849.49128019501404"/>
    <x v="1"/>
    <x v="2"/>
    <s v="Grande"/>
    <x v="1"/>
    <n v="1950.1625135427953"/>
  </r>
  <r>
    <s v="GLS Avenue "/>
    <x v="23"/>
    <n v="7106"/>
    <n v="2"/>
    <x v="4"/>
    <x v="0"/>
    <s v=" Sector 92 Gurgaon"/>
    <n v="0"/>
    <n v="0"/>
    <n v="2"/>
    <n v="4"/>
    <n v="1"/>
    <x v="0"/>
    <n v="12"/>
    <n v="0"/>
    <n v="1"/>
    <n v="1"/>
    <n v="0"/>
    <n v="1894.800666969834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104981705600003E-3"/>
    <n v="4200000"/>
    <n v="7.1059999999999998E-2"/>
    <x v="0"/>
    <s v="Todo bien"/>
    <x v="1"/>
    <x v="1"/>
    <n v="257.46144860399272"/>
    <x v="0"/>
    <x v="2"/>
    <s v="Pequeña"/>
    <x v="0"/>
    <n v="591.04981705600903"/>
  </r>
  <r>
    <s v="Signature Global Solera"/>
    <x v="1"/>
    <n v="7692"/>
    <n v="2"/>
    <x v="1"/>
    <x v="0"/>
    <s v=" Sector 107 Gurgaon"/>
    <n v="0"/>
    <n v="0"/>
    <n v="2"/>
    <n v="11"/>
    <n v="1"/>
    <x v="0"/>
    <n v="13"/>
    <n v="0"/>
    <n v="0"/>
    <n v="0"/>
    <n v="0"/>
    <n v="650.02600104004159"/>
    <m/>
    <n v="546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001E-3"/>
    <n v="5000000"/>
    <n v="7.6920000000000002E-2"/>
    <x v="1"/>
    <s v="Todo bien"/>
    <x v="0"/>
    <x v="2"/>
    <n v="283.15148914456512"/>
    <x v="0"/>
    <x v="0"/>
    <s v="Pequeña"/>
    <x v="0"/>
    <n v="650.02600104004159"/>
  </r>
  <r>
    <s v="Supertech Araville"/>
    <x v="15"/>
    <n v="5883"/>
    <n v="2"/>
    <x v="1"/>
    <x v="0"/>
    <s v=" Sector 79 Gurgaon"/>
    <n v="0"/>
    <n v="0"/>
    <n v="2"/>
    <n v="5"/>
    <n v="3"/>
    <x v="0"/>
    <n v="17"/>
    <n v="0"/>
    <n v="1"/>
    <n v="0"/>
    <n v="0"/>
    <n v="1990.1662374151254"/>
    <n v="1450"/>
    <n v="1530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3171851096E-2"/>
    <n v="9000000"/>
    <n v="5.883E-2"/>
    <x v="1"/>
    <s v="Todo bien"/>
    <x v="0"/>
    <x v="3"/>
    <n v="666.39508041815236"/>
    <x v="1"/>
    <x v="2"/>
    <s v="Mediana"/>
    <x v="1"/>
    <n v="1529.8317185109638"/>
  </r>
  <r>
    <s v="Greenopolis"/>
    <x v="35"/>
    <n v="6806"/>
    <n v="3"/>
    <x v="6"/>
    <x v="2"/>
    <s v=" Sector 89 Gurgaon"/>
    <n v="0"/>
    <n v="0"/>
    <n v="3"/>
    <n v="1"/>
    <n v="3"/>
    <x v="1"/>
    <n v="25"/>
    <n v="1"/>
    <n v="0"/>
    <n v="0"/>
    <n v="0"/>
    <n v="1385.113268608414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007934175727E-2"/>
    <n v="13000000"/>
    <n v="6.8059999999999996E-2"/>
    <x v="2"/>
    <s v="Todo bien"/>
    <x v="0"/>
    <x v="0"/>
    <n v="832.03104050837374"/>
    <x v="1"/>
    <x v="2"/>
    <s v="Pequeña"/>
    <x v="0"/>
    <n v="1910.0793417572731"/>
  </r>
  <r>
    <s v="Central Park Flower Valley Aqua Front Towers"/>
    <x v="74"/>
    <n v="9502"/>
    <n v="3"/>
    <x v="1"/>
    <x v="3"/>
    <s v=" Sector-33 Sohna"/>
    <n v="0"/>
    <n v="0"/>
    <n v="3"/>
    <n v="12"/>
    <n v="3"/>
    <x v="1"/>
    <n v="16"/>
    <n v="0"/>
    <n v="0"/>
    <n v="0"/>
    <n v="0"/>
    <n v="1789.097032203746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970322037399E-2"/>
    <n v="17000000"/>
    <n v="9.5019999999999993E-2"/>
    <x v="3"/>
    <s v="Todo bien"/>
    <x v="0"/>
    <x v="2"/>
    <n v="779.33111611239451"/>
    <x v="1"/>
    <x v="2"/>
    <s v="Pequeña"/>
    <x v="1"/>
    <n v="1789.0970322037467"/>
  </r>
  <r>
    <s v="Sare Homes"/>
    <x v="43"/>
    <n v="6200"/>
    <n v="4"/>
    <x v="1"/>
    <x v="3"/>
    <s v=" Sector 92 Gurgaon"/>
    <n v="0"/>
    <n v="0"/>
    <n v="3"/>
    <n v="16"/>
    <n v="0"/>
    <x v="2"/>
    <n v="18"/>
    <n v="0"/>
    <n v="0"/>
    <n v="0"/>
    <n v="0"/>
    <n v="2016.1290322580646"/>
    <n v="204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61290322580599E-2"/>
    <n v="12500000"/>
    <n v="6.2E-2"/>
    <x v="2"/>
    <s v="Todo bien"/>
    <x v="0"/>
    <x v="1"/>
    <n v="878.22631229838521"/>
    <x v="1"/>
    <x v="2"/>
    <s v="Grande"/>
    <x v="0"/>
    <n v="2016.1290322580646"/>
  </r>
  <r>
    <s v="Vatika Sovereign Next Sector- A Gurgaon"/>
    <x v="80"/>
    <n v="6700"/>
    <n v="4"/>
    <x v="4"/>
    <x v="3"/>
    <s v=" Sector 82A Gurgaon"/>
    <n v="0"/>
    <n v="0"/>
    <n v="4"/>
    <n v="6"/>
    <n v="3"/>
    <x v="2"/>
    <n v="6"/>
    <n v="1"/>
    <n v="1"/>
    <n v="0"/>
    <n v="1"/>
    <n v="1565.1943228544901"/>
    <m/>
    <n v="43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4328358208955E-2"/>
    <n v="29100000"/>
    <n v="6.7000000000000004E-2"/>
    <x v="5"/>
    <s v="Todo bien"/>
    <x v="1"/>
    <x v="5"/>
    <n v="1891.9354180880589"/>
    <x v="3"/>
    <x v="2"/>
    <s v="Pequeña"/>
    <x v="3"/>
    <n v="4343.2835820895516"/>
  </r>
  <r>
    <s v="Bhagwati sadan"/>
    <x v="81"/>
    <n v="5750"/>
    <n v="3"/>
    <x v="1"/>
    <x v="1"/>
    <s v=" Sector 12A Gurgaon"/>
    <n v="0"/>
    <n v="0"/>
    <n v="4"/>
    <n v="2"/>
    <n v="2"/>
    <x v="1"/>
    <n v="2"/>
    <n v="1"/>
    <n v="1"/>
    <n v="0"/>
    <n v="0"/>
    <n v="1920.2180376610506"/>
    <n v="2000"/>
    <n v="2500"/>
    <n v="0"/>
    <n v="0"/>
    <n v="0"/>
    <n v="0"/>
    <n v="0"/>
    <n v="0"/>
    <n v="1"/>
    <n v="1"/>
    <n v="0"/>
    <n v="0"/>
    <n v="0"/>
    <n v="1"/>
    <n v="0"/>
    <n v="1"/>
    <n v="1"/>
    <n v="0"/>
    <n v="0"/>
    <n v="7"/>
    <x v="0"/>
    <x v="0"/>
    <x v="0"/>
    <x v="1"/>
    <x v="0"/>
    <x v="0"/>
    <x v="0"/>
    <x v="0"/>
    <x v="0"/>
    <n v="0"/>
    <n v="0"/>
    <n v="0"/>
    <n v="1"/>
    <n v="1"/>
    <n v="1"/>
    <n v="1"/>
    <n v="0"/>
    <n v="1"/>
    <n v="0"/>
    <n v="0"/>
    <n v="1"/>
    <n v="0"/>
    <n v="0"/>
    <n v="1"/>
    <n v="0"/>
    <n v="0"/>
    <n v="0"/>
    <n v="0"/>
    <n v="0"/>
    <n v="0"/>
    <n v="0"/>
    <n v="0"/>
    <n v="2"/>
    <n v="1.99999999999999E-2"/>
    <n v="11500000"/>
    <n v="5.7500000000000002E-2"/>
    <x v="2"/>
    <s v="Todo bien"/>
    <x v="1"/>
    <x v="2"/>
    <n v="871.20050179999566"/>
    <x v="1"/>
    <x v="2"/>
    <s v="Grande"/>
    <x v="2"/>
    <n v="2000"/>
  </r>
  <r>
    <s v="Smart World Gems"/>
    <x v="56"/>
    <n v="12526"/>
    <n v="3"/>
    <x v="4"/>
    <x v="3"/>
    <s v=" Sector 89 Gurgaon"/>
    <n v="0"/>
    <n v="0"/>
    <n v="3"/>
    <n v="3"/>
    <n v="3"/>
    <x v="1"/>
    <n v="4"/>
    <n v="0"/>
    <n v="0"/>
    <n v="1"/>
    <n v="1"/>
    <n v="969.30533117932146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0734472296992E-3"/>
    <n v="12000000"/>
    <n v="0.12526000000000001"/>
    <x v="2"/>
    <s v="Todo bien"/>
    <x v="0"/>
    <x v="5"/>
    <n v="417.30823972536854"/>
    <x v="0"/>
    <x v="0"/>
    <s v="Pequeña"/>
    <x v="0"/>
    <n v="958.00734472297609"/>
  </r>
  <r>
    <s v="micasa sec "/>
    <x v="78"/>
    <n v="12244"/>
    <n v="2"/>
    <x v="1"/>
    <x v="2"/>
    <s v=" Sohna Road"/>
    <n v="0"/>
    <n v="0"/>
    <n v="2"/>
    <n v="11"/>
    <n v="3"/>
    <x v="0"/>
    <n v="25"/>
    <n v="0"/>
    <n v="0"/>
    <n v="0"/>
    <n v="0"/>
    <n v="2598.181273108823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8983992159E-2"/>
    <n v="15000000"/>
    <n v="0.12243999999999999"/>
    <x v="2"/>
    <s v="Todo bien"/>
    <x v="0"/>
    <x v="1"/>
    <n v="533.64944164488543"/>
    <x v="1"/>
    <x v="3"/>
    <s v="Pequeña"/>
    <x v="0"/>
    <n v="1225.0898399215944"/>
  </r>
  <r>
    <s v="Eldeco Accolade"/>
    <x v="35"/>
    <n v="7424"/>
    <n v="3"/>
    <x v="4"/>
    <x v="0"/>
    <s v=" Sohna"/>
    <n v="0"/>
    <n v="0"/>
    <n v="3"/>
    <n v="10"/>
    <n v="3"/>
    <x v="1"/>
    <n v="18"/>
    <n v="0"/>
    <n v="0"/>
    <n v="0"/>
    <n v="0"/>
    <n v="2003.039093797486"/>
    <m/>
    <n v="17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10775862068902E-2"/>
    <n v="13000000"/>
    <n v="7.424E-2"/>
    <x v="2"/>
    <s v="Todo bien"/>
    <x v="0"/>
    <x v="1"/>
    <n v="762.76983589708777"/>
    <x v="1"/>
    <x v="2"/>
    <s v="Pequeña"/>
    <x v="1"/>
    <n v="1751.0775862068965"/>
  </r>
  <r>
    <s v="Hero Homes"/>
    <x v="68"/>
    <n v="10361"/>
    <n v="3"/>
    <x v="1"/>
    <x v="3"/>
    <s v=" Sector 104 Gurgaon"/>
    <n v="0"/>
    <n v="0"/>
    <n v="3"/>
    <n v="2"/>
    <n v="3"/>
    <x v="1"/>
    <n v="25"/>
    <n v="0"/>
    <n v="0"/>
    <n v="0"/>
    <n v="0"/>
    <n v="1689.0261557764695"/>
    <m/>
    <n v="1689"/>
    <n v="0"/>
    <n v="0"/>
    <n v="0"/>
    <n v="1"/>
    <n v="1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90261557764599E-2"/>
    <n v="17500000"/>
    <n v="0.10360999999999999"/>
    <x v="3"/>
    <s v="Todo bien"/>
    <x v="0"/>
    <x v="0"/>
    <n v="735.74021723288843"/>
    <x v="1"/>
    <x v="2"/>
    <s v="Pequeña"/>
    <x v="1"/>
    <n v="1689.0261557764695"/>
  </r>
  <r>
    <s v="Shyam Sadan"/>
    <x v="52"/>
    <n v="6470"/>
    <n v="2"/>
    <x v="0"/>
    <x v="0"/>
    <s v=" Ashok Vihar Phase 2"/>
    <n v="0"/>
    <n v="0"/>
    <n v="2"/>
    <n v="4"/>
    <n v="1"/>
    <x v="0"/>
    <n v="4"/>
    <n v="0"/>
    <n v="1"/>
    <n v="0"/>
    <n v="0"/>
    <n v="1695.9459459459461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0"/>
    <x v="0"/>
    <x v="0"/>
    <x v="1"/>
    <x v="0"/>
    <x v="0"/>
    <x v="0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8.5007727975269995E-3"/>
    <n v="5500000"/>
    <n v="6.4699999999999994E-2"/>
    <x v="1"/>
    <s v="Todo bien"/>
    <x v="1"/>
    <x v="2"/>
    <n v="370.29387634466559"/>
    <x v="0"/>
    <x v="2"/>
    <s v="Pequeña"/>
    <x v="0"/>
    <n v="850.07727975270484"/>
  </r>
  <r>
    <s v="MM Heights"/>
    <x v="51"/>
    <n v="13600"/>
    <n v="3"/>
    <x v="1"/>
    <x v="3"/>
    <s v=" Sector 65 Gurgaon"/>
    <n v="0"/>
    <n v="0"/>
    <n v="3"/>
    <n v="19"/>
    <n v="3"/>
    <x v="1"/>
    <n v="41"/>
    <n v="0"/>
    <n v="0"/>
    <n v="0"/>
    <n v="0"/>
    <n v="1838.2352941176468"/>
    <m/>
    <n v="182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82352941176398E-2"/>
    <n v="25000000"/>
    <n v="0.13600000000000001"/>
    <x v="3"/>
    <s v="Todo bien"/>
    <x v="0"/>
    <x v="2"/>
    <n v="800.73575533087921"/>
    <x v="1"/>
    <x v="2"/>
    <s v="Pequeña"/>
    <x v="1"/>
    <n v="1838.2352941176468"/>
  </r>
  <r>
    <s v="hanumanta apartment"/>
    <x v="66"/>
    <n v="5308"/>
    <n v="2"/>
    <x v="1"/>
    <x v="5"/>
    <s v=" Rajiv Colony"/>
    <n v="0"/>
    <n v="0"/>
    <n v="2"/>
    <n v="1"/>
    <n v="1"/>
    <x v="0"/>
    <n v="3"/>
    <n v="0"/>
    <n v="0"/>
    <n v="0"/>
    <n v="0"/>
    <n v="810.09796533534279"/>
    <m/>
    <n v="810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009796533534004E-3"/>
    <n v="4300000"/>
    <n v="5.3080000000000002E-2"/>
    <x v="0"/>
    <s v="Todo bien"/>
    <x v="0"/>
    <x v="2"/>
    <n v="352.87887695365367"/>
    <x v="0"/>
    <x v="0"/>
    <s v="Pequeña"/>
    <x v="0"/>
    <n v="810.09796533534279"/>
  </r>
  <r>
    <s v="Supertech Hilltown"/>
    <x v="42"/>
    <n v="5556"/>
    <n v="3"/>
    <x v="1"/>
    <x v="4"/>
    <s v=" Sector 2 Gurgaon"/>
    <n v="0"/>
    <n v="0"/>
    <n v="2"/>
    <n v="8"/>
    <n v="3"/>
    <x v="1"/>
    <n v="8"/>
    <n v="0"/>
    <n v="0"/>
    <n v="0"/>
    <n v="0"/>
    <n v="5350.0181356546973"/>
    <n v="14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88480921526E-2"/>
    <n v="8000000"/>
    <n v="5.5559999999999998E-2"/>
    <x v="1"/>
    <s v="Todo bien"/>
    <x v="0"/>
    <x v="2"/>
    <n v="627.21418416126596"/>
    <x v="1"/>
    <x v="3"/>
    <s v="Mediana"/>
    <x v="0"/>
    <n v="1439.8848092152627"/>
  </r>
  <r>
    <s v="ashiyara "/>
    <x v="0"/>
    <n v="4500"/>
    <n v="3"/>
    <x v="1"/>
    <x v="3"/>
    <s v=" Garauli Kalan"/>
    <n v="0"/>
    <n v="0"/>
    <n v="3"/>
    <n v="18"/>
    <n v="2"/>
    <x v="1"/>
    <n v="19"/>
    <n v="0"/>
    <n v="0"/>
    <n v="0"/>
    <n v="0"/>
    <n v="1000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500000"/>
    <n v="4.4999999999999998E-2"/>
    <x v="0"/>
    <s v="Todo bien"/>
    <x v="0"/>
    <x v="2"/>
    <n v="435.60025090000005"/>
    <x v="0"/>
    <x v="0"/>
    <s v="Pequeña"/>
    <x v="0"/>
    <n v="1000"/>
  </r>
  <r>
    <s v="Raheja Vedaanta"/>
    <x v="4"/>
    <n v="4666"/>
    <n v="2"/>
    <x v="0"/>
    <x v="5"/>
    <s v=" Sector 108 Gurgaon"/>
    <n v="0"/>
    <n v="0"/>
    <n v="2"/>
    <n v="10"/>
    <n v="1"/>
    <x v="0"/>
    <n v="16"/>
    <n v="0"/>
    <n v="0"/>
    <n v="0"/>
    <n v="0"/>
    <n v="2044.7284345047924"/>
    <n v="14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2143163309001E-2"/>
    <n v="7000000"/>
    <n v="4.666E-2"/>
    <x v="1"/>
    <s v="Todo bien"/>
    <x v="0"/>
    <x v="2"/>
    <n v="653.49373259751212"/>
    <x v="1"/>
    <x v="2"/>
    <s v="Mediana"/>
    <x v="0"/>
    <n v="1500.2143163309045"/>
  </r>
  <r>
    <s v="BPTP Terra"/>
    <x v="82"/>
    <n v="14444"/>
    <n v="4"/>
    <x v="1"/>
    <x v="3"/>
    <s v=" Sector 37D Gurgaon"/>
    <n v="0"/>
    <n v="0"/>
    <n v="3"/>
    <n v="7"/>
    <n v="3"/>
    <x v="2"/>
    <n v="20"/>
    <n v="0"/>
    <n v="0"/>
    <n v="0"/>
    <n v="0"/>
    <n v="1916.9329073482429"/>
    <n v="1650"/>
    <n v="2191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415397396799E-2"/>
    <n v="19500000"/>
    <n v="0.14444000000000001"/>
    <x v="3"/>
    <s v="Todo bien"/>
    <x v="0"/>
    <x v="2"/>
    <n v="588.0784334360269"/>
    <x v="1"/>
    <x v="2"/>
    <s v="Mediana"/>
    <x v="2"/>
    <n v="1350.0415397396841"/>
  </r>
  <r>
    <s v="Green Court"/>
    <x v="0"/>
    <n v="7188"/>
    <n v="2"/>
    <x v="1"/>
    <x v="2"/>
    <s v=" Sector 90 Gurgaon"/>
    <n v="0"/>
    <n v="0"/>
    <n v="2"/>
    <n v="2"/>
    <n v="1"/>
    <x v="0"/>
    <n v="14"/>
    <n v="0"/>
    <n v="0"/>
    <n v="0"/>
    <n v="0"/>
    <n v="2510.376221716427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604340567612004E-3"/>
    <n v="4500000"/>
    <n v="7.1879999999999999E-2"/>
    <x v="0"/>
    <s v="Todo bien"/>
    <x v="0"/>
    <x v="0"/>
    <n v="272.70466458680841"/>
    <x v="0"/>
    <x v="3"/>
    <s v="Pequeña"/>
    <x v="0"/>
    <n v="626.04340567612689"/>
  </r>
  <r>
    <s v="MM Golf Hills Phase "/>
    <x v="74"/>
    <n v="10828"/>
    <n v="3"/>
    <x v="1"/>
    <x v="4"/>
    <s v=" Sector 79 Gurgaon"/>
    <n v="0"/>
    <n v="0"/>
    <n v="2"/>
    <n v="10"/>
    <n v="3"/>
    <x v="1"/>
    <n v="10"/>
    <n v="0"/>
    <n v="0"/>
    <n v="0"/>
    <n v="0"/>
    <n v="2080"/>
    <n v="157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0369412633E-2"/>
    <n v="17000000"/>
    <n v="0.10828"/>
    <x v="3"/>
    <s v="Todo bien"/>
    <x v="0"/>
    <x v="2"/>
    <n v="683.8940030753563"/>
    <x v="1"/>
    <x v="2"/>
    <s v="Mediana"/>
    <x v="0"/>
    <n v="1570.003694126339"/>
  </r>
  <r>
    <s v="Abhinav Group Housing Society"/>
    <x v="8"/>
    <n v="6111"/>
    <n v="3"/>
    <x v="1"/>
    <x v="1"/>
    <s v=" Bhawani Enclave"/>
    <n v="0"/>
    <n v="0"/>
    <n v="2"/>
    <n v="5"/>
    <n v="3"/>
    <x v="1"/>
    <n v="12"/>
    <n v="0"/>
    <n v="0"/>
    <n v="0"/>
    <n v="0"/>
    <n v="2408.1464153020506"/>
    <m/>
    <m/>
    <n v="0"/>
    <n v="0"/>
    <n v="0"/>
    <n v="0"/>
    <n v="0"/>
    <n v="0"/>
    <n v="0"/>
    <n v="1"/>
    <n v="0"/>
    <n v="0"/>
    <n v="0"/>
    <n v="0"/>
    <n v="1"/>
    <n v="0"/>
    <n v="1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x v="2"/>
    <s v="Todo bien"/>
    <x v="0"/>
    <x v="2"/>
    <n v="784.09470788741203"/>
    <x v="1"/>
    <x v="2"/>
    <s v="Pequeña"/>
    <x v="0"/>
    <n v="1800.0327278677794"/>
  </r>
  <r>
    <s v="Pyramid Urban Homes "/>
    <x v="1"/>
    <n v="9615"/>
    <n v="2"/>
    <x v="1"/>
    <x v="0"/>
    <s v=" Sector 86 Gurgaon"/>
    <n v="0"/>
    <n v="0"/>
    <n v="2"/>
    <n v="10"/>
    <n v="1"/>
    <x v="0"/>
    <n v="20"/>
    <n v="0"/>
    <n v="0"/>
    <n v="0"/>
    <n v="0"/>
    <n v="1473.2706608671251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2997E-3"/>
    <n v="5000000"/>
    <n v="9.6149999999999999E-2"/>
    <x v="1"/>
    <s v="Todo bien"/>
    <x v="0"/>
    <x v="2"/>
    <n v="226.52119131565121"/>
    <x v="0"/>
    <x v="2"/>
    <s v="Pequeña"/>
    <x v="0"/>
    <n v="520.02080083203327"/>
  </r>
  <r>
    <s v="MM Heights"/>
    <x v="40"/>
    <n v="15000"/>
    <n v="3"/>
    <x v="2"/>
    <x v="3"/>
    <s v=" Sector 65 Gurgaon"/>
    <n v="0"/>
    <n v="0"/>
    <n v="3"/>
    <n v="20"/>
    <n v="3"/>
    <x v="1"/>
    <n v="34"/>
    <n v="0"/>
    <n v="0"/>
    <n v="0"/>
    <n v="0"/>
    <n v="1866.6666666666667"/>
    <m/>
    <n v="182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66666666666599E-2"/>
    <n v="28000000"/>
    <n v="0.15"/>
    <x v="5"/>
    <s v="Todo bien"/>
    <x v="0"/>
    <x v="5"/>
    <n v="813.12046834666376"/>
    <x v="1"/>
    <x v="2"/>
    <s v="Pequeña"/>
    <x v="1"/>
    <n v="1866.6666666666667"/>
  </r>
  <r>
    <s v="Godrej Nature Plus"/>
    <x v="59"/>
    <n v="15664"/>
    <n v="3"/>
    <x v="1"/>
    <x v="3"/>
    <s v=" Sector-33 Sohna"/>
    <n v="0"/>
    <n v="0"/>
    <n v="2"/>
    <n v="20"/>
    <n v="3"/>
    <x v="1"/>
    <n v="22"/>
    <n v="0"/>
    <n v="1"/>
    <n v="0"/>
    <n v="0"/>
    <n v="2191.1840082009226"/>
    <n v="118"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947906026006E-3"/>
    <n v="14500000"/>
    <n v="0.15664"/>
    <x v="2"/>
    <s v="Todo bien"/>
    <x v="0"/>
    <x v="5"/>
    <n v="403.2305693341396"/>
    <x v="0"/>
    <x v="2"/>
    <s v="Pequeña"/>
    <x v="0"/>
    <n v="925.68947906026551"/>
  </r>
  <r>
    <s v="Smart World Orchard"/>
    <x v="18"/>
    <n v="13496"/>
    <n v="3"/>
    <x v="1"/>
    <x v="3"/>
    <s v=" Sector 61 Gurgaon"/>
    <n v="0"/>
    <n v="0"/>
    <n v="3"/>
    <n v="3"/>
    <n v="2"/>
    <x v="1"/>
    <n v="4"/>
    <n v="0"/>
    <n v="0"/>
    <n v="0"/>
    <n v="0"/>
    <n v="3830.2172814552805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1126259632401E-2"/>
    <n v="22000000.000000004"/>
    <n v="0.13496"/>
    <x v="3"/>
    <s v="Todo bien"/>
    <x v="0"/>
    <x v="2"/>
    <n v="710.07746886484529"/>
    <x v="1"/>
    <x v="3"/>
    <s v="Pequeña"/>
    <x v="0"/>
    <n v="1630.1126259632485"/>
  </r>
  <r>
    <s v="Ashiana Anmol"/>
    <x v="15"/>
    <n v="9463"/>
    <n v="2"/>
    <x v="8"/>
    <x v="0"/>
    <s v=" Sohna"/>
    <n v="0"/>
    <n v="0"/>
    <n v="2"/>
    <n v="13"/>
    <n v="2"/>
    <x v="0"/>
    <n v="14"/>
    <n v="0"/>
    <n v="0"/>
    <n v="0"/>
    <n v="0"/>
    <n v="2979.0890862217129"/>
    <m/>
    <n v="1275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9.5107259854167996E-3"/>
    <n v="9000000"/>
    <n v="9.4630000000000006E-2"/>
    <x v="1"/>
    <s v="Todo bien"/>
    <x v="1"/>
    <x v="5"/>
    <n v="414.28746254887079"/>
    <x v="0"/>
    <x v="3"/>
    <s v="Pequeña"/>
    <x v="1"/>
    <n v="951.07259854168865"/>
  </r>
  <r>
    <s v="Signature Signum A"/>
    <x v="2"/>
    <n v="7782"/>
    <n v="2"/>
    <x v="4"/>
    <x v="2"/>
    <s v=" Sector 95A Gurgaon"/>
    <n v="0"/>
    <n v="0"/>
    <n v="2"/>
    <n v="3"/>
    <n v="2"/>
    <x v="0"/>
    <n v="19"/>
    <n v="0"/>
    <n v="0"/>
    <n v="0"/>
    <n v="0"/>
    <n v="948.8448844884487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4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1400668208686001E-3"/>
    <n v="4000000"/>
    <n v="7.782E-2"/>
    <x v="0"/>
    <s v="Todo bien"/>
    <x v="1"/>
    <x v="1"/>
    <n v="223.90143968131278"/>
    <x v="0"/>
    <x v="0"/>
    <s v="Pequeña"/>
    <x v="0"/>
    <n v="514.00668208686716"/>
  </r>
  <r>
    <s v="Umang Winter Hills"/>
    <x v="12"/>
    <n v="7780"/>
    <n v="3"/>
    <x v="1"/>
    <x v="2"/>
    <s v=" Sector 77 Gurgaon"/>
    <n v="0"/>
    <n v="0"/>
    <n v="3"/>
    <n v="7"/>
    <n v="3"/>
    <x v="1"/>
    <n v="18"/>
    <n v="0"/>
    <n v="0"/>
    <n v="0"/>
    <n v="1"/>
    <n v="2802.0623178659494"/>
    <m/>
    <n v="1735"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1.7352185089974201E-2"/>
    <n v="13500000"/>
    <n v="7.7799999999999994E-2"/>
    <x v="2"/>
    <s v="Todo bien"/>
    <x v="1"/>
    <x v="1"/>
    <n v="755.86161788560014"/>
    <x v="1"/>
    <x v="3"/>
    <s v="Pequeña"/>
    <x v="1"/>
    <n v="1735.2185089974294"/>
  </r>
  <r>
    <s v="Aardhya homesh"/>
    <x v="20"/>
    <n v="8043"/>
    <n v="4"/>
    <x v="4"/>
    <x v="4"/>
    <s v=" Sector 67A Gurgaon"/>
    <n v="0"/>
    <n v="0"/>
    <n v="4"/>
    <n v="4"/>
    <n v="0"/>
    <x v="2"/>
    <n v="4"/>
    <n v="0"/>
    <n v="0"/>
    <n v="0"/>
    <n v="0"/>
    <n v="2964.5873944119558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367648887199E-2"/>
    <n v="18500000"/>
    <n v="8.0430000000000001E-2"/>
    <x v="3"/>
    <s v="Todo bien"/>
    <x v="0"/>
    <x v="2"/>
    <n v="1001.9401518898408"/>
    <x v="1"/>
    <x v="3"/>
    <s v="Pequeña"/>
    <x v="0"/>
    <n v="2300.1367648887231"/>
  </r>
  <r>
    <s v="ROF Ananda"/>
    <x v="36"/>
    <n v="6578"/>
    <n v="1"/>
    <x v="1"/>
    <x v="2"/>
    <s v=" Sector 95 Gurgaon"/>
    <n v="0"/>
    <n v="0"/>
    <n v="1"/>
    <n v="4"/>
    <n v="1"/>
    <x v="3"/>
    <n v="14"/>
    <n v="0"/>
    <n v="0"/>
    <n v="0"/>
    <n v="0"/>
    <n v="380.05472788081482"/>
    <m/>
    <n v="38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5472788080999E-3"/>
    <n v="2500000"/>
    <n v="6.5780000000000005E-2"/>
    <x v="0"/>
    <s v="Todo bien"/>
    <x v="0"/>
    <x v="2"/>
    <n v="165.55193482061208"/>
    <x v="0"/>
    <x v="1"/>
    <s v="Pequeña"/>
    <x v="0"/>
    <n v="380.05472788081482"/>
  </r>
  <r>
    <s v="Smart World Gems"/>
    <x v="83"/>
    <n v="7963"/>
    <n v="2"/>
    <x v="1"/>
    <x v="2"/>
    <s v=" Sector 89 Gurgaon"/>
    <n v="0"/>
    <n v="0"/>
    <n v="2"/>
    <n v="2"/>
    <n v="3"/>
    <x v="0"/>
    <n v="4"/>
    <n v="0"/>
    <n v="1"/>
    <n v="0"/>
    <n v="0"/>
    <n v="2095.3901416882859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511113901795E-2"/>
    <n v="8800000"/>
    <n v="7.9630000000000006E-2"/>
    <x v="1"/>
    <s v="Todo bien"/>
    <x v="0"/>
    <x v="1"/>
    <n v="481.38668942860386"/>
    <x v="0"/>
    <x v="2"/>
    <s v="Pequeña"/>
    <x v="0"/>
    <n v="1105.1111390179581"/>
  </r>
  <r>
    <s v="ASS The Leafotech Blith"/>
    <x v="81"/>
    <n v="6593"/>
    <n v="2"/>
    <x v="1"/>
    <x v="2"/>
    <s v=" Sector 99 Gurgaon"/>
    <n v="0"/>
    <n v="0"/>
    <n v="2"/>
    <n v="2"/>
    <n v="2"/>
    <x v="0"/>
    <n v="25"/>
    <n v="0"/>
    <n v="0"/>
    <n v="0"/>
    <n v="0"/>
    <n v="1744.2742302441984"/>
    <m/>
    <n v="13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42742302441899E-2"/>
    <n v="11500000"/>
    <n v="6.5930000000000002E-2"/>
    <x v="2"/>
    <s v="Todo bien"/>
    <x v="1"/>
    <x v="4"/>
    <n v="759.80629233277352"/>
    <x v="1"/>
    <x v="2"/>
    <s v="Pequeña"/>
    <x v="1"/>
    <n v="1744.2742302441984"/>
  </r>
  <r>
    <s v="ESS The Leafel Tower"/>
    <x v="26"/>
    <n v="12185"/>
    <n v="3"/>
    <x v="1"/>
    <x v="5"/>
    <s v=" IFFCO Chowk"/>
    <n v="0"/>
    <n v="0"/>
    <n v="3"/>
    <n v="4"/>
    <n v="3"/>
    <x v="1"/>
    <n v="14"/>
    <n v="0"/>
    <n v="0"/>
    <n v="0"/>
    <n v="0"/>
    <n v="1313.0898645876077"/>
    <m/>
    <n v="1313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0898645876E-2"/>
    <n v="16000000"/>
    <n v="0.12185"/>
    <x v="3"/>
    <s v="Todo bien"/>
    <x v="0"/>
    <x v="1"/>
    <n v="571.98227446860562"/>
    <x v="1"/>
    <x v="2"/>
    <s v="Pequeña"/>
    <x v="1"/>
    <n v="1313.0898645876077"/>
  </r>
  <r>
    <s v="Raheja Vanya"/>
    <x v="28"/>
    <n v="6789"/>
    <n v="2"/>
    <x v="0"/>
    <x v="2"/>
    <s v=" Sector 99A Gurgaon"/>
    <n v="0"/>
    <n v="0"/>
    <n v="2"/>
    <n v="3"/>
    <n v="2"/>
    <x v="0"/>
    <n v="19"/>
    <n v="0"/>
    <n v="0"/>
    <n v="0"/>
    <n v="0"/>
    <n v="1252.0253351008985"/>
    <m/>
    <n v="1252"/>
    <n v="0"/>
    <n v="0"/>
    <n v="0"/>
    <n v="1"/>
    <n v="1"/>
    <n v="0"/>
    <n v="0"/>
    <n v="1"/>
    <n v="1"/>
    <n v="0"/>
    <n v="0"/>
    <n v="1"/>
    <n v="1"/>
    <n v="1"/>
    <n v="0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20253351008899E-2"/>
    <n v="8500000"/>
    <n v="6.7890000000000006E-2"/>
    <x v="1"/>
    <s v="Todo bien"/>
    <x v="0"/>
    <x v="1"/>
    <n v="545.38255010310422"/>
    <x v="1"/>
    <x v="2"/>
    <s v="Pequeña"/>
    <x v="1"/>
    <n v="1252.0253351008985"/>
  </r>
  <r>
    <s v="Vatika INXT Floors"/>
    <x v="29"/>
    <n v="7500"/>
    <n v="2"/>
    <x v="1"/>
    <x v="4"/>
    <s v=" Sector 82A Gurgaon"/>
    <n v="0"/>
    <n v="0"/>
    <n v="2"/>
    <n v="1"/>
    <n v="2"/>
    <x v="0"/>
    <n v="1"/>
    <n v="0"/>
    <n v="0"/>
    <n v="0"/>
    <n v="0"/>
    <n v="1918.9223535392046"/>
    <n v="1000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7500000"/>
    <n v="7.4999999999999997E-2"/>
    <x v="1"/>
    <s v="Todo bien"/>
    <x v="0"/>
    <x v="2"/>
    <n v="435.60025090000005"/>
    <x v="0"/>
    <x v="2"/>
    <s v="Mediana"/>
    <x v="0"/>
    <n v="1000"/>
  </r>
  <r>
    <s v="Palam Vihar Society"/>
    <x v="84"/>
    <n v="7444"/>
    <n v="4"/>
    <x v="1"/>
    <x v="2"/>
    <s v=" Palam Vihar"/>
    <n v="0"/>
    <n v="0"/>
    <n v="4"/>
    <n v="2"/>
    <n v="3"/>
    <x v="2"/>
    <n v="4"/>
    <n v="0"/>
    <n v="1"/>
    <n v="0"/>
    <n v="0"/>
    <n v="1975.0578409796285"/>
    <m/>
    <m/>
    <n v="1"/>
    <n v="0"/>
    <n v="0"/>
    <n v="0"/>
    <n v="0"/>
    <n v="0"/>
    <n v="1"/>
    <n v="1"/>
    <n v="0"/>
    <n v="1"/>
    <n v="1"/>
    <n v="1"/>
    <n v="1"/>
    <n v="0"/>
    <n v="0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2686727565799E-2"/>
    <n v="33500000"/>
    <n v="7.4440000000000006E-2"/>
    <x v="5"/>
    <s v="Todo bien"/>
    <x v="0"/>
    <x v="0"/>
    <n v="1960.3181629701764"/>
    <x v="3"/>
    <x v="2"/>
    <s v="Pequeña"/>
    <x v="0"/>
    <n v="4500.2686727565824"/>
  </r>
  <r>
    <s v="Godrej Oasis"/>
    <x v="78"/>
    <n v="8108"/>
    <n v="3"/>
    <x v="2"/>
    <x v="2"/>
    <s v=" Sector 88A Gurgaon"/>
    <n v="0"/>
    <n v="0"/>
    <n v="3"/>
    <n v="11"/>
    <n v="3"/>
    <x v="1"/>
    <n v="15"/>
    <n v="0"/>
    <n v="0"/>
    <n v="0"/>
    <n v="0"/>
    <n v="1850.02466699556"/>
    <m/>
    <n v="1850"/>
    <n v="1"/>
    <n v="0"/>
    <n v="0"/>
    <n v="0"/>
    <n v="0"/>
    <n v="0"/>
    <n v="1"/>
    <n v="0"/>
    <n v="1"/>
    <n v="0"/>
    <n v="0"/>
    <n v="0"/>
    <n v="0"/>
    <n v="0"/>
    <n v="1"/>
    <n v="1"/>
    <n v="1"/>
    <n v="9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x v="2"/>
    <s v="Todo bien"/>
    <x v="0"/>
    <x v="2"/>
    <n v="805.87120911445493"/>
    <x v="1"/>
    <x v="2"/>
    <s v="Pequeña"/>
    <x v="1"/>
    <n v="1850.02466699556"/>
  </r>
  <r>
    <s v="DLF New Town Heights"/>
    <x v="71"/>
    <n v="6345"/>
    <n v="4"/>
    <x v="0"/>
    <x v="5"/>
    <s v=" Sector 91 Gurgaon"/>
    <n v="0"/>
    <n v="0"/>
    <n v="4"/>
    <n v="11"/>
    <n v="3"/>
    <x v="2"/>
    <n v="21"/>
    <n v="1"/>
    <n v="0"/>
    <n v="0"/>
    <n v="0"/>
    <n v="2600.4728132387704"/>
    <m/>
    <n v="2364"/>
    <n v="1"/>
    <n v="0"/>
    <n v="1"/>
    <n v="0"/>
    <n v="0"/>
    <n v="1"/>
    <n v="0"/>
    <n v="1"/>
    <n v="1"/>
    <n v="0"/>
    <n v="0"/>
    <n v="0"/>
    <n v="1"/>
    <n v="0"/>
    <n v="1"/>
    <n v="1"/>
    <n v="1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4728132387699E-2"/>
    <n v="16500000"/>
    <n v="6.3450000000000006E-2"/>
    <x v="3"/>
    <s v="Todo bien"/>
    <x v="0"/>
    <x v="1"/>
    <n v="1132.766609905437"/>
    <x v="1"/>
    <x v="3"/>
    <s v="Pequeña"/>
    <x v="2"/>
    <n v="2600.4728132387704"/>
  </r>
  <r>
    <s v="DLF New Town Heights"/>
    <x v="6"/>
    <n v="6967"/>
    <n v="4"/>
    <x v="4"/>
    <x v="5"/>
    <s v=" Sector 91 Gurgaon"/>
    <n v="0"/>
    <n v="0"/>
    <n v="4"/>
    <n v="16"/>
    <n v="3"/>
    <x v="2"/>
    <n v="22"/>
    <n v="1"/>
    <n v="1"/>
    <n v="1"/>
    <n v="0"/>
    <n v="2870.6760442084114"/>
    <m/>
    <n v="2727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067604420841E-2"/>
    <n v="20000000"/>
    <n v="6.9669999999999996E-2"/>
    <x v="3"/>
    <s v="Todo bien"/>
    <x v="0"/>
    <x v="3"/>
    <n v="1250.467205109803"/>
    <x v="1"/>
    <x v="3"/>
    <s v="Pequeña"/>
    <x v="2"/>
    <n v="2870.6760442084114"/>
  </r>
  <r>
    <s v="sonata group housing society sector  Manesar"/>
    <x v="68"/>
    <n v="6250"/>
    <n v="4"/>
    <x v="2"/>
    <x v="2"/>
    <s v=" near sector 1 market"/>
    <n v="0"/>
    <n v="0"/>
    <n v="4"/>
    <n v="8"/>
    <n v="3"/>
    <x v="2"/>
    <n v="10"/>
    <n v="1"/>
    <n v="0"/>
    <n v="0"/>
    <n v="0"/>
    <n v="2689.7989375294196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0000000000001E-2"/>
    <n v="17500000"/>
    <n v="6.25E-2"/>
    <x v="3"/>
    <s v="Todo bien"/>
    <x v="0"/>
    <x v="0"/>
    <n v="1219.6807025200001"/>
    <x v="1"/>
    <x v="3"/>
    <s v="Pequeña"/>
    <x v="0"/>
    <n v="2800"/>
  </r>
  <r>
    <s v="Supertech Hues"/>
    <x v="15"/>
    <n v="7627"/>
    <n v="2"/>
    <x v="4"/>
    <x v="2"/>
    <s v=" Sector 68 Gurgaon"/>
    <n v="0"/>
    <n v="0"/>
    <n v="2"/>
    <n v="1"/>
    <n v="2"/>
    <x v="0"/>
    <n v="35"/>
    <n v="0"/>
    <n v="0"/>
    <n v="0"/>
    <n v="0"/>
    <n v="1650.0491504002248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1835584109E-2"/>
    <n v="9000000"/>
    <n v="7.6270000000000004E-2"/>
    <x v="1"/>
    <s v="Todo bien"/>
    <x v="0"/>
    <x v="1"/>
    <n v="514.01629187098433"/>
    <x v="1"/>
    <x v="2"/>
    <s v="Pequeña"/>
    <x v="0"/>
    <n v="1180.0183558410909"/>
  </r>
  <r>
    <s v="Krrish Florence Estate"/>
    <x v="43"/>
    <n v="6703"/>
    <n v="3"/>
    <x v="2"/>
    <x v="3"/>
    <s v=" Sector 70 Gurgaon"/>
    <n v="0"/>
    <n v="0"/>
    <n v="3"/>
    <n v="18"/>
    <n v="3"/>
    <x v="1"/>
    <n v="25"/>
    <n v="0"/>
    <n v="0"/>
    <n v="0"/>
    <n v="0"/>
    <n v="1864.8366403103087"/>
    <m/>
    <n v="186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48366403102998E-2"/>
    <n v="12500000"/>
    <n v="6.7030000000000006E-2"/>
    <x v="2"/>
    <s v="Todo bien"/>
    <x v="0"/>
    <x v="1"/>
    <n v="812.32330840667976"/>
    <x v="1"/>
    <x v="2"/>
    <s v="Pequeña"/>
    <x v="1"/>
    <n v="1864.8366403103087"/>
  </r>
  <r>
    <s v="Piedmont Taksila heights"/>
    <x v="50"/>
    <n v="6506"/>
    <n v="3"/>
    <x v="1"/>
    <x v="0"/>
    <s v=" Sector 37C Gurgaon"/>
    <n v="0"/>
    <n v="0"/>
    <n v="3"/>
    <n v="8"/>
    <n v="3"/>
    <x v="1"/>
    <n v="15"/>
    <n v="0"/>
    <n v="0"/>
    <n v="0"/>
    <n v="0"/>
    <n v="1950.05945303210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2"/>
    <n v="1.53704272978788E-2"/>
    <n v="10000000"/>
    <n v="6.5060000000000007E-2"/>
    <x v="1"/>
    <s v="Todo bien"/>
    <x v="1"/>
    <x v="1"/>
    <n v="669.53619873962145"/>
    <x v="1"/>
    <x v="2"/>
    <s v="Pequeña"/>
    <x v="0"/>
    <n v="1537.042729787888"/>
  </r>
  <r>
    <s v="Experion Heartsong"/>
    <x v="85"/>
    <n v="6150"/>
    <n v="3"/>
    <x v="1"/>
    <x v="3"/>
    <s v=" Dwarka Expressway Gurgaon"/>
    <n v="0"/>
    <n v="0"/>
    <n v="3"/>
    <m/>
    <n v="0"/>
    <x v="1"/>
    <m/>
    <n v="0"/>
    <n v="0"/>
    <n v="0"/>
    <n v="0"/>
    <n v="1756.0975609756099"/>
    <n v="175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0975609756099E-2"/>
    <n v="10800000"/>
    <n v="6.1499999999999999E-2"/>
    <x v="2"/>
    <s v="Todo bien"/>
    <x v="0"/>
    <x v="2"/>
    <n v="764.95653816585377"/>
    <x v="1"/>
    <x v="2"/>
    <s v="Mediana"/>
    <x v="0"/>
    <n v="1756.0975609756099"/>
  </r>
  <r>
    <s v="SS The Leaf"/>
    <x v="86"/>
    <n v="8928"/>
    <n v="3"/>
    <x v="1"/>
    <x v="2"/>
    <s v=" Sector 85 Gurgaon"/>
    <n v="0"/>
    <n v="0"/>
    <n v="5"/>
    <n v="2"/>
    <n v="3"/>
    <x v="1"/>
    <n v="16"/>
    <n v="0"/>
    <n v="0"/>
    <n v="0"/>
    <n v="0"/>
    <n v="2408.1541218637994"/>
    <m/>
    <n v="24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541218637901E-2"/>
    <n v="21500000"/>
    <n v="8.9279999999999998E-2"/>
    <x v="3"/>
    <s v="Todo bien"/>
    <x v="0"/>
    <x v="2"/>
    <n v="1048.9925396897363"/>
    <x v="1"/>
    <x v="2"/>
    <s v="Pequeña"/>
    <x v="2"/>
    <n v="2408.1541218637994"/>
  </r>
  <r>
    <s v="MM Urbana"/>
    <x v="50"/>
    <n v="12106"/>
    <n v="1"/>
    <x v="8"/>
    <x v="0"/>
    <s v=" Sector 67 Gurgaon"/>
    <n v="0"/>
    <n v="0"/>
    <n v="1"/>
    <n v="17"/>
    <n v="1"/>
    <x v="3"/>
    <n v="17"/>
    <n v="0"/>
    <n v="0"/>
    <n v="0"/>
    <n v="0"/>
    <n v="826.03667602841563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603667602840995E-3"/>
    <n v="10000000"/>
    <n v="0.12106"/>
    <x v="1"/>
    <s v="Todo bien"/>
    <x v="0"/>
    <x v="1"/>
    <n v="359.82178333057743"/>
    <x v="0"/>
    <x v="0"/>
    <s v="Mediana"/>
    <x v="0"/>
    <n v="826.03667602841563"/>
  </r>
  <r>
    <s v="AIPL Zen Residences"/>
    <x v="71"/>
    <n v="13074"/>
    <n v="2"/>
    <x v="7"/>
    <x v="2"/>
    <s v=" Sector 70A Gurgaon"/>
    <n v="0"/>
    <n v="0"/>
    <n v="2"/>
    <n v="23"/>
    <n v="3"/>
    <x v="0"/>
    <n v="28"/>
    <n v="0"/>
    <n v="0"/>
    <n v="0"/>
    <n v="0"/>
    <n v="1262.0468104635154"/>
    <m/>
    <n v="1262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04681046351E-2"/>
    <n v="16500000"/>
    <n v="0.13074"/>
    <x v="3"/>
    <s v="Todo bien"/>
    <x v="0"/>
    <x v="5"/>
    <n v="549.74790728544974"/>
    <x v="1"/>
    <x v="2"/>
    <s v="Pequeña"/>
    <x v="1"/>
    <n v="1262.0468104635154"/>
  </r>
  <r>
    <s v="DLF Regal Gardens"/>
    <x v="87"/>
    <n v="8081"/>
    <n v="4"/>
    <x v="2"/>
    <x v="5"/>
    <s v=" Sector 90 Gurgaon"/>
    <n v="0"/>
    <n v="0"/>
    <n v="3"/>
    <n v="10"/>
    <n v="3"/>
    <x v="2"/>
    <n v="18"/>
    <n v="0"/>
    <n v="0"/>
    <n v="0"/>
    <n v="0"/>
    <n v="1620.102496280377"/>
    <m/>
    <m/>
    <n v="1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7239203068E-2"/>
    <n v="17900000"/>
    <n v="8.0810000000000007E-2"/>
    <x v="3"/>
    <s v="Todo bien"/>
    <x v="0"/>
    <x v="0"/>
    <n v="964.88608973022747"/>
    <x v="1"/>
    <x v="2"/>
    <s v="Pequeña"/>
    <x v="0"/>
    <n v="2215.0723920306891"/>
  </r>
  <r>
    <s v="Godrej Air"/>
    <x v="7"/>
    <n v="13136"/>
    <n v="3"/>
    <x v="1"/>
    <x v="3"/>
    <s v=" Sector 85 Gurgaon"/>
    <n v="0"/>
    <n v="0"/>
    <n v="3"/>
    <n v="30"/>
    <n v="3"/>
    <x v="1"/>
    <n v="32"/>
    <n v="0"/>
    <n v="0"/>
    <n v="0"/>
    <n v="0"/>
    <n v="2161.6712079927338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2801461632099E-2"/>
    <n v="18000000"/>
    <n v="0.13136"/>
    <x v="3"/>
    <s v="Todo bien"/>
    <x v="0"/>
    <x v="1"/>
    <n v="596.89437547198293"/>
    <x v="1"/>
    <x v="2"/>
    <s v="Pequeña"/>
    <x v="0"/>
    <n v="1370.2801461632155"/>
  </r>
  <r>
    <s v="Suncity Vatsal Valley"/>
    <x v="59"/>
    <n v="10139"/>
    <n v="3"/>
    <x v="1"/>
    <x v="3"/>
    <s v=" Gwal Pahari"/>
    <n v="0"/>
    <n v="0"/>
    <n v="3"/>
    <n v="4"/>
    <n v="3"/>
    <x v="1"/>
    <n v="4"/>
    <n v="0"/>
    <n v="0"/>
    <n v="0"/>
    <n v="0"/>
    <n v="1790.2134995358704"/>
    <n v="143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3012131373902E-2"/>
    <n v="14500000"/>
    <n v="0.10138999999999999"/>
    <x v="2"/>
    <s v="Todo bien"/>
    <x v="0"/>
    <x v="1"/>
    <n v="622.96120308215473"/>
    <x v="1"/>
    <x v="2"/>
    <s v="Mediana"/>
    <x v="0"/>
    <n v="1430.1213137390275"/>
  </r>
  <r>
    <s v="Shree shyam residency"/>
    <x v="88"/>
    <n v="4731"/>
    <n v="1"/>
    <x v="4"/>
    <x v="0"/>
    <s v=" Block A Surya Vihar"/>
    <n v="0"/>
    <n v="0"/>
    <n v="1"/>
    <n v="2"/>
    <n v="1"/>
    <x v="3"/>
    <n v="3"/>
    <n v="0"/>
    <n v="0"/>
    <n v="0"/>
    <n v="0"/>
    <n v="2545.2912112591703"/>
    <m/>
    <n v="58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6501796660324999E-3"/>
    <n v="2200000"/>
    <n v="4.7309999999999998E-2"/>
    <x v="0"/>
    <s v="Todo bien"/>
    <x v="0"/>
    <x v="2"/>
    <n v="202.56194292538353"/>
    <x v="0"/>
    <x v="3"/>
    <s v="Pequeña"/>
    <x v="0"/>
    <n v="465.01796660325516"/>
  </r>
  <r>
    <s v="Project Krishna Colony"/>
    <x v="89"/>
    <n v="5142"/>
    <n v="2"/>
    <x v="1"/>
    <x v="0"/>
    <s v=" Sector 7 Gurgaon"/>
    <n v="0"/>
    <n v="0"/>
    <n v="2"/>
    <n v="0"/>
    <n v="1"/>
    <x v="0"/>
    <n v="3"/>
    <n v="0"/>
    <n v="0"/>
    <n v="0"/>
    <n v="0"/>
    <n v="700.11668611435243"/>
    <n v="7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11668611434999E-3"/>
    <n v="3600000"/>
    <n v="5.142E-2"/>
    <x v="0"/>
    <s v="Todo bien"/>
    <x v="0"/>
    <x v="2"/>
    <n v="304.97100413068745"/>
    <x v="0"/>
    <x v="0"/>
    <s v="Pequeña"/>
    <x v="0"/>
    <n v="700.11668611435243"/>
  </r>
  <r>
    <s v="MVN Athens"/>
    <x v="36"/>
    <n v="4258"/>
    <n v="2"/>
    <x v="1"/>
    <x v="0"/>
    <s v=" Sohna"/>
    <n v="0"/>
    <n v="0"/>
    <n v="2"/>
    <n v="0"/>
    <n v="1"/>
    <x v="0"/>
    <n v="14"/>
    <n v="0"/>
    <n v="0"/>
    <n v="0"/>
    <n v="0"/>
    <n v="587.13010803193993"/>
    <n v="587"/>
    <m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13010803192996E-3"/>
    <n v="2500000"/>
    <n v="4.258E-2"/>
    <x v="0"/>
    <s v="Todo bien"/>
    <x v="0"/>
    <x v="0"/>
    <n v="255.7540223696528"/>
    <x v="0"/>
    <x v="1"/>
    <s v="Pequeña"/>
    <x v="0"/>
    <n v="587.13010803193993"/>
  </r>
  <r>
    <s v="MM Antalya Hills"/>
    <x v="81"/>
    <n v="7496"/>
    <n v="3"/>
    <x v="1"/>
    <x v="3"/>
    <s v=" Sector 79 Gurgaon"/>
    <n v="0"/>
    <n v="0"/>
    <n v="3"/>
    <n v="1"/>
    <n v="3"/>
    <x v="1"/>
    <n v="4"/>
    <n v="0"/>
    <n v="1"/>
    <n v="0"/>
    <n v="0"/>
    <n v="2768.2787819573359"/>
    <n v="1200"/>
    <n v="153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x v="2"/>
    <s v="Todo bien"/>
    <x v="0"/>
    <x v="2"/>
    <n v="668.27679900613418"/>
    <x v="1"/>
    <x v="3"/>
    <s v="Mediana"/>
    <x v="1"/>
    <n v="1534.1515474919956"/>
  </r>
  <r>
    <s v="Central Park Flower Valley"/>
    <x v="71"/>
    <n v="17441"/>
    <n v="3"/>
    <x v="1"/>
    <x v="4"/>
    <s v=" Sohna Road"/>
    <n v="0"/>
    <n v="0"/>
    <n v="3"/>
    <n v="1"/>
    <n v="0"/>
    <x v="1"/>
    <n v="1"/>
    <n v="0"/>
    <n v="0"/>
    <n v="0"/>
    <n v="0"/>
    <n v="1997.2451790633609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604667163579997E-3"/>
    <n v="16500000"/>
    <n v="0.17441000000000001"/>
    <x v="3"/>
    <s v="Todo bien"/>
    <x v="0"/>
    <x v="2"/>
    <n v="412.09816752766443"/>
    <x v="0"/>
    <x v="2"/>
    <s v="Pequeña"/>
    <x v="0"/>
    <n v="946.04667163580064"/>
  </r>
  <r>
    <s v="MM Capital"/>
    <x v="90"/>
    <n v="12619"/>
    <n v="4"/>
    <x v="5"/>
    <x v="3"/>
    <s v=" Sector 113 Gurgaon"/>
    <n v="0"/>
    <n v="0"/>
    <n v="4"/>
    <n v="11"/>
    <n v="3"/>
    <x v="2"/>
    <n v="36"/>
    <n v="1"/>
    <n v="1"/>
    <n v="0"/>
    <n v="0"/>
    <n v="1942.144536440764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1218797051998E-2"/>
    <n v="29000000"/>
    <n v="0.12619"/>
    <x v="5"/>
    <s v="Todo bien"/>
    <x v="0"/>
    <x v="1"/>
    <n v="1001.0624673983648"/>
    <x v="1"/>
    <x v="2"/>
    <s v="Pequeña"/>
    <x v="0"/>
    <n v="2298.1218797052065"/>
  </r>
  <r>
    <s v="Ansal Heights"/>
    <x v="91"/>
    <n v="4546"/>
    <n v="2"/>
    <x v="1"/>
    <x v="3"/>
    <s v=" Sector 92 Gurgaon"/>
    <n v="0"/>
    <n v="0"/>
    <n v="2"/>
    <n v="11"/>
    <n v="3"/>
    <x v="0"/>
    <n v="13"/>
    <n v="0"/>
    <n v="0"/>
    <n v="0"/>
    <n v="0"/>
    <n v="1319.8416190057194"/>
    <m/>
    <n v="1320"/>
    <n v="0"/>
    <n v="0"/>
    <n v="1"/>
    <n v="0"/>
    <n v="0"/>
    <n v="0"/>
    <n v="0"/>
    <n v="0"/>
    <n v="1"/>
    <n v="0"/>
    <n v="0"/>
    <n v="0"/>
    <n v="1"/>
    <n v="0"/>
    <n v="0"/>
    <n v="1"/>
    <n v="1"/>
    <n v="1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984161900571E-2"/>
    <n v="6000000"/>
    <n v="4.546E-2"/>
    <x v="1"/>
    <s v="Todo bien"/>
    <x v="0"/>
    <x v="0"/>
    <n v="574.92334038714955"/>
    <x v="1"/>
    <x v="2"/>
    <s v="Pequeña"/>
    <x v="1"/>
    <n v="1319.8416190057194"/>
  </r>
  <r>
    <s v="Malibu Towne"/>
    <x v="92"/>
    <n v="10000"/>
    <n v="3"/>
    <x v="0"/>
    <x v="5"/>
    <s v=" Malibu Town"/>
    <n v="0"/>
    <n v="0"/>
    <n v="3"/>
    <n v="0"/>
    <n v="0"/>
    <x v="1"/>
    <n v="3"/>
    <n v="0"/>
    <n v="0"/>
    <n v="0"/>
    <n v="0"/>
    <n v="1703.7157228622425"/>
    <m/>
    <m/>
    <n v="0"/>
    <n v="0"/>
    <n v="0"/>
    <n v="0"/>
    <n v="0"/>
    <n v="0"/>
    <n v="0"/>
    <n v="1"/>
    <n v="0"/>
    <n v="1"/>
    <n v="0"/>
    <n v="0"/>
    <n v="0"/>
    <n v="0"/>
    <n v="0"/>
    <n v="1"/>
    <n v="0"/>
    <n v="16"/>
    <x v="0"/>
    <x v="0"/>
    <x v="1"/>
    <x v="0"/>
    <x v="0"/>
    <x v="0"/>
    <x v="0"/>
    <x v="0"/>
    <x v="0"/>
    <n v="0"/>
    <n v="3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4E-2"/>
    <n v="24000000"/>
    <n v="0.1"/>
    <x v="3"/>
    <s v="Todo bien"/>
    <x v="1"/>
    <x v="0"/>
    <n v="1045.44060216"/>
    <x v="1"/>
    <x v="2"/>
    <s v="Pequeña"/>
    <x v="0"/>
    <n v="2400"/>
  </r>
  <r>
    <s v="AIPL Zen Residences"/>
    <x v="43"/>
    <n v="9904"/>
    <n v="2"/>
    <x v="1"/>
    <x v="4"/>
    <s v=" Sector 70A Gurgaon"/>
    <n v="0"/>
    <n v="0"/>
    <n v="2"/>
    <n v="19"/>
    <n v="3"/>
    <x v="0"/>
    <n v="19"/>
    <n v="0"/>
    <n v="0"/>
    <n v="0"/>
    <n v="0"/>
    <n v="2408.1632653061224"/>
    <m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1163166397401E-2"/>
    <n v="12500000"/>
    <n v="9.9040000000000003E-2"/>
    <x v="2"/>
    <s v="Todo bien"/>
    <x v="0"/>
    <x v="2"/>
    <n v="549.77818419325467"/>
    <x v="1"/>
    <x v="2"/>
    <s v="Pequeña"/>
    <x v="0"/>
    <n v="1262.1163166397414"/>
  </r>
  <r>
    <s v="MM Heights"/>
    <x v="86"/>
    <n v="15003"/>
    <n v="2"/>
    <x v="4"/>
    <x v="4"/>
    <s v=" Sector 65 Gurgaon"/>
    <n v="0"/>
    <n v="0"/>
    <n v="2"/>
    <n v="28"/>
    <n v="3"/>
    <x v="0"/>
    <n v="28"/>
    <n v="0"/>
    <n v="0"/>
    <n v="0"/>
    <n v="0"/>
    <n v="1433.0467239885356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672398853E-2"/>
    <n v="21500000"/>
    <n v="0.15003"/>
    <x v="3"/>
    <s v="Todo bien"/>
    <x v="0"/>
    <x v="2"/>
    <n v="624.23551252082677"/>
    <x v="1"/>
    <x v="2"/>
    <s v="Mediana"/>
    <x v="0"/>
    <n v="1433.0467239885356"/>
  </r>
  <r>
    <s v="HCBS Sports Ville"/>
    <x v="93"/>
    <n v="3970"/>
    <n v="2"/>
    <x v="1"/>
    <x v="4"/>
    <s v=" Sohna"/>
    <n v="0"/>
    <n v="0"/>
    <n v="2"/>
    <n v="4"/>
    <n v="1"/>
    <x v="0"/>
    <n v="4"/>
    <n v="0"/>
    <n v="0"/>
    <n v="0"/>
    <n v="0"/>
    <n v="735.0238882763690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7304785893999E-3"/>
    <n v="2950000"/>
    <n v="3.9699999999999999E-2"/>
    <x v="0"/>
    <s v="Todo bien"/>
    <x v="0"/>
    <x v="2"/>
    <n v="323.68280608438198"/>
    <x v="0"/>
    <x v="0"/>
    <s v="Pequeña"/>
    <x v="0"/>
    <n v="743.07304785894212"/>
  </r>
  <r>
    <s v="HCBS Sports Ville"/>
    <x v="94"/>
    <n v="5067"/>
    <n v="2"/>
    <x v="4"/>
    <x v="4"/>
    <s v=" Sohna"/>
    <n v="0"/>
    <n v="0"/>
    <n v="2"/>
    <n v="9"/>
    <n v="2"/>
    <x v="0"/>
    <n v="9"/>
    <n v="0"/>
    <n v="0"/>
    <n v="0"/>
    <n v="0"/>
    <n v="2266.5457842248411"/>
    <n v="7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5066114070998E-3"/>
    <n v="3800000"/>
    <n v="5.067E-2"/>
    <x v="0"/>
    <s v="Todo bien"/>
    <x v="0"/>
    <x v="2"/>
    <n v="326.67869615551416"/>
    <x v="0"/>
    <x v="2"/>
    <s v="Pequeña"/>
    <x v="0"/>
    <n v="749.95066114071437"/>
  </r>
  <r>
    <s v="JMD Empire"/>
    <x v="78"/>
    <n v="12500"/>
    <n v="2"/>
    <x v="4"/>
    <x v="4"/>
    <s v=" Golf Course Road"/>
    <n v="0"/>
    <n v="0"/>
    <n v="2"/>
    <n v="7"/>
    <n v="3"/>
    <x v="0"/>
    <n v="7"/>
    <n v="0"/>
    <n v="0"/>
    <n v="0"/>
    <n v="0"/>
    <n v="3112.0331950207469"/>
    <n v="12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2"/>
    <n v="522.72030108000001"/>
    <x v="1"/>
    <x v="3"/>
    <s v="Mediana"/>
    <x v="0"/>
    <n v="1200"/>
  </r>
  <r>
    <s v="Housing Apna Enclave"/>
    <x v="95"/>
    <n v="4105"/>
    <n v="2"/>
    <x v="2"/>
    <x v="4"/>
    <s v=" Sector 4 Gurgaon"/>
    <n v="0"/>
    <n v="0"/>
    <n v="2"/>
    <n v="0"/>
    <n v="1"/>
    <x v="0"/>
    <n v="4"/>
    <n v="0"/>
    <n v="0"/>
    <n v="0"/>
    <n v="0"/>
    <n v="3250.2294279596208"/>
    <n v="9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x v="0"/>
    <s v="Todo bien"/>
    <x v="0"/>
    <x v="2"/>
    <n v="413.84676699390576"/>
    <x v="0"/>
    <x v="3"/>
    <s v="Mediana"/>
    <x v="0"/>
    <n v="950.06090133982946"/>
  </r>
  <r>
    <s v="ASS The Leafotech Blith"/>
    <x v="26"/>
    <n v="6667"/>
    <n v="3"/>
    <x v="1"/>
    <x v="4"/>
    <s v=" Sector 99 Gurgaon"/>
    <n v="0"/>
    <n v="0"/>
    <n v="4"/>
    <n v="15"/>
    <n v="0"/>
    <x v="1"/>
    <n v="15"/>
    <n v="0"/>
    <n v="0"/>
    <n v="0"/>
    <n v="0"/>
    <n v="2399.8800059997002"/>
    <n v="240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98800059997001E-2"/>
    <n v="16000000"/>
    <n v="6.6669999999999993E-2"/>
    <x v="3"/>
    <s v="Todo bien"/>
    <x v="0"/>
    <x v="2"/>
    <n v="1045.388332743363"/>
    <x v="1"/>
    <x v="2"/>
    <s v="Grande"/>
    <x v="0"/>
    <n v="2399.8800059997002"/>
  </r>
  <r>
    <s v="Pareena Mi Casa"/>
    <x v="74"/>
    <n v="8504"/>
    <n v="4"/>
    <x v="1"/>
    <x v="2"/>
    <s v=" Sector 68 Gurgaon"/>
    <n v="0"/>
    <n v="0"/>
    <n v="4"/>
    <n v="2"/>
    <n v="3"/>
    <x v="2"/>
    <n v="34"/>
    <n v="0"/>
    <n v="0"/>
    <n v="0"/>
    <n v="0"/>
    <n v="1999.0592662276574"/>
    <m/>
    <n v="199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90592662276499E-2"/>
    <n v="17000000"/>
    <n v="8.5040000000000004E-2"/>
    <x v="3"/>
    <s v="Todo bien"/>
    <x v="0"/>
    <x v="2"/>
    <n v="870.7907179327342"/>
    <x v="1"/>
    <x v="2"/>
    <s v="Pequeña"/>
    <x v="1"/>
    <n v="1999.0592662276574"/>
  </r>
  <r>
    <s v="Suncity Heights"/>
    <x v="27"/>
    <n v="14118"/>
    <n v="3"/>
    <x v="4"/>
    <x v="1"/>
    <s v=" Sector 54 Gurgaon"/>
    <n v="0"/>
    <n v="0"/>
    <n v="3"/>
    <n v="0"/>
    <n v="3"/>
    <x v="1"/>
    <n v="14"/>
    <n v="0"/>
    <n v="0"/>
    <n v="1"/>
    <n v="0"/>
    <n v="2361.3783452859893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0"/>
    <x v="0"/>
    <x v="0"/>
    <x v="0"/>
    <x v="0"/>
    <x v="1"/>
    <x v="0"/>
    <n v="1"/>
    <n v="2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020257826887599E-2"/>
    <n v="32500000"/>
    <n v="0.14118"/>
    <x v="5"/>
    <s v="Todo bien"/>
    <x v="1"/>
    <x v="5"/>
    <n v="1002.7630085174927"/>
    <x v="1"/>
    <x v="2"/>
    <s v="Pequeña"/>
    <x v="0"/>
    <n v="2302.025782688766"/>
  </r>
  <r>
    <s v="Lotus Homz"/>
    <x v="91"/>
    <n v="8450"/>
    <n v="2"/>
    <x v="4"/>
    <x v="2"/>
    <s v=" Sector 111 Gurgaon"/>
    <n v="0"/>
    <n v="0"/>
    <n v="2"/>
    <n v="9"/>
    <n v="3"/>
    <x v="0"/>
    <n v="10"/>
    <n v="0"/>
    <n v="0"/>
    <n v="0"/>
    <n v="0"/>
    <n v="1376.0566149007275"/>
    <m/>
    <m/>
    <n v="0"/>
    <n v="0"/>
    <n v="0"/>
    <n v="1"/>
    <n v="0"/>
    <n v="0"/>
    <n v="0"/>
    <n v="1"/>
    <n v="1"/>
    <n v="1"/>
    <n v="1"/>
    <n v="1"/>
    <n v="1"/>
    <n v="0"/>
    <n v="1"/>
    <n v="0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005917159762998E-3"/>
    <n v="6000000"/>
    <n v="8.4500000000000006E-2"/>
    <x v="1"/>
    <s v="Todo bien"/>
    <x v="0"/>
    <x v="1"/>
    <n v="309.30195330177378"/>
    <x v="0"/>
    <x v="2"/>
    <s v="Pequeña"/>
    <x v="0"/>
    <n v="710.05917159763305"/>
  </r>
  <r>
    <s v="Ramson kshitij Sec- Gurugram"/>
    <x v="96"/>
    <n v="2700"/>
    <n v="2"/>
    <x v="0"/>
    <x v="4"/>
    <s v=" Sector 95 Gurgaon"/>
    <n v="0"/>
    <n v="0"/>
    <n v="2"/>
    <n v="1"/>
    <n v="0"/>
    <x v="0"/>
    <n v="15"/>
    <n v="0"/>
    <n v="0"/>
    <n v="0"/>
    <n v="0"/>
    <n v="1778.7078210829193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2700000"/>
    <n v="2.7E-2"/>
    <x v="0"/>
    <s v="Todo bien"/>
    <x v="0"/>
    <x v="2"/>
    <n v="435.60025090000005"/>
    <x v="0"/>
    <x v="2"/>
    <s v="Pequeña"/>
    <x v="0"/>
    <n v="1000"/>
  </r>
  <r>
    <s v="Maruti Vihar Colony"/>
    <x v="13"/>
    <n v="8886"/>
    <n v="2"/>
    <x v="1"/>
    <x v="1"/>
    <s v=" Chakkarpur"/>
    <n v="0"/>
    <n v="0"/>
    <n v="1"/>
    <n v="1"/>
    <n v="1"/>
    <x v="0"/>
    <n v="1"/>
    <n v="0"/>
    <n v="0"/>
    <n v="0"/>
    <n v="0"/>
    <n v="1415.026576641287"/>
    <m/>
    <m/>
    <n v="0"/>
    <n v="0"/>
    <n v="1"/>
    <n v="0"/>
    <n v="0"/>
    <n v="0"/>
    <n v="0"/>
    <n v="1"/>
    <n v="1"/>
    <n v="1"/>
    <n v="1"/>
    <n v="0"/>
    <n v="0"/>
    <n v="1"/>
    <n v="1"/>
    <n v="0"/>
    <n v="0"/>
    <n v="23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909745667341E-2"/>
    <n v="9500000"/>
    <n v="8.8859999999999995E-2"/>
    <x v="1"/>
    <s v="Todo bien"/>
    <x v="0"/>
    <x v="1"/>
    <n v="465.69912036348927"/>
    <x v="0"/>
    <x v="2"/>
    <s v="Pequeña"/>
    <x v="0"/>
    <n v="1069.0974566734189"/>
  </r>
  <r>
    <s v="MM Heights"/>
    <x v="97"/>
    <n v="18492"/>
    <n v="2"/>
    <x v="2"/>
    <x v="2"/>
    <s v=" Sector 65 Gurgaon"/>
    <n v="0"/>
    <n v="0"/>
    <n v="2"/>
    <n v="4"/>
    <n v="3"/>
    <x v="0"/>
    <n v="34"/>
    <n v="0"/>
    <n v="1"/>
    <n v="0"/>
    <n v="0"/>
    <n v="1433.0521306510923"/>
    <m/>
    <n v="1433"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330521306510901E-2"/>
    <n v="26500000"/>
    <n v="0.18492"/>
    <x v="5"/>
    <s v="Todo bien"/>
    <x v="1"/>
    <x v="1"/>
    <n v="624.23786766439446"/>
    <x v="1"/>
    <x v="2"/>
    <s v="Pequeña"/>
    <x v="1"/>
    <n v="1433.0521306510923"/>
  </r>
  <r>
    <s v="Supertech Basera"/>
    <x v="89"/>
    <n v="7643"/>
    <n v="2"/>
    <x v="1"/>
    <x v="2"/>
    <s v=" Sector 79 Gurgaon"/>
    <n v="0"/>
    <n v="0"/>
    <n v="2"/>
    <n v="4"/>
    <n v="1"/>
    <x v="0"/>
    <n v="18"/>
    <n v="0"/>
    <n v="0"/>
    <n v="0"/>
    <n v="0"/>
    <n v="3040.4378230465186"/>
    <n v="546"/>
    <m/>
    <n v="1"/>
    <n v="0"/>
    <n v="0"/>
    <n v="1"/>
    <n v="0"/>
    <n v="0"/>
    <n v="1"/>
    <n v="1"/>
    <n v="1"/>
    <n v="1"/>
    <n v="1"/>
    <n v="0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101923328535002E-3"/>
    <n v="3600000"/>
    <n v="7.6429999999999998E-2"/>
    <x v="0"/>
    <s v="Todo bien"/>
    <x v="0"/>
    <x v="1"/>
    <n v="205.17609619782411"/>
    <x v="0"/>
    <x v="3"/>
    <s v="Pequeña"/>
    <x v="0"/>
    <n v="471.01923328535918"/>
  </r>
  <r>
    <s v="Signature Global the Millennia"/>
    <x v="52"/>
    <n v="9166"/>
    <n v="2"/>
    <x v="1"/>
    <x v="2"/>
    <s v=" Sector 37D Gurgaon"/>
    <n v="0"/>
    <n v="0"/>
    <n v="2"/>
    <n v="3"/>
    <n v="3"/>
    <x v="0"/>
    <n v="15"/>
    <n v="0"/>
    <n v="0"/>
    <n v="0"/>
    <n v="0"/>
    <n v="600.04363953742086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x v="1"/>
    <s v="Todo bien"/>
    <x v="0"/>
    <x v="2"/>
    <n v="261.37915993344933"/>
    <x v="0"/>
    <x v="0"/>
    <s v="Pequeña"/>
    <x v="0"/>
    <n v="600.04363953742086"/>
  </r>
  <r>
    <s v="MM Soulitude"/>
    <x v="98"/>
    <n v="16923"/>
    <n v="3"/>
    <x v="1"/>
    <x v="3"/>
    <s v=" Sector 89 Gurgaon"/>
    <n v="0"/>
    <n v="0"/>
    <n v="3"/>
    <n v="1"/>
    <n v="3"/>
    <x v="1"/>
    <n v="4"/>
    <n v="0"/>
    <n v="0"/>
    <n v="0"/>
    <n v="0"/>
    <n v="2625.0822909809085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00354547065999E-3"/>
    <n v="13200000"/>
    <n v="0.16922999999999999"/>
    <x v="2"/>
    <s v="Todo bien"/>
    <x v="0"/>
    <x v="0"/>
    <n v="339.76974010990909"/>
    <x v="0"/>
    <x v="3"/>
    <s v="Pequeña"/>
    <x v="0"/>
    <n v="780.00354547066127"/>
  </r>
  <r>
    <s v="Raheja Vanya"/>
    <x v="99"/>
    <n v="3975"/>
    <n v="2"/>
    <x v="4"/>
    <x v="3"/>
    <s v=" Sector 99A Gurgaon"/>
    <n v="0"/>
    <n v="0"/>
    <n v="2"/>
    <n v="1"/>
    <n v="3"/>
    <x v="0"/>
    <n v="19"/>
    <n v="0"/>
    <n v="0"/>
    <n v="0"/>
    <n v="0"/>
    <n v="1484.2767295597484"/>
    <m/>
    <n v="1252.130000000000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427672955974E-2"/>
    <n v="5900000"/>
    <n v="3.9750000000000001E-2"/>
    <x v="1"/>
    <s v="Todo bien"/>
    <x v="0"/>
    <x v="5"/>
    <n v="646.5513158012543"/>
    <x v="1"/>
    <x v="2"/>
    <s v="Pequeña"/>
    <x v="1"/>
    <n v="1484.2767295597484"/>
  </r>
  <r>
    <s v="Ganpati apartment  , Laxman Vihar Phase "/>
    <x v="0"/>
    <n v="4705"/>
    <n v="2"/>
    <x v="4"/>
    <x v="0"/>
    <s v=" Laxman Vihar"/>
    <n v="0"/>
    <n v="0"/>
    <n v="2"/>
    <n v="0"/>
    <n v="1"/>
    <x v="0"/>
    <n v="4"/>
    <n v="0"/>
    <n v="0"/>
    <n v="0"/>
    <n v="0"/>
    <n v="2025.1716247139586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642933049946005E-3"/>
    <n v="4500000"/>
    <n v="4.7050000000000002E-2"/>
    <x v="0"/>
    <s v="Todo bien"/>
    <x v="0"/>
    <x v="2"/>
    <n v="416.62085633368383"/>
    <x v="0"/>
    <x v="2"/>
    <s v="Pequeña"/>
    <x v="0"/>
    <n v="956.42933049946862"/>
  </r>
  <r>
    <s v="Ramprastha The Atrium"/>
    <x v="15"/>
    <n v="6225"/>
    <n v="3"/>
    <x v="3"/>
    <x v="0"/>
    <s v=" Sector 37D Gurgaon"/>
    <n v="0"/>
    <n v="0"/>
    <n v="3"/>
    <n v="13"/>
    <n v="2"/>
    <x v="1"/>
    <n v="13"/>
    <n v="0"/>
    <n v="0"/>
    <n v="0"/>
    <n v="0"/>
    <n v="1125.1435132032148"/>
    <n v="1185"/>
    <n v="1285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0"/>
    <x v="1"/>
    <x v="0"/>
    <x v="0"/>
    <n v="0"/>
    <n v="4"/>
    <n v="1"/>
    <n v="3"/>
    <n v="1"/>
    <n v="0"/>
    <n v="0"/>
    <n v="0"/>
    <n v="0"/>
    <n v="3"/>
    <n v="1"/>
    <n v="1"/>
    <n v="0"/>
    <n v="0"/>
    <n v="1"/>
    <n v="4"/>
    <n v="1"/>
    <n v="1"/>
    <n v="0"/>
    <n v="0"/>
    <n v="0"/>
    <n v="0"/>
    <n v="0"/>
    <n v="2"/>
    <n v="1.44578313253012E-2"/>
    <n v="9000000"/>
    <n v="6.225E-2"/>
    <x v="1"/>
    <s v="Todo bien"/>
    <x v="1"/>
    <x v="1"/>
    <n v="629.78349527710827"/>
    <x v="1"/>
    <x v="0"/>
    <s v="Mediana"/>
    <x v="1"/>
    <n v="1445.7831325301204"/>
  </r>
  <r>
    <s v="MM Golfestate"/>
    <x v="100"/>
    <n v="10000"/>
    <n v="2"/>
    <x v="4"/>
    <x v="4"/>
    <s v=" Sector 79 Gurgaon"/>
    <n v="0"/>
    <n v="0"/>
    <n v="2"/>
    <n v="4"/>
    <n v="2"/>
    <x v="0"/>
    <n v="40"/>
    <n v="1"/>
    <n v="1"/>
    <n v="0"/>
    <n v="1"/>
    <n v="1950.1240988062875"/>
    <m/>
    <m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0"/>
    <n v="0"/>
    <n v="1"/>
    <n v="1"/>
    <n v="1"/>
    <n v="0"/>
    <n v="1"/>
    <n v="1"/>
    <n v="1"/>
    <n v="0"/>
    <n v="0"/>
    <n v="0"/>
    <n v="0"/>
    <n v="0"/>
    <n v="1"/>
    <n v="1.4E-2"/>
    <n v="14000000"/>
    <n v="0.1"/>
    <x v="2"/>
    <s v="Todo bien"/>
    <x v="2"/>
    <x v="3"/>
    <n v="609.84035126000003"/>
    <x v="1"/>
    <x v="2"/>
    <s v="Pequeña"/>
    <x v="0"/>
    <n v="1400"/>
  </r>
  <r>
    <s v="Eldeco Accolade"/>
    <x v="13"/>
    <n v="6542"/>
    <n v="2"/>
    <x v="4"/>
    <x v="2"/>
    <s v=" Sohna"/>
    <n v="0"/>
    <n v="0"/>
    <n v="2"/>
    <n v="6"/>
    <n v="3"/>
    <x v="0"/>
    <n v="18"/>
    <n v="0"/>
    <n v="1"/>
    <n v="0"/>
    <n v="0"/>
    <n v="1790.328534514581"/>
    <m/>
    <n v="1452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215530418832E-2"/>
    <n v="9500000"/>
    <n v="6.5420000000000006E-2"/>
    <x v="1"/>
    <s v="Todo bien"/>
    <x v="0"/>
    <x v="2"/>
    <n v="632.55921485019803"/>
    <x v="1"/>
    <x v="2"/>
    <s v="Pequeña"/>
    <x v="1"/>
    <n v="1452.1553041883215"/>
  </r>
  <r>
    <s v="MM Heights"/>
    <x v="101"/>
    <n v="18000"/>
    <n v="3"/>
    <x v="3"/>
    <x v="3"/>
    <s v=" Sector 65 Gurgaon"/>
    <n v="0"/>
    <n v="0"/>
    <n v="3"/>
    <n v="20"/>
    <n v="3"/>
    <x v="1"/>
    <n v="47"/>
    <n v="0"/>
    <n v="0"/>
    <n v="0"/>
    <n v="0"/>
    <n v="1666.6666666666667"/>
    <m/>
    <n v="1828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66666666666601E-2"/>
    <n v="30000000"/>
    <n v="0.18"/>
    <x v="5"/>
    <s v="Todo bien"/>
    <x v="0"/>
    <x v="3"/>
    <n v="726.00041816666385"/>
    <x v="1"/>
    <x v="2"/>
    <s v="Pequeña"/>
    <x v="1"/>
    <n v="1666.6666666666667"/>
  </r>
  <r>
    <s v="MM Heights"/>
    <x v="102"/>
    <n v="17990"/>
    <n v="3"/>
    <x v="1"/>
    <x v="3"/>
    <s v=" Sector 65 Gurgaon"/>
    <n v="0"/>
    <n v="0"/>
    <n v="3"/>
    <n v="27"/>
    <n v="2"/>
    <x v="1"/>
    <n v="48"/>
    <n v="1"/>
    <n v="0"/>
    <n v="0"/>
    <n v="0"/>
    <n v="2040.0222345747636"/>
    <m/>
    <n v="204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02223457476E-2"/>
    <n v="36700000"/>
    <n v="0.1799"/>
    <x v="5"/>
    <s v="Todo bien"/>
    <x v="0"/>
    <x v="1"/>
    <n v="888.63419722234414"/>
    <x v="1"/>
    <x v="2"/>
    <s v="Pequeña"/>
    <x v="2"/>
    <n v="2040.0222345747636"/>
  </r>
  <r>
    <s v="Vatika Sovereign Next"/>
    <x v="103"/>
    <n v="7500"/>
    <n v="5"/>
    <x v="1"/>
    <x v="2"/>
    <s v=" Sector 82A Gurgaon"/>
    <n v="0"/>
    <n v="0"/>
    <n v="6"/>
    <n v="6"/>
    <n v="3"/>
    <x v="4"/>
    <n v="7"/>
    <n v="1"/>
    <n v="0"/>
    <n v="1"/>
    <n v="0"/>
    <n v="1507.0213494691175"/>
    <m/>
    <m/>
    <n v="0"/>
    <n v="0"/>
    <n v="1"/>
    <n v="1"/>
    <n v="1"/>
    <n v="1"/>
    <n v="0"/>
    <n v="1"/>
    <n v="1"/>
    <n v="1"/>
    <n v="0"/>
    <n v="1"/>
    <n v="1"/>
    <n v="0"/>
    <n v="1"/>
    <n v="1"/>
    <n v="1"/>
    <n v="50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5.13333333333333E-2"/>
    <n v="38500000"/>
    <n v="7.4999999999999997E-2"/>
    <x v="5"/>
    <s v="Todo bien"/>
    <x v="1"/>
    <x v="4"/>
    <n v="2236.0812879533319"/>
    <x v="3"/>
    <x v="2"/>
    <s v="Pequeña"/>
    <x v="0"/>
    <n v="5133.3333333333339"/>
  </r>
  <r>
    <s v="MM Heights"/>
    <x v="104"/>
    <n v="17997"/>
    <n v="3"/>
    <x v="4"/>
    <x v="2"/>
    <s v=" Sector 65 Gurgaon"/>
    <n v="0"/>
    <n v="0"/>
    <n v="3"/>
    <n v="33"/>
    <n v="3"/>
    <x v="1"/>
    <n v="48"/>
    <n v="0"/>
    <n v="0"/>
    <n v="0"/>
    <n v="0"/>
    <n v="1828.0824581874758"/>
    <m/>
    <n v="182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824581874699E-2"/>
    <n v="32900000"/>
    <n v="0.17996999999999999"/>
    <x v="5"/>
    <s v="Todo bien"/>
    <x v="0"/>
    <x v="1"/>
    <n v="796.31317745235071"/>
    <x v="1"/>
    <x v="2"/>
    <s v="Pequeña"/>
    <x v="1"/>
    <n v="1828.0824581874758"/>
  </r>
  <r>
    <s v="MM Heights"/>
    <x v="105"/>
    <n v="18477"/>
    <n v="2"/>
    <x v="2"/>
    <x v="3"/>
    <s v=" Sector 65 Gurgaon"/>
    <n v="0"/>
    <n v="0"/>
    <n v="2"/>
    <n v="35"/>
    <n v="3"/>
    <x v="0"/>
    <n v="35"/>
    <n v="0"/>
    <n v="0"/>
    <n v="0"/>
    <n v="0"/>
    <n v="1261.0272230340424"/>
    <m/>
    <n v="12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26102722303404E-2"/>
    <n v="23300000"/>
    <n v="0.18476999999999999"/>
    <x v="3"/>
    <s v="Todo bien"/>
    <x v="1"/>
    <x v="1"/>
    <n v="549.30377474535817"/>
    <x v="1"/>
    <x v="2"/>
    <s v="Pequeña"/>
    <x v="1"/>
    <n v="1261.0272230340424"/>
  </r>
  <r>
    <s v="MM Heights"/>
    <x v="106"/>
    <n v="14168"/>
    <n v="3"/>
    <x v="4"/>
    <x v="2"/>
    <s v=" Sector 65 Gurgaon"/>
    <n v="0"/>
    <n v="0"/>
    <n v="3"/>
    <n v="26"/>
    <n v="3"/>
    <x v="1"/>
    <n v="47"/>
    <n v="0"/>
    <n v="0"/>
    <n v="0"/>
    <n v="0"/>
    <n v="1969.226425748165"/>
    <m/>
    <n v="182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922642574816E-2"/>
    <n v="27900000"/>
    <n v="0.14168"/>
    <x v="5"/>
    <s v="Todo bien"/>
    <x v="0"/>
    <x v="2"/>
    <n v="857.79552513480871"/>
    <x v="1"/>
    <x v="2"/>
    <s v="Pequeña"/>
    <x v="1"/>
    <n v="1969.226425748165"/>
  </r>
  <r>
    <s v="South City  Floors"/>
    <x v="107"/>
    <n v="11724"/>
    <n v="4"/>
    <x v="1"/>
    <x v="4"/>
    <s v=" Sector 41 Gurgaon"/>
    <n v="0"/>
    <n v="0"/>
    <n v="4"/>
    <n v="0"/>
    <n v="3"/>
    <x v="2"/>
    <n v="1"/>
    <n v="0"/>
    <n v="0"/>
    <n v="0"/>
    <n v="0"/>
    <n v="2900.0341180484479"/>
    <n v="29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341180484401E-2"/>
    <n v="34000000"/>
    <n v="0.11724"/>
    <x v="5"/>
    <s v="Todo bien"/>
    <x v="0"/>
    <x v="2"/>
    <n v="1263.2555894404609"/>
    <x v="1"/>
    <x v="3"/>
    <s v="Muy grande"/>
    <x v="0"/>
    <n v="2900.0341180484479"/>
  </r>
  <r>
    <s v="Allure Homes"/>
    <x v="108"/>
    <n v="7272"/>
    <n v="2"/>
    <x v="1"/>
    <x v="0"/>
    <s v=" Sector 12 Gurgaon"/>
    <n v="0"/>
    <n v="0"/>
    <n v="2"/>
    <n v="2"/>
    <n v="1"/>
    <x v="0"/>
    <n v="4"/>
    <n v="0"/>
    <n v="0"/>
    <n v="0"/>
    <n v="0"/>
    <n v="2698.1076286221169"/>
    <m/>
    <m/>
    <n v="0"/>
    <n v="0"/>
    <n v="0"/>
    <n v="1"/>
    <n v="0"/>
    <n v="0"/>
    <n v="0"/>
    <n v="0"/>
    <n v="0"/>
    <n v="0"/>
    <n v="0"/>
    <n v="0"/>
    <n v="1"/>
    <n v="0"/>
    <n v="1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9.9009900990098994E-3"/>
    <n v="7200000"/>
    <n v="7.2720000000000007E-2"/>
    <x v="1"/>
    <s v="Todo bien"/>
    <x v="1"/>
    <x v="2"/>
    <n v="431.28737712871282"/>
    <x v="0"/>
    <x v="3"/>
    <s v="Pequeña"/>
    <x v="0"/>
    <n v="990.09900990099004"/>
  </r>
  <r>
    <s v="Zara Aavaas"/>
    <x v="2"/>
    <n v="7036"/>
    <n v="2"/>
    <x v="5"/>
    <x v="0"/>
    <s v=" Sector 104 Gurgaon"/>
    <n v="0"/>
    <n v="0"/>
    <n v="2"/>
    <n v="4"/>
    <n v="1"/>
    <x v="0"/>
    <n v="14"/>
    <n v="0"/>
    <n v="0"/>
    <n v="0"/>
    <n v="0"/>
    <n v="568.50483229107442"/>
    <m/>
    <n v="568.4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50483229106998E-3"/>
    <n v="4000000"/>
    <n v="7.0360000000000006E-2"/>
    <x v="0"/>
    <s v="Todo bien"/>
    <x v="0"/>
    <x v="1"/>
    <n v="247.64084758385252"/>
    <x v="0"/>
    <x v="1"/>
    <s v="Pequeña"/>
    <x v="0"/>
    <n v="568.50483229107442"/>
  </r>
  <r>
    <s v="Sidhartha NCR One Phase "/>
    <x v="57"/>
    <n v="4105"/>
    <n v="2"/>
    <x v="1"/>
    <x v="0"/>
    <s v=" Sector 95 Gurgaon"/>
    <n v="0"/>
    <n v="0"/>
    <n v="2"/>
    <n v="10"/>
    <n v="2"/>
    <x v="0"/>
    <n v="17"/>
    <n v="0"/>
    <n v="0"/>
    <n v="0"/>
    <n v="0"/>
    <n v="1364.1900121802678"/>
    <m/>
    <n v="1364"/>
    <n v="0"/>
    <n v="0"/>
    <n v="1"/>
    <n v="0"/>
    <n v="0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641900121802599E-2"/>
    <n v="5600000"/>
    <n v="4.1050000000000003E-2"/>
    <x v="1"/>
    <s v="Todo bien"/>
    <x v="1"/>
    <x v="1"/>
    <n v="594.24151158099528"/>
    <x v="1"/>
    <x v="2"/>
    <s v="Pequeña"/>
    <x v="1"/>
    <n v="1364.1900121802678"/>
  </r>
  <r>
    <s v="CHD Avenue "/>
    <x v="8"/>
    <n v="6790"/>
    <n v="3"/>
    <x v="1"/>
    <x v="0"/>
    <s v=" Sector 71 Gurgaon"/>
    <n v="0"/>
    <n v="0"/>
    <n v="3"/>
    <n v="11"/>
    <n v="3"/>
    <x v="1"/>
    <n v="14"/>
    <n v="0"/>
    <n v="0"/>
    <n v="0"/>
    <n v="0"/>
    <n v="1620.0294550810015"/>
    <m/>
    <n v="1620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294550809999E-2"/>
    <n v="11000000"/>
    <n v="6.7900000000000002E-2"/>
    <x v="2"/>
    <s v="Todo bien"/>
    <x v="0"/>
    <x v="3"/>
    <n v="705.68523709867384"/>
    <x v="1"/>
    <x v="2"/>
    <s v="Pequeña"/>
    <x v="1"/>
    <n v="1620.0294550810015"/>
  </r>
  <r>
    <s v="Ramprastha The Edge Towers"/>
    <x v="109"/>
    <n v="5420"/>
    <n v="2"/>
    <x v="3"/>
    <x v="2"/>
    <s v=" Sector 37D Gurgaon"/>
    <n v="0"/>
    <n v="0"/>
    <n v="2"/>
    <n v="10"/>
    <n v="3"/>
    <x v="0"/>
    <n v="22"/>
    <n v="0"/>
    <n v="0"/>
    <n v="0"/>
    <n v="0"/>
    <n v="2191.2350597609561"/>
    <n v="1100"/>
    <n v="131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996309963099E-2"/>
    <n v="7100000"/>
    <n v="5.4199999999999998E-2"/>
    <x v="1"/>
    <s v="Todo bien"/>
    <x v="0"/>
    <x v="1"/>
    <n v="570.62025486900097"/>
    <x v="1"/>
    <x v="2"/>
    <s v="Mediana"/>
    <x v="1"/>
    <n v="1309.9630996309963"/>
  </r>
  <r>
    <s v="Supertech Araville"/>
    <x v="32"/>
    <n v="6024"/>
    <n v="2"/>
    <x v="1"/>
    <x v="2"/>
    <s v=" Sector 79 Gurgaon"/>
    <n v="0"/>
    <n v="0"/>
    <n v="2"/>
    <n v="0"/>
    <n v="3"/>
    <x v="0"/>
    <n v="24"/>
    <n v="0"/>
    <n v="0"/>
    <n v="0"/>
    <n v="0"/>
    <n v="1294.8207171314741"/>
    <m/>
    <n v="129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800000"/>
    <n v="6.0240000000000002E-2"/>
    <x v="1"/>
    <s v="Todo bien"/>
    <x v="0"/>
    <x v="3"/>
    <n v="564.02422925298629"/>
    <x v="1"/>
    <x v="2"/>
    <s v="Pequeña"/>
    <x v="1"/>
    <n v="1294.8207171314741"/>
  </r>
  <r>
    <s v="Imperia Aashiyara"/>
    <x v="2"/>
    <n v="5882"/>
    <n v="2"/>
    <x v="1"/>
    <x v="3"/>
    <s v=" Sector 37C Gurgaon"/>
    <n v="0"/>
    <n v="0"/>
    <n v="2"/>
    <n v="3"/>
    <n v="3"/>
    <x v="0"/>
    <n v="12"/>
    <n v="0"/>
    <n v="0"/>
    <n v="0"/>
    <n v="0"/>
    <n v="1800"/>
    <m/>
    <m/>
    <n v="1"/>
    <n v="1"/>
    <n v="0"/>
    <n v="0"/>
    <n v="0"/>
    <n v="0"/>
    <n v="1"/>
    <n v="1"/>
    <n v="1"/>
    <n v="1"/>
    <n v="1"/>
    <n v="1"/>
    <n v="1"/>
    <n v="1"/>
    <n v="1"/>
    <n v="0"/>
    <n v="1"/>
    <n v="2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004080244814004E-3"/>
    <n v="4000000"/>
    <n v="5.8819999999999997E-2"/>
    <x v="0"/>
    <s v="Todo bien"/>
    <x v="0"/>
    <x v="1"/>
    <n v="296.22594416864717"/>
    <x v="0"/>
    <x v="2"/>
    <s v="Pequeña"/>
    <x v="0"/>
    <n v="680.04080244814691"/>
  </r>
  <r>
    <s v="La Vida by Tata Housing"/>
    <x v="20"/>
    <n v="11716"/>
    <n v="3"/>
    <x v="4"/>
    <x v="2"/>
    <s v=" Sector 113 Gurgaon"/>
    <n v="0"/>
    <n v="0"/>
    <n v="2"/>
    <n v="7"/>
    <n v="2"/>
    <x v="1"/>
    <n v="25"/>
    <n v="0"/>
    <n v="0"/>
    <n v="0"/>
    <n v="0"/>
    <n v="1579.0372140662341"/>
    <m/>
    <n v="1579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0372140662302E-2"/>
    <n v="18500000"/>
    <n v="0.11716"/>
    <x v="3"/>
    <s v="Todo bien"/>
    <x v="0"/>
    <x v="0"/>
    <n v="687.82900662768691"/>
    <x v="1"/>
    <x v="2"/>
    <s v="Pequeña"/>
    <x v="1"/>
    <n v="1579.0372140662341"/>
  </r>
  <r>
    <s v="Shapoorji Pallonji Joyville Gurugram"/>
    <x v="8"/>
    <n v="12181"/>
    <n v="2"/>
    <x v="1"/>
    <x v="3"/>
    <s v=" Sector 102 Gurgaon"/>
    <n v="0"/>
    <n v="0"/>
    <n v="2"/>
    <n v="8"/>
    <n v="1"/>
    <x v="0"/>
    <n v="14"/>
    <n v="0"/>
    <n v="0"/>
    <n v="0"/>
    <n v="0"/>
    <n v="903.04572695181014"/>
    <m/>
    <n v="903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304572695180992E-3"/>
    <n v="11000000"/>
    <n v="0.12181"/>
    <x v="2"/>
    <s v="Todo bien"/>
    <x v="0"/>
    <x v="5"/>
    <n v="393.36694523438132"/>
    <x v="0"/>
    <x v="0"/>
    <s v="Pequeña"/>
    <x v="0"/>
    <n v="903.04572695181014"/>
  </r>
  <r>
    <s v="Smart World Orchard"/>
    <x v="110"/>
    <n v="12250"/>
    <n v="2"/>
    <x v="1"/>
    <x v="3"/>
    <s v=" Sector 61 Gurgaon"/>
    <n v="0"/>
    <n v="0"/>
    <n v="2"/>
    <n v="2"/>
    <n v="2"/>
    <x v="0"/>
    <n v="4"/>
    <n v="0"/>
    <n v="1"/>
    <n v="0"/>
    <n v="0"/>
    <n v="1151.0204081632653"/>
    <n v="1150"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040816326E-2"/>
    <n v="14100000"/>
    <n v="0.1225"/>
    <x v="2"/>
    <s v="Todo bien"/>
    <x v="0"/>
    <x v="4"/>
    <n v="501.38477858693648"/>
    <x v="1"/>
    <x v="0"/>
    <s v="Mediana"/>
    <x v="0"/>
    <n v="1151.0204081632653"/>
  </r>
  <r>
    <s v="Supertech Araville"/>
    <x v="59"/>
    <n v="7455"/>
    <n v="3"/>
    <x v="5"/>
    <x v="0"/>
    <s v=" Sector 79 Gurgaon"/>
    <n v="0"/>
    <n v="0"/>
    <n v="3"/>
    <n v="3"/>
    <n v="3"/>
    <x v="1"/>
    <n v="18"/>
    <n v="0"/>
    <n v="0"/>
    <n v="0"/>
    <n v="0"/>
    <n v="1617.2839506172838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9450033534540501E-2"/>
    <n v="14500000"/>
    <n v="7.4550000000000005E-2"/>
    <x v="2"/>
    <s v="Todo bien"/>
    <x v="1"/>
    <x v="2"/>
    <n v="847.24394876592567"/>
    <x v="1"/>
    <x v="2"/>
    <s v="Pequeña"/>
    <x v="0"/>
    <n v="1945.0033534540576"/>
  </r>
  <r>
    <s v="Smart World Orchard"/>
    <x v="18"/>
    <n v="13500"/>
    <n v="3"/>
    <x v="2"/>
    <x v="3"/>
    <s v=" Sector 61 Gurgaon"/>
    <n v="0"/>
    <n v="0"/>
    <n v="3"/>
    <n v="1"/>
    <n v="2"/>
    <x v="1"/>
    <n v="4"/>
    <n v="0"/>
    <n v="0"/>
    <n v="0"/>
    <n v="0"/>
    <n v="2287.16645489199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96296296296298E-2"/>
    <n v="22000000.000000004"/>
    <n v="0.13500000000000001"/>
    <x v="3"/>
    <s v="Todo bien"/>
    <x v="0"/>
    <x v="1"/>
    <n v="709.86707554074087"/>
    <x v="1"/>
    <x v="2"/>
    <s v="Pequeña"/>
    <x v="0"/>
    <n v="1629.6296296296298"/>
  </r>
  <r>
    <s v="Unitech The Residences"/>
    <x v="8"/>
    <n v="9909"/>
    <n v="2"/>
    <x v="4"/>
    <x v="5"/>
    <s v=" Sector 33 Gurgaon"/>
    <n v="0"/>
    <n v="0"/>
    <n v="2"/>
    <n v="9"/>
    <n v="3"/>
    <x v="0"/>
    <n v="14"/>
    <n v="0"/>
    <n v="0"/>
    <n v="0"/>
    <n v="0"/>
    <n v="2450.1970810695643"/>
    <n v="1100"/>
    <n v="111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1"/>
    <x v="0"/>
    <x v="1"/>
    <x v="1"/>
    <n v="0"/>
    <n v="3"/>
    <n v="1"/>
    <n v="3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1101019275406101E-2"/>
    <n v="11000000"/>
    <n v="9.9089999999999998E-2"/>
    <x v="2"/>
    <s v="Todo bien"/>
    <x v="1"/>
    <x v="1"/>
    <n v="483.56067816126341"/>
    <x v="0"/>
    <x v="2"/>
    <s v="Mediana"/>
    <x v="1"/>
    <n v="1110.1019275406197"/>
  </r>
  <r>
    <s v="Emaar Imperial Gardens"/>
    <x v="111"/>
    <n v="9876"/>
    <n v="3"/>
    <x v="8"/>
    <x v="0"/>
    <s v=" Sector 102 Gurgaon"/>
    <n v="0"/>
    <n v="0"/>
    <n v="4"/>
    <n v="14"/>
    <n v="3"/>
    <x v="1"/>
    <n v="15"/>
    <n v="1"/>
    <n v="0"/>
    <n v="0"/>
    <n v="0"/>
    <n v="1733.0262147636283"/>
    <m/>
    <m/>
    <n v="1"/>
    <n v="0"/>
    <n v="1"/>
    <n v="0"/>
    <n v="0"/>
    <n v="0"/>
    <n v="1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57391656541099E-2"/>
    <n v="20500000"/>
    <n v="9.8760000000000001E-2"/>
    <x v="3"/>
    <s v="Todo bien"/>
    <x v="0"/>
    <x v="3"/>
    <n v="904.19250136188703"/>
    <x v="1"/>
    <x v="2"/>
    <s v="Pequeña"/>
    <x v="0"/>
    <n v="2075.7391656541108"/>
  </r>
  <r>
    <s v="Sare Homes"/>
    <x v="91"/>
    <n v="5000"/>
    <n v="3"/>
    <x v="1"/>
    <x v="5"/>
    <s v=" Sector 92 Gurgaon"/>
    <n v="0"/>
    <n v="0"/>
    <n v="2"/>
    <n v="4"/>
    <n v="3"/>
    <x v="1"/>
    <n v="4"/>
    <n v="0"/>
    <n v="0"/>
    <n v="0"/>
    <n v="0"/>
    <n v="3880.215466082351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2E-2"/>
    <n v="6000000"/>
    <n v="0.05"/>
    <x v="1"/>
    <s v="Todo bien"/>
    <x v="1"/>
    <x v="1"/>
    <n v="522.72030108000001"/>
    <x v="1"/>
    <x v="3"/>
    <s v="Pequeña"/>
    <x v="0"/>
    <n v="1200"/>
  </r>
  <r>
    <s v="Greenopolis"/>
    <x v="42"/>
    <n v="4820"/>
    <n v="2"/>
    <x v="1"/>
    <x v="3"/>
    <s v=" Sector 89 Gurgaon"/>
    <n v="0"/>
    <n v="0"/>
    <n v="3"/>
    <n v="8"/>
    <n v="3"/>
    <x v="0"/>
    <n v="25"/>
    <n v="0"/>
    <n v="1"/>
    <n v="0"/>
    <n v="0"/>
    <n v="1659.7510373443984"/>
    <m/>
    <n v="16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975103734439E-2"/>
    <n v="8000000"/>
    <n v="4.82E-2"/>
    <x v="1"/>
    <s v="Todo bien"/>
    <x v="0"/>
    <x v="3"/>
    <n v="722.98796829875164"/>
    <x v="1"/>
    <x v="2"/>
    <s v="Pequeña"/>
    <x v="1"/>
    <n v="1659.7510373443984"/>
  </r>
  <r>
    <s v="Pivotal Devaan"/>
    <x v="5"/>
    <n v="7032"/>
    <n v="2"/>
    <x v="4"/>
    <x v="2"/>
    <s v=" Sector 84 Gurgaon"/>
    <n v="0"/>
    <n v="0"/>
    <n v="2"/>
    <n v="10"/>
    <n v="2"/>
    <x v="0"/>
    <n v="14"/>
    <n v="0"/>
    <n v="0"/>
    <n v="0"/>
    <n v="0"/>
    <n v="2350.1278139688297"/>
    <n v="565"/>
    <n v="583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8304891922638996E-3"/>
    <n v="4100000"/>
    <n v="7.0319999999999994E-2"/>
    <x v="0"/>
    <s v="Todo bien"/>
    <x v="1"/>
    <x v="2"/>
    <n v="253.97625550198933"/>
    <x v="0"/>
    <x v="2"/>
    <s v="Pequeña"/>
    <x v="0"/>
    <n v="583.04891922639365"/>
  </r>
  <r>
    <s v="Today Callidora"/>
    <x v="15"/>
    <n v="5548"/>
    <n v="3"/>
    <x v="4"/>
    <x v="3"/>
    <s v=" Sector 73 Gurgaon"/>
    <n v="0"/>
    <n v="0"/>
    <n v="3"/>
    <n v="3"/>
    <n v="3"/>
    <x v="1"/>
    <n v="14"/>
    <n v="1"/>
    <n v="0"/>
    <n v="0"/>
    <n v="0"/>
    <n v="1622.2062004325883"/>
    <n v="1622"/>
    <m/>
    <n v="0"/>
    <n v="0"/>
    <n v="0"/>
    <n v="1"/>
    <n v="1"/>
    <n v="1"/>
    <n v="1"/>
    <n v="1"/>
    <n v="1"/>
    <n v="0"/>
    <n v="0"/>
    <n v="1"/>
    <n v="1"/>
    <n v="0"/>
    <n v="1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22062004325799E-2"/>
    <n v="9000000"/>
    <n v="5.5480000000000002E-2"/>
    <x v="1"/>
    <s v="Todo bien"/>
    <x v="0"/>
    <x v="3"/>
    <n v="706.63342791996752"/>
    <x v="1"/>
    <x v="2"/>
    <s v="Mediana"/>
    <x v="0"/>
    <n v="1622.2062004325883"/>
  </r>
  <r>
    <s v="M M Residency, Krishna Colony, Gurgaon"/>
    <x v="112"/>
    <n v="5888"/>
    <n v="2"/>
    <x v="4"/>
    <x v="0"/>
    <s v=" Krishna Colony"/>
    <n v="0"/>
    <n v="0"/>
    <n v="2"/>
    <n v="3"/>
    <n v="1"/>
    <x v="0"/>
    <n v="4"/>
    <n v="0"/>
    <n v="0"/>
    <n v="0"/>
    <n v="0"/>
    <n v="2092.050209205021"/>
    <m/>
    <m/>
    <n v="0"/>
    <n v="0"/>
    <n v="0"/>
    <n v="1"/>
    <n v="0"/>
    <n v="0"/>
    <n v="0"/>
    <n v="0"/>
    <n v="0"/>
    <n v="1"/>
    <n v="1"/>
    <n v="0"/>
    <n v="0"/>
    <n v="0"/>
    <n v="1"/>
    <n v="0"/>
    <n v="0"/>
    <n v="21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9.1711956521739E-3"/>
    <n v="5400000"/>
    <n v="5.8880000000000002E-2"/>
    <x v="1"/>
    <s v="Todo bien"/>
    <x v="0"/>
    <x v="1"/>
    <n v="399.49751271399401"/>
    <x v="0"/>
    <x v="2"/>
    <s v="Pequeña"/>
    <x v="0"/>
    <n v="917.11956521739125"/>
  </r>
  <r>
    <s v="Signature Global Park "/>
    <x v="30"/>
    <n v="7585"/>
    <n v="3"/>
    <x v="1"/>
    <x v="2"/>
    <s v=" Sector 36 Sohna"/>
    <n v="0"/>
    <n v="0"/>
    <n v="2"/>
    <n v="2"/>
    <n v="2"/>
    <x v="1"/>
    <n v="4"/>
    <n v="0"/>
    <n v="0"/>
    <n v="0"/>
    <n v="0"/>
    <n v="2100.176563516402"/>
    <m/>
    <n v="1081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x v="1"/>
    <s v="Todo bien"/>
    <x v="0"/>
    <x v="2"/>
    <n v="470.91919016216167"/>
    <x v="0"/>
    <x v="2"/>
    <s v="Pequeña"/>
    <x v="1"/>
    <n v="1081.081081081081"/>
  </r>
  <r>
    <s v="CHD Avenue "/>
    <x v="50"/>
    <n v="6734"/>
    <n v="3"/>
    <x v="5"/>
    <x v="0"/>
    <s v=" Sector 71 Gurgaon"/>
    <n v="0"/>
    <n v="0"/>
    <n v="3"/>
    <n v="3"/>
    <n v="3"/>
    <x v="1"/>
    <n v="14"/>
    <n v="0"/>
    <n v="0"/>
    <n v="0"/>
    <n v="0"/>
    <n v="1485.001485001485"/>
    <m/>
    <n v="1485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500148500148E-2"/>
    <n v="10000000"/>
    <n v="6.7339999999999997E-2"/>
    <x v="1"/>
    <s v="Todo bien"/>
    <x v="0"/>
    <x v="2"/>
    <n v="646.86701945351729"/>
    <x v="1"/>
    <x v="2"/>
    <s v="Pequeña"/>
    <x v="1"/>
    <n v="1485.001485001485"/>
  </r>
  <r>
    <s v="Park Royal Apartment"/>
    <x v="20"/>
    <n v="9024"/>
    <n v="3"/>
    <x v="1"/>
    <x v="1"/>
    <s v=" Sector 56 Gurgaon"/>
    <n v="0"/>
    <n v="0"/>
    <n v="4"/>
    <n v="7"/>
    <n v="3"/>
    <x v="1"/>
    <n v="7"/>
    <n v="1"/>
    <n v="0"/>
    <n v="0"/>
    <n v="0"/>
    <n v="2987.2495446265934"/>
    <m/>
    <m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500886524822601E-2"/>
    <n v="18500000"/>
    <n v="9.0240000000000001E-2"/>
    <x v="3"/>
    <s v="Todo bien"/>
    <x v="1"/>
    <x v="1"/>
    <n v="893.01913138851546"/>
    <x v="1"/>
    <x v="3"/>
    <s v="Pequeña"/>
    <x v="0"/>
    <n v="2050.0886524822695"/>
  </r>
  <r>
    <s v="Vatika Boulevard Residences and Heights"/>
    <x v="113"/>
    <n v="8000"/>
    <n v="3"/>
    <x v="0"/>
    <x v="0"/>
    <s v=" Sector 83 Gurgaon"/>
    <n v="0"/>
    <n v="0"/>
    <n v="3"/>
    <n v="2"/>
    <n v="2"/>
    <x v="1"/>
    <n v="4"/>
    <n v="0"/>
    <n v="0"/>
    <n v="0"/>
    <n v="0"/>
    <n v="1802.0917135961386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1"/>
    <x v="1"/>
    <x v="1"/>
    <x v="1"/>
    <x v="0"/>
    <x v="1"/>
    <x v="0"/>
    <x v="0"/>
    <n v="0"/>
    <n v="0"/>
    <n v="0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7749999999999998E-2"/>
    <n v="14200000"/>
    <n v="0.08"/>
    <x v="2"/>
    <s v="Todo bien"/>
    <x v="1"/>
    <x v="5"/>
    <n v="773.19044534750003"/>
    <x v="1"/>
    <x v="2"/>
    <s v="Pequeña"/>
    <x v="0"/>
    <n v="1775"/>
  </r>
  <r>
    <s v="Signature Global the Millennia"/>
    <x v="52"/>
    <n v="9166"/>
    <n v="2"/>
    <x v="1"/>
    <x v="2"/>
    <s v=" Sector 37D Gurgaon"/>
    <n v="0"/>
    <n v="0"/>
    <n v="2"/>
    <n v="3"/>
    <n v="3"/>
    <x v="0"/>
    <n v="15"/>
    <n v="0"/>
    <n v="0"/>
    <n v="0"/>
    <n v="0"/>
    <n v="1350.2285002077274"/>
    <n v="610"/>
    <n v="850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x v="1"/>
    <s v="Todo bien"/>
    <x v="0"/>
    <x v="4"/>
    <n v="261.37915993344933"/>
    <x v="0"/>
    <x v="2"/>
    <s v="Pequeña"/>
    <x v="0"/>
    <n v="600.04363953742086"/>
  </r>
  <r>
    <s v="MM Heights"/>
    <x v="114"/>
    <n v="15980"/>
    <n v="2"/>
    <x v="1"/>
    <x v="3"/>
    <s v=" Sector 65 Gurgaon"/>
    <n v="0"/>
    <n v="0"/>
    <n v="2"/>
    <n v="8"/>
    <n v="3"/>
    <x v="0"/>
    <n v="34"/>
    <n v="0"/>
    <n v="1"/>
    <n v="0"/>
    <n v="0"/>
    <n v="100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130162703E-2"/>
    <n v="22900000"/>
    <n v="0.1598"/>
    <x v="3"/>
    <s v="Todo bien"/>
    <x v="0"/>
    <x v="2"/>
    <n v="624.23315053879685"/>
    <x v="1"/>
    <x v="3"/>
    <s v="Pequeña"/>
    <x v="0"/>
    <n v="1433.0413016270338"/>
  </r>
  <r>
    <s v="Shapoorji Pallonji Joyville Gurugram"/>
    <x v="115"/>
    <n v="10601"/>
    <n v="2"/>
    <x v="1"/>
    <x v="2"/>
    <s v=" Sector 102 Gurgaon"/>
    <n v="0"/>
    <n v="0"/>
    <n v="2"/>
    <n v="12"/>
    <n v="2"/>
    <x v="0"/>
    <n v="14"/>
    <n v="0"/>
    <n v="0"/>
    <n v="0"/>
    <n v="0"/>
    <n v="2492.039318842586"/>
    <m/>
    <n v="9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1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9.1500801811149005E-3"/>
    <n v="9700000"/>
    <n v="0.10600999999999999"/>
    <x v="1"/>
    <s v="Todo bien"/>
    <x v="0"/>
    <x v="1"/>
    <n v="398.57772226487685"/>
    <x v="0"/>
    <x v="2"/>
    <s v="Pequeña"/>
    <x v="0"/>
    <n v="915.00801811149893"/>
  </r>
  <r>
    <s v="Tulip Monsella"/>
    <x v="116"/>
    <n v="28000"/>
    <n v="3"/>
    <x v="1"/>
    <x v="3"/>
    <s v=" Sector 53 Gurgaon"/>
    <n v="0"/>
    <n v="0"/>
    <n v="4"/>
    <n v="8"/>
    <n v="3"/>
    <x v="1"/>
    <n v="42"/>
    <n v="1"/>
    <n v="0"/>
    <n v="0"/>
    <n v="0"/>
    <n v="2946.4285714285711"/>
    <m/>
    <n v="2940"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0"/>
    <n v="0"/>
    <n v="0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1"/>
    <n v="2.94642857142857E-2"/>
    <n v="82500000"/>
    <n v="0.28000000000000003"/>
    <x v="6"/>
    <s v="Todo bien"/>
    <x v="2"/>
    <x v="0"/>
    <n v="1283.4650249732138"/>
    <x v="1"/>
    <x v="3"/>
    <s v="Pequeña"/>
    <x v="2"/>
    <n v="2946.4285714285711"/>
  </r>
  <r>
    <s v="Shyamkunj ashok vihar pahse "/>
    <x v="45"/>
    <n v="4444"/>
    <n v="2"/>
    <x v="4"/>
    <x v="0"/>
    <s v=" Ashok Vihar Phase 2"/>
    <n v="0"/>
    <n v="0"/>
    <n v="2"/>
    <n v="1"/>
    <n v="1"/>
    <x v="0"/>
    <n v="4"/>
    <n v="0"/>
    <n v="0"/>
    <n v="0"/>
    <n v="0"/>
    <n v="2383.1046100747799"/>
    <m/>
    <m/>
    <n v="0"/>
    <n v="0"/>
    <n v="0"/>
    <n v="0"/>
    <n v="0"/>
    <n v="0"/>
    <n v="0"/>
    <n v="0"/>
    <n v="0"/>
    <n v="1"/>
    <n v="1"/>
    <n v="0"/>
    <n v="0"/>
    <n v="0"/>
    <n v="0"/>
    <n v="0"/>
    <n v="0"/>
    <n v="13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506750675067001E-3"/>
    <n v="3000000"/>
    <n v="4.444E-2"/>
    <x v="0"/>
    <s v="Todo bien"/>
    <x v="0"/>
    <x v="0"/>
    <n v="294.05957531502935"/>
    <x v="0"/>
    <x v="2"/>
    <s v="Pequeña"/>
    <x v="0"/>
    <n v="675.06750675067508"/>
  </r>
  <r>
    <s v="Godrej Nature Plus"/>
    <x v="71"/>
    <n v="14335"/>
    <n v="2"/>
    <x v="4"/>
    <x v="3"/>
    <s v=" Sector-33 Sohna"/>
    <n v="0"/>
    <n v="0"/>
    <n v="2"/>
    <n v="1"/>
    <n v="3"/>
    <x v="0"/>
    <n v="22"/>
    <n v="0"/>
    <n v="0"/>
    <n v="0"/>
    <n v="0"/>
    <n v="2010.2140606324024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895012207E-2"/>
    <n v="16500000"/>
    <n v="0.14335000000000001"/>
    <x v="3"/>
    <s v="Todo bien"/>
    <x v="0"/>
    <x v="1"/>
    <n v="501.38849946633735"/>
    <x v="1"/>
    <x v="2"/>
    <s v="Pequeña"/>
    <x v="0"/>
    <n v="1151.0289501220789"/>
  </r>
  <r>
    <s v="MM Heights"/>
    <x v="37"/>
    <n v="15793"/>
    <n v="2"/>
    <x v="1"/>
    <x v="3"/>
    <s v=" Sector 65 Gurgaon"/>
    <n v="0"/>
    <n v="0"/>
    <n v="2"/>
    <n v="26"/>
    <n v="2"/>
    <x v="0"/>
    <n v="34"/>
    <n v="0"/>
    <n v="0"/>
    <n v="0"/>
    <n v="0"/>
    <n v="1260.0519217374788"/>
    <m/>
    <n v="12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519217374701E-2"/>
    <n v="19900000"/>
    <n v="0.15792999999999999"/>
    <x v="3"/>
    <s v="Todo bien"/>
    <x v="0"/>
    <x v="2"/>
    <n v="548.87893325586913"/>
    <x v="1"/>
    <x v="2"/>
    <s v="Pequeña"/>
    <x v="1"/>
    <n v="1260.0519217374788"/>
  </r>
  <r>
    <s v="MM The Marina"/>
    <x v="50"/>
    <n v="12500"/>
    <n v="2"/>
    <x v="1"/>
    <x v="0"/>
    <s v=" Sector 68 Gurgaon"/>
    <n v="0"/>
    <n v="0"/>
    <n v="2"/>
    <n v="21"/>
    <n v="3"/>
    <x v="0"/>
    <n v="29"/>
    <n v="0"/>
    <n v="0"/>
    <n v="0"/>
    <n v="0"/>
    <n v="1320.1320132013202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10000000"/>
    <n v="0.125"/>
    <x v="1"/>
    <s v="Todo bien"/>
    <x v="0"/>
    <x v="2"/>
    <n v="348.48020072000003"/>
    <x v="0"/>
    <x v="2"/>
    <s v="Pequeña"/>
    <x v="0"/>
    <n v="800"/>
  </r>
  <r>
    <s v="Emaar Digihomes"/>
    <x v="117"/>
    <n v="26562"/>
    <n v="3"/>
    <x v="1"/>
    <x v="3"/>
    <s v=" Sector 62 Gurgaon"/>
    <n v="0"/>
    <n v="0"/>
    <n v="3"/>
    <n v="8"/>
    <n v="3"/>
    <x v="1"/>
    <n v="32"/>
    <n v="0"/>
    <n v="1"/>
    <n v="0"/>
    <n v="0"/>
    <n v="4337.0921465269903"/>
    <m/>
    <m/>
    <n v="0"/>
    <n v="0"/>
    <n v="0"/>
    <n v="0"/>
    <n v="0"/>
    <n v="0"/>
    <n v="0"/>
    <n v="0"/>
    <n v="1"/>
    <n v="0"/>
    <n v="0"/>
    <n v="0"/>
    <n v="0"/>
    <n v="0"/>
    <n v="0"/>
    <n v="1"/>
    <n v="1"/>
    <n v="9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6000301182139898E-2"/>
    <n v="42500000"/>
    <n v="0.26562000000000002"/>
    <x v="4"/>
    <s v="Todo bien"/>
    <x v="1"/>
    <x v="2"/>
    <n v="696.97352094157065"/>
    <x v="1"/>
    <x v="3"/>
    <s v="Pequeña"/>
    <x v="0"/>
    <n v="1600.0301182139897"/>
  </r>
  <r>
    <s v="Umang Monsoon Breeze"/>
    <x v="43"/>
    <n v="5000"/>
    <n v="4"/>
    <x v="4"/>
    <x v="0"/>
    <s v=" Sector 78 Gurgaon"/>
    <n v="0"/>
    <n v="0"/>
    <n v="4"/>
    <n v="2"/>
    <n v="3"/>
    <x v="2"/>
    <n v="14"/>
    <n v="1"/>
    <n v="0"/>
    <n v="1"/>
    <n v="0"/>
    <n v="2358.1634068525454"/>
    <n v="2300"/>
    <n v="2350"/>
    <n v="0"/>
    <n v="0"/>
    <n v="0"/>
    <n v="1"/>
    <n v="0"/>
    <n v="0"/>
    <n v="1"/>
    <n v="0"/>
    <n v="1"/>
    <n v="1"/>
    <n v="0"/>
    <n v="0"/>
    <n v="0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5000000000000001E-2"/>
    <n v="12500000"/>
    <n v="0.05"/>
    <x v="2"/>
    <s v="Todo bien"/>
    <x v="0"/>
    <x v="1"/>
    <n v="1089.0006272500002"/>
    <x v="1"/>
    <x v="2"/>
    <s v="Grande"/>
    <x v="2"/>
    <n v="2500"/>
  </r>
  <r>
    <s v="Mapsko Paradise"/>
    <x v="13"/>
    <n v="6300"/>
    <n v="3"/>
    <x v="1"/>
    <x v="5"/>
    <s v=" Sector 83 Gurgaon"/>
    <n v="0"/>
    <n v="0"/>
    <n v="3"/>
    <n v="1"/>
    <n v="3"/>
    <x v="1"/>
    <n v="12"/>
    <n v="0"/>
    <n v="0"/>
    <n v="0"/>
    <n v="0"/>
    <n v="2048.1310803891452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79365079365E-2"/>
    <n v="9500000"/>
    <n v="6.3E-2"/>
    <x v="1"/>
    <s v="Todo bien"/>
    <x v="0"/>
    <x v="2"/>
    <n v="656.85752119840924"/>
    <x v="1"/>
    <x v="2"/>
    <s v="Pequeña"/>
    <x v="0"/>
    <n v="1507.936507936508"/>
  </r>
  <r>
    <s v="Cancon Enclave"/>
    <x v="16"/>
    <n v="7777"/>
    <n v="3"/>
    <x v="1"/>
    <x v="2"/>
    <s v=" Sector 4 Gurgaon"/>
    <n v="0"/>
    <n v="0"/>
    <n v="2"/>
    <n v="2"/>
    <n v="2"/>
    <x v="1"/>
    <n v="4"/>
    <n v="0"/>
    <n v="0"/>
    <n v="0"/>
    <n v="0"/>
    <n v="2095.1081660495029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0500000"/>
    <n v="7.7770000000000006E-2"/>
    <x v="2"/>
    <s v="Todo bien"/>
    <x v="0"/>
    <x v="2"/>
    <n v="588.1191506300629"/>
    <x v="1"/>
    <x v="2"/>
    <s v="Pequeña"/>
    <x v="0"/>
    <n v="1350.1350135013499"/>
  </r>
  <r>
    <s v="Tata Primanti"/>
    <x v="118"/>
    <n v="14100"/>
    <n v="4"/>
    <x v="1"/>
    <x v="2"/>
    <s v=" Sector 72 Gurgaon"/>
    <n v="0"/>
    <n v="0"/>
    <n v="5"/>
    <n v="39"/>
    <n v="3"/>
    <x v="2"/>
    <n v="40"/>
    <n v="1"/>
    <n v="0"/>
    <n v="0"/>
    <n v="0"/>
    <n v="2907.8014184397166"/>
    <m/>
    <n v="29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78014184397101E-2"/>
    <n v="41000000"/>
    <n v="0.14099999999999999"/>
    <x v="4"/>
    <s v="Todo bien"/>
    <x v="0"/>
    <x v="5"/>
    <n v="1266.6390274397138"/>
    <x v="1"/>
    <x v="3"/>
    <s v="Pequeña"/>
    <x v="2"/>
    <n v="2907.8014184397166"/>
  </r>
  <r>
    <s v="MRG World Ultimus"/>
    <x v="1"/>
    <n v="6983"/>
    <n v="2"/>
    <x v="2"/>
    <x v="3"/>
    <s v=" Sector 90 Gurgaon"/>
    <n v="0"/>
    <n v="0"/>
    <n v="2"/>
    <n v="1"/>
    <n v="2"/>
    <x v="0"/>
    <n v="14"/>
    <n v="0"/>
    <n v="0"/>
    <n v="0"/>
    <n v="0"/>
    <n v="2950.2308876346842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x v="1"/>
    <s v="Todo bien"/>
    <x v="0"/>
    <x v="0"/>
    <n v="311.90050902190825"/>
    <x v="0"/>
    <x v="3"/>
    <s v="Pequeña"/>
    <x v="0"/>
    <n v="716.02463124731491"/>
  </r>
  <r>
    <s v="sonata group housing Gh "/>
    <x v="71"/>
    <n v="5892"/>
    <n v="4"/>
    <x v="1"/>
    <x v="2"/>
    <s v=" Sector 1 Imt Manesar"/>
    <n v="0"/>
    <n v="0"/>
    <n v="3"/>
    <n v="8"/>
    <n v="3"/>
    <x v="2"/>
    <n v="10"/>
    <n v="1"/>
    <n v="0"/>
    <n v="0"/>
    <n v="0"/>
    <n v="3350.2538071065987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4073319755601E-2"/>
    <n v="16500000"/>
    <n v="5.892E-2"/>
    <x v="3"/>
    <s v="Todo bien"/>
    <x v="0"/>
    <x v="0"/>
    <n v="1219.8581364307536"/>
    <x v="1"/>
    <x v="3"/>
    <s v="Pequeña"/>
    <x v="0"/>
    <n v="2800.4073319755603"/>
  </r>
  <r>
    <s v="BPTP Pedestal"/>
    <x v="26"/>
    <n v="10158"/>
    <n v="3"/>
    <x v="2"/>
    <x v="2"/>
    <s v=" Sector 70A Gurgaon"/>
    <n v="0"/>
    <n v="0"/>
    <n v="3"/>
    <n v="2"/>
    <n v="3"/>
    <x v="1"/>
    <n v="3"/>
    <n v="1"/>
    <n v="0"/>
    <n v="0"/>
    <n v="0"/>
    <n v="2290.2761418662476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51132112620501E-2"/>
    <n v="16000000"/>
    <n v="0.10158"/>
    <x v="3"/>
    <s v="Todo bien"/>
    <x v="0"/>
    <x v="1"/>
    <n v="686.11971002165376"/>
    <x v="1"/>
    <x v="2"/>
    <s v="Pequeña"/>
    <x v="0"/>
    <n v="1575.1132112620594"/>
  </r>
  <r>
    <s v="Smart World Orchard"/>
    <x v="69"/>
    <n v="13750"/>
    <n v="3"/>
    <x v="8"/>
    <x v="3"/>
    <s v=" Sector 61 Gurgaon"/>
    <n v="0"/>
    <n v="0"/>
    <n v="2"/>
    <n v="3"/>
    <n v="3"/>
    <x v="1"/>
    <n v="4"/>
    <n v="0"/>
    <n v="0"/>
    <n v="0"/>
    <n v="0"/>
    <n v="3150.1416430594904"/>
    <m/>
    <n v="1549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727272727272E-2"/>
    <n v="21000000"/>
    <n v="0.13750000000000001"/>
    <x v="3"/>
    <s v="Todo bien"/>
    <x v="0"/>
    <x v="5"/>
    <n v="665.28038319272412"/>
    <x v="1"/>
    <x v="3"/>
    <s v="Pequeña"/>
    <x v="1"/>
    <n v="1527.2727272727273"/>
  </r>
  <r>
    <s v="HSIIDC Sidco Aravali"/>
    <x v="15"/>
    <n v="3648"/>
    <n v="4"/>
    <x v="1"/>
    <x v="5"/>
    <s v=" Sector 1 Imt Manesar"/>
    <n v="0"/>
    <n v="0"/>
    <n v="4"/>
    <n v="7"/>
    <n v="3"/>
    <x v="2"/>
    <n v="9"/>
    <n v="0"/>
    <n v="0"/>
    <n v="0"/>
    <n v="0"/>
    <n v="2467.105263157895"/>
    <m/>
    <n v="24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671052631578899E-2"/>
    <n v="9000000"/>
    <n v="3.6479999999999999E-2"/>
    <x v="1"/>
    <s v="Todo bien"/>
    <x v="0"/>
    <x v="2"/>
    <n v="1074.6716716282874"/>
    <x v="1"/>
    <x v="2"/>
    <s v="Pequeña"/>
    <x v="2"/>
    <n v="2467.105263157895"/>
  </r>
  <r>
    <s v="Godrej Aria"/>
    <x v="8"/>
    <n v="7772"/>
    <n v="2"/>
    <x v="2"/>
    <x v="2"/>
    <s v=" Sector 79 Gurgaon"/>
    <n v="0"/>
    <n v="0"/>
    <n v="2"/>
    <n v="4"/>
    <n v="3"/>
    <x v="0"/>
    <n v="15"/>
    <n v="0"/>
    <n v="0"/>
    <n v="0"/>
    <n v="0"/>
    <n v="1415.3371075656203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1533710756562E-2"/>
    <n v="11000000"/>
    <n v="7.7719999999999997E-2"/>
    <x v="2"/>
    <s v="Todo bien"/>
    <x v="0"/>
    <x v="1"/>
    <n v="616.52119916366439"/>
    <x v="1"/>
    <x v="2"/>
    <s v="Pequeña"/>
    <x v="1"/>
    <n v="1415.3371075656203"/>
  </r>
  <r>
    <s v="ASS The Leafotech Blith"/>
    <x v="119"/>
    <n v="6739"/>
    <n v="2"/>
    <x v="1"/>
    <x v="3"/>
    <s v=" Sector 99 Gurgaon"/>
    <n v="0"/>
    <n v="0"/>
    <n v="2"/>
    <n v="22"/>
    <n v="3"/>
    <x v="0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x v="1"/>
    <s v="Todo bien"/>
    <x v="0"/>
    <x v="1"/>
    <n v="594.67611044368596"/>
    <x v="1"/>
    <x v="2"/>
    <s v="Pequeña"/>
    <x v="1"/>
    <n v="1365.1877133105802"/>
  </r>
  <r>
    <s v="Sare Crescent Parc"/>
    <x v="4"/>
    <n v="5556"/>
    <n v="3"/>
    <x v="1"/>
    <x v="3"/>
    <s v=" Sector 92 Gurgaon"/>
    <n v="0"/>
    <n v="0"/>
    <n v="3"/>
    <n v="14"/>
    <n v="2"/>
    <x v="1"/>
    <n v="20"/>
    <n v="0"/>
    <n v="0"/>
    <n v="0"/>
    <n v="0"/>
    <n v="1259.899208063355"/>
    <n v="140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989920806335E-2"/>
    <n v="7000000"/>
    <n v="5.5559999999999998E-2"/>
    <x v="1"/>
    <s v="Todo bien"/>
    <x v="0"/>
    <x v="0"/>
    <n v="548.81241114110662"/>
    <x v="1"/>
    <x v="2"/>
    <s v="Pequeña"/>
    <x v="0"/>
    <n v="1259.899208063355"/>
  </r>
  <r>
    <s v="Unitech Vistas"/>
    <x v="48"/>
    <n v="6325"/>
    <n v="3"/>
    <x v="1"/>
    <x v="3"/>
    <s v=" Sector 70 Gurgaon"/>
    <n v="0"/>
    <n v="0"/>
    <n v="4"/>
    <n v="11"/>
    <n v="2"/>
    <x v="1"/>
    <n v="15"/>
    <n v="0"/>
    <n v="0"/>
    <n v="0"/>
    <n v="0"/>
    <n v="1565.2173913043478"/>
    <m/>
    <n v="156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1739130434E-2"/>
    <n v="9900000"/>
    <n v="6.3250000000000001E-2"/>
    <x v="1"/>
    <s v="Todo bien"/>
    <x v="0"/>
    <x v="2"/>
    <n v="681.80908836521405"/>
    <x v="1"/>
    <x v="2"/>
    <s v="Pequeña"/>
    <x v="1"/>
    <n v="1565.2173913043478"/>
  </r>
  <r>
    <s v="Supertech Araville"/>
    <x v="120"/>
    <n v="6061"/>
    <n v="2"/>
    <x v="5"/>
    <x v="2"/>
    <s v=" Sector 79 Gurgaon"/>
    <n v="0"/>
    <n v="0"/>
    <n v="2"/>
    <n v="17"/>
    <n v="3"/>
    <x v="0"/>
    <n v="17"/>
    <n v="0"/>
    <n v="0"/>
    <n v="0"/>
    <n v="0"/>
    <n v="2545.3388482341711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x v="1"/>
    <s v="Todo bien"/>
    <x v="1"/>
    <x v="3"/>
    <n v="513.8659947096146"/>
    <x v="1"/>
    <x v="3"/>
    <s v="Pequeña"/>
    <x v="1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x v="0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x v="1"/>
    <s v="Todo bien"/>
    <x v="0"/>
    <x v="3"/>
    <n v="592.86081744827698"/>
    <x v="1"/>
    <x v="2"/>
    <s v="Pequeña"/>
    <x v="1"/>
    <n v="1361.0203764193498"/>
  </r>
  <r>
    <s v="Tulip White"/>
    <x v="122"/>
    <n v="6862"/>
    <n v="3"/>
    <x v="1"/>
    <x v="5"/>
    <s v=" Sector 69 Gurgaon"/>
    <n v="0"/>
    <n v="0"/>
    <n v="2"/>
    <n v="12"/>
    <n v="2"/>
    <x v="1"/>
    <n v="13"/>
    <n v="0"/>
    <n v="0"/>
    <n v="0"/>
    <n v="0"/>
    <n v="1366.1202185792349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3261439813465401E-2"/>
    <n v="9100000"/>
    <n v="6.862E-2"/>
    <x v="1"/>
    <s v="Todo bien"/>
    <x v="0"/>
    <x v="1"/>
    <n v="577.66865100407779"/>
    <x v="1"/>
    <x v="2"/>
    <s v="Pequeña"/>
    <x v="0"/>
    <n v="1326.1439813465463"/>
  </r>
  <r>
    <s v="Mapsko Casa Bella"/>
    <x v="43"/>
    <n v="6377"/>
    <n v="3"/>
    <x v="1"/>
    <x v="3"/>
    <s v=" Sector 82 Gurgaon"/>
    <n v="0"/>
    <n v="0"/>
    <n v="4"/>
    <n v="8"/>
    <n v="3"/>
    <x v="1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x v="2"/>
    <s v="Todo bien"/>
    <x v="0"/>
    <x v="2"/>
    <n v="853.85026442684398"/>
    <x v="1"/>
    <x v="2"/>
    <s v="Pequeña"/>
    <x v="1"/>
    <n v="1960.169358632586"/>
  </r>
  <r>
    <s v="Unitech Uniworld Gardens "/>
    <x v="16"/>
    <n v="10531"/>
    <n v="2"/>
    <x v="2"/>
    <x v="0"/>
    <s v=" Sector 47 Gurgaon"/>
    <n v="0"/>
    <n v="0"/>
    <n v="2"/>
    <n v="3"/>
    <n v="2"/>
    <x v="0"/>
    <n v="14"/>
    <n v="0"/>
    <n v="0"/>
    <n v="0"/>
    <n v="0"/>
    <n v="2441.0853440991459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x v="2"/>
    <s v="Todo bien"/>
    <x v="1"/>
    <x v="0"/>
    <n v="434.3179787721939"/>
    <x v="0"/>
    <x v="2"/>
    <s v="Pequeña"/>
    <x v="0"/>
    <n v="997.05630994207581"/>
  </r>
  <r>
    <s v="ILD Grand"/>
    <x v="123"/>
    <n v="5038"/>
    <n v="2"/>
    <x v="1"/>
    <x v="4"/>
    <s v=" Sector 37C Gurgaon"/>
    <n v="0"/>
    <n v="0"/>
    <n v="2"/>
    <n v="14"/>
    <n v="3"/>
    <x v="0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x v="1"/>
    <s v="Todo bien"/>
    <x v="0"/>
    <x v="2"/>
    <n v="570.65535052401719"/>
    <x v="1"/>
    <x v="2"/>
    <s v="Mediana"/>
    <x v="0"/>
    <n v="1310.0436681222707"/>
  </r>
  <r>
    <s v="MM Capital"/>
    <x v="38"/>
    <n v="13969"/>
    <n v="2"/>
    <x v="1"/>
    <x v="4"/>
    <s v=" Sector 113 Gurgaon"/>
    <n v="0"/>
    <n v="0"/>
    <n v="2"/>
    <n v="7"/>
    <n v="0"/>
    <x v="0"/>
    <n v="7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18300000"/>
    <n v="0.13969000000000001"/>
    <x v="3"/>
    <s v="Todo bien"/>
    <x v="0"/>
    <x v="2"/>
    <n v="570.65535052401719"/>
    <x v="1"/>
    <x v="2"/>
    <s v="Mediana"/>
    <x v="0"/>
    <n v="1310.0436681222707"/>
  </r>
  <r>
    <s v="Unitech Vistas"/>
    <x v="124"/>
    <n v="4800"/>
    <n v="2"/>
    <x v="1"/>
    <x v="3"/>
    <s v=" Sector 70 Gurgaon"/>
    <n v="0"/>
    <n v="0"/>
    <n v="2"/>
    <n v="9"/>
    <n v="2"/>
    <x v="0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x v="1"/>
    <s v="Todo bien"/>
    <x v="0"/>
    <x v="2"/>
    <n v="476.98227473550003"/>
    <x v="0"/>
    <x v="0"/>
    <s v="Pequeña"/>
    <x v="1"/>
    <n v="1095"/>
  </r>
  <r>
    <s v="Ramprastha The Edge Towers"/>
    <x v="42"/>
    <n v="5797"/>
    <n v="2"/>
    <x v="2"/>
    <x v="0"/>
    <s v=" Sector 37D Gurgaon"/>
    <n v="0"/>
    <n v="0"/>
    <n v="2"/>
    <n v="2"/>
    <n v="3"/>
    <x v="0"/>
    <n v="17"/>
    <n v="0"/>
    <n v="0"/>
    <n v="0"/>
    <n v="0"/>
    <n v="2150.2656210473056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x v="1"/>
    <s v="Todo bien"/>
    <x v="0"/>
    <x v="1"/>
    <n v="601.13886617215701"/>
    <x v="1"/>
    <x v="2"/>
    <s v="Mediana"/>
    <x v="1"/>
    <n v="1380.0241504226324"/>
  </r>
  <r>
    <s v="Smart World Gems"/>
    <x v="125"/>
    <n v="12000"/>
    <n v="3"/>
    <x v="1"/>
    <x v="4"/>
    <s v=" Sector 89 Gurgaon"/>
    <n v="0"/>
    <n v="0"/>
    <n v="2"/>
    <n v="3"/>
    <n v="0"/>
    <x v="1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x v="3"/>
    <s v="Todo bien"/>
    <x v="0"/>
    <x v="2"/>
    <n v="620.73035753250008"/>
    <x v="1"/>
    <x v="2"/>
    <s v="Mediana"/>
    <x v="0"/>
    <n v="1425"/>
  </r>
  <r>
    <s v="Sapphire Eighty Three"/>
    <x v="53"/>
    <n v="9286"/>
    <n v="1"/>
    <x v="1"/>
    <x v="4"/>
    <s v=" Sector 83 Gurgaon"/>
    <n v="0"/>
    <n v="0"/>
    <n v="1"/>
    <n v="6"/>
    <n v="0"/>
    <x v="3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x v="1"/>
    <s v="Todo bien"/>
    <x v="0"/>
    <x v="2"/>
    <n v="304.91079375942149"/>
    <x v="0"/>
    <x v="0"/>
    <s v="Pequeña"/>
    <x v="0"/>
    <n v="699.9784622011631"/>
  </r>
  <r>
    <s v="Pareena Coban Residences"/>
    <x v="35"/>
    <n v="6510"/>
    <n v="3"/>
    <x v="1"/>
    <x v="4"/>
    <s v=" Sector 99A Gurgaon"/>
    <n v="0"/>
    <n v="0"/>
    <n v="3"/>
    <n v="16"/>
    <n v="0"/>
    <x v="1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x v="2"/>
    <s v="Todo bien"/>
    <x v="0"/>
    <x v="2"/>
    <n v="869.86225218125685"/>
    <x v="1"/>
    <x v="2"/>
    <s v="Grande"/>
    <x v="0"/>
    <n v="1996.9278033794162"/>
  </r>
  <r>
    <s v="Sare Crescent Parc"/>
    <x v="30"/>
    <n v="5384"/>
    <n v="3"/>
    <x v="0"/>
    <x v="4"/>
    <s v=" Sector 92 Gurgaon"/>
    <n v="0"/>
    <n v="0"/>
    <n v="3"/>
    <n v="12"/>
    <n v="3"/>
    <x v="1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2"/>
    <n v="663.43277440193094"/>
    <x v="1"/>
    <x v="2"/>
    <s v="Mediana"/>
    <x v="0"/>
    <n v="1523.0312035661218"/>
  </r>
  <r>
    <s v="DLF The Grove"/>
    <x v="126"/>
    <n v="41245"/>
    <n v="3"/>
    <x v="4"/>
    <x v="4"/>
    <s v=" Sector 54 Gurgaon"/>
    <n v="0"/>
    <n v="0"/>
    <n v="3"/>
    <n v="1"/>
    <n v="3"/>
    <x v="1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x v="4"/>
    <s v="Todo bien"/>
    <x v="0"/>
    <x v="2"/>
    <n v="601.99331558491679"/>
    <x v="1"/>
    <x v="2"/>
    <s v="Mediana"/>
    <x v="0"/>
    <n v="1381.9856952357861"/>
  </r>
  <r>
    <s v="Baani City Center"/>
    <x v="83"/>
    <n v="10945"/>
    <n v="1"/>
    <x v="1"/>
    <x v="4"/>
    <s v=" Sector 63 Gurgaon"/>
    <n v="0"/>
    <n v="0"/>
    <n v="1"/>
    <n v="4"/>
    <n v="2"/>
    <x v="3"/>
    <n v="4"/>
    <n v="0"/>
    <n v="0"/>
    <n v="0"/>
    <n v="0"/>
    <n v="2000"/>
    <n v="804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402010050251004E-3"/>
    <n v="8800000"/>
    <n v="0.10945000000000001"/>
    <x v="1"/>
    <s v="Todo bien"/>
    <x v="0"/>
    <x v="2"/>
    <n v="350.23135750753659"/>
    <x v="0"/>
    <x v="2"/>
    <s v="Mediana"/>
    <x v="0"/>
    <n v="804.02010050251249"/>
  </r>
  <r>
    <s v="Indiabulls Enigma"/>
    <x v="127"/>
    <n v="9851"/>
    <n v="4"/>
    <x v="1"/>
    <x v="2"/>
    <s v=" Sector 110 Gurgaon"/>
    <n v="0"/>
    <n v="0"/>
    <n v="4"/>
    <n v="17"/>
    <n v="3"/>
    <x v="2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x v="5"/>
    <s v="Todo bien"/>
    <x v="0"/>
    <x v="2"/>
    <n v="1768.7554599533028"/>
    <x v="3"/>
    <x v="3"/>
    <s v="Muy grande"/>
    <x v="0"/>
    <n v="4060.5014719317837"/>
  </r>
  <r>
    <s v="SS The Leaf"/>
    <x v="128"/>
    <n v="8075"/>
    <n v="3"/>
    <x v="2"/>
    <x v="0"/>
    <s v=" Sector 85 Gurgaon"/>
    <n v="0"/>
    <n v="0"/>
    <n v="4"/>
    <n v="7"/>
    <n v="3"/>
    <x v="1"/>
    <n v="26"/>
    <n v="1"/>
    <n v="0"/>
    <n v="0"/>
    <n v="0"/>
    <n v="1976.1811281245909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x v="3"/>
    <s v="Todo bien"/>
    <x v="0"/>
    <x v="5"/>
    <n v="1041.1250578786353"/>
    <x v="1"/>
    <x v="2"/>
    <s v="Grande"/>
    <x v="2"/>
    <n v="2390.0928792569657"/>
  </r>
  <r>
    <s v="Smart World One DXP"/>
    <x v="129"/>
    <n v="13269"/>
    <n v="4"/>
    <x v="3"/>
    <x v="3"/>
    <s v=" Sector 113 Gurgaon"/>
    <n v="0"/>
    <n v="0"/>
    <n v="4"/>
    <n v="11"/>
    <n v="3"/>
    <x v="2"/>
    <n v="30"/>
    <n v="1"/>
    <n v="1"/>
    <n v="0"/>
    <n v="0"/>
    <n v="2600.0452181777073"/>
    <m/>
    <n v="26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0"/>
    <x v="0"/>
    <x v="1"/>
    <x v="0"/>
    <x v="0"/>
    <n v="0"/>
    <n v="6"/>
    <n v="1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2"/>
    <n v="2.6000452181777E-2"/>
    <n v="34500000"/>
    <n v="0.13269"/>
    <x v="5"/>
    <s v="Todo bien"/>
    <x v="1"/>
    <x v="5"/>
    <n v="1132.5803493895514"/>
    <x v="1"/>
    <x v="3"/>
    <s v="Pequeña"/>
    <x v="2"/>
    <n v="2600.0452181777073"/>
  </r>
  <r>
    <s v="Sukhshanti Apartment"/>
    <x v="74"/>
    <n v="7727"/>
    <n v="3"/>
    <x v="8"/>
    <x v="5"/>
    <s v=" Sector 56 Gurgaon"/>
    <n v="0"/>
    <n v="0"/>
    <n v="3"/>
    <n v="4"/>
    <n v="3"/>
    <x v="1"/>
    <n v="8"/>
    <n v="0"/>
    <n v="1"/>
    <n v="0"/>
    <n v="0"/>
    <n v="2191.082802547770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x v="3"/>
    <s v="Todo bien"/>
    <x v="0"/>
    <x v="1"/>
    <n v="958.35437625210102"/>
    <x v="1"/>
    <x v="2"/>
    <s v="Grande"/>
    <x v="0"/>
    <n v="2200.0776497994048"/>
  </r>
  <r>
    <s v="MM Golfestate"/>
    <x v="24"/>
    <n v="15998"/>
    <n v="3"/>
    <x v="0"/>
    <x v="0"/>
    <s v=" Sector 65 Gurgaon"/>
    <n v="0"/>
    <n v="0"/>
    <n v="5"/>
    <n v="1"/>
    <n v="3"/>
    <x v="1"/>
    <n v="14"/>
    <n v="1"/>
    <n v="0"/>
    <n v="0"/>
    <n v="0"/>
    <n v="2356.109054190508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x v="6"/>
    <s v="Todo bien"/>
    <x v="2"/>
    <x v="1"/>
    <n v="1674.5477828697328"/>
    <x v="3"/>
    <x v="2"/>
    <s v="Pequeña"/>
    <x v="0"/>
    <n v="3844.2305288161019"/>
  </r>
  <r>
    <s v="Bestech Park View Residency"/>
    <x v="100"/>
    <n v="7865"/>
    <n v="3"/>
    <x v="5"/>
    <x v="1"/>
    <s v=" Palam Vihar"/>
    <n v="0"/>
    <n v="0"/>
    <n v="3"/>
    <n v="6"/>
    <n v="3"/>
    <x v="1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x v="2"/>
    <s v="Todo bien"/>
    <x v="2"/>
    <x v="4"/>
    <n v="775.38506199618246"/>
    <x v="1"/>
    <x v="2"/>
    <s v="Pequeña"/>
    <x v="1"/>
    <n v="1780.0381436745074"/>
  </r>
  <r>
    <s v="SS Almeria"/>
    <x v="130"/>
    <n v="7400"/>
    <n v="3"/>
    <x v="6"/>
    <x v="2"/>
    <s v=" Sector 84 Gurgaon"/>
    <n v="0"/>
    <n v="0"/>
    <n v="3"/>
    <n v="1"/>
    <n v="2"/>
    <x v="1"/>
    <n v="3"/>
    <n v="1"/>
    <n v="0"/>
    <n v="0"/>
    <n v="1"/>
    <n v="3400.0197102591897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x v="2"/>
    <s v="Todo bien"/>
    <x v="1"/>
    <x v="4"/>
    <n v="871.2005018000001"/>
    <x v="1"/>
    <x v="3"/>
    <s v="Pequeña"/>
    <x v="1"/>
    <n v="2000"/>
  </r>
  <r>
    <s v="JMD Gardens"/>
    <x v="27"/>
    <n v="7510"/>
    <n v="4"/>
    <x v="3"/>
    <x v="1"/>
    <s v=" Sector 33 Gurgaon"/>
    <n v="0"/>
    <n v="0"/>
    <n v="4"/>
    <n v="17"/>
    <n v="3"/>
    <x v="2"/>
    <n v="17"/>
    <n v="1"/>
    <n v="0"/>
    <n v="0"/>
    <n v="0"/>
    <n v="1852.027732928103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0"/>
    <n v="3"/>
    <n v="1"/>
    <n v="5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2"/>
    <n v="4.3275632490013302E-2"/>
    <n v="32500000"/>
    <n v="7.51E-2"/>
    <x v="5"/>
    <s v="Todo bien"/>
    <x v="1"/>
    <x v="5"/>
    <n v="1885.0876370505987"/>
    <x v="3"/>
    <x v="2"/>
    <s v="Pequeña"/>
    <x v="0"/>
    <n v="4327.5632490013313"/>
  </r>
  <r>
    <s v="CGHS Agrim Apartment"/>
    <x v="131"/>
    <n v="8514"/>
    <n v="3"/>
    <x v="3"/>
    <x v="1"/>
    <s v=" Kanahi"/>
    <n v="0"/>
    <n v="0"/>
    <n v="2"/>
    <n v="1"/>
    <n v="3"/>
    <x v="1"/>
    <n v="7"/>
    <n v="0"/>
    <n v="0"/>
    <n v="0"/>
    <n v="0"/>
    <n v="2950.2101519560297"/>
    <m/>
    <m/>
    <n v="0"/>
    <n v="1"/>
    <n v="0"/>
    <n v="1"/>
    <n v="0"/>
    <n v="0"/>
    <n v="1"/>
    <n v="1"/>
    <n v="0"/>
    <n v="1"/>
    <n v="1"/>
    <n v="1"/>
    <n v="1"/>
    <n v="0"/>
    <n v="1"/>
    <n v="0"/>
    <n v="0"/>
    <n v="34"/>
    <x v="0"/>
    <x v="0"/>
    <x v="1"/>
    <x v="0"/>
    <x v="0"/>
    <x v="1"/>
    <x v="1"/>
    <x v="0"/>
    <x v="0"/>
    <n v="0"/>
    <n v="1"/>
    <n v="1"/>
    <n v="3"/>
    <n v="1"/>
    <n v="0"/>
    <n v="0"/>
    <n v="1"/>
    <n v="1"/>
    <n v="1"/>
    <n v="1"/>
    <n v="0"/>
    <n v="0"/>
    <n v="0"/>
    <n v="1"/>
    <n v="2"/>
    <n v="1"/>
    <n v="1"/>
    <n v="0"/>
    <n v="0"/>
    <n v="0"/>
    <n v="0"/>
    <n v="0"/>
    <n v="1"/>
    <n v="1.75005872680291E-2"/>
    <n v="14900000"/>
    <n v="8.5139999999999993E-2"/>
    <x v="2"/>
    <s v="Todo bien"/>
    <x v="2"/>
    <x v="3"/>
    <n v="762.32602048508227"/>
    <x v="1"/>
    <x v="3"/>
    <s v="Pequeña"/>
    <x v="0"/>
    <n v="1750.058726802913"/>
  </r>
  <r>
    <s v="Global Hill View"/>
    <x v="45"/>
    <n v="4599"/>
    <n v="2"/>
    <x v="3"/>
    <x v="0"/>
    <s v=" Sector-11 sohna"/>
    <n v="0"/>
    <n v="0"/>
    <n v="2"/>
    <n v="16"/>
    <n v="2"/>
    <x v="0"/>
    <n v="18"/>
    <n v="0"/>
    <n v="0"/>
    <n v="0"/>
    <n v="0"/>
    <n v="1946.348481001946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231572080886998E-3"/>
    <n v="3000000"/>
    <n v="4.5990000000000003E-2"/>
    <x v="0"/>
    <s v="Todo bien"/>
    <x v="0"/>
    <x v="2"/>
    <n v="284.14889165035811"/>
    <x v="0"/>
    <x v="2"/>
    <s v="Pequeña"/>
    <x v="0"/>
    <n v="652.31572080887145"/>
  </r>
  <r>
    <s v="Ireo Victory Valley"/>
    <x v="132"/>
    <n v="13000"/>
    <n v="3"/>
    <x v="3"/>
    <x v="0"/>
    <s v=" Sector 67 Gurgaon"/>
    <n v="0"/>
    <n v="0"/>
    <n v="3"/>
    <n v="19"/>
    <n v="3"/>
    <x v="1"/>
    <n v="40"/>
    <n v="1"/>
    <n v="0"/>
    <n v="0"/>
    <n v="0"/>
    <n v="2200.0776497994048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x v="5"/>
    <s v="Todo bien"/>
    <x v="0"/>
    <x v="3"/>
    <n v="1169.4191351084596"/>
    <x v="1"/>
    <x v="2"/>
    <s v="Pequeña"/>
    <x v="0"/>
    <n v="2684.6153846153843"/>
  </r>
  <r>
    <s v="Emaar Digihomes"/>
    <x v="86"/>
    <n v="14257"/>
    <n v="2"/>
    <x v="1"/>
    <x v="3"/>
    <s v=" Sector 62 Gurgaon"/>
    <n v="0"/>
    <n v="0"/>
    <n v="2"/>
    <n v="31"/>
    <n v="3"/>
    <x v="0"/>
    <n v="32"/>
    <n v="0"/>
    <n v="0"/>
    <n v="0"/>
    <n v="0"/>
    <n v="1675.7636694436464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x v="3"/>
    <s v="Todo bien"/>
    <x v="0"/>
    <x v="4"/>
    <n v="656.898744080097"/>
    <x v="1"/>
    <x v="2"/>
    <s v="Pequeña"/>
    <x v="0"/>
    <n v="1508.0311425966192"/>
  </r>
  <r>
    <s v="Godrej Nature Plus"/>
    <x v="100"/>
    <n v="9333"/>
    <n v="2"/>
    <x v="1"/>
    <x v="3"/>
    <s v=" Sector-33 Sohna"/>
    <n v="0"/>
    <n v="0"/>
    <n v="2"/>
    <n v="14"/>
    <n v="3"/>
    <x v="0"/>
    <n v="22"/>
    <n v="0"/>
    <n v="0"/>
    <n v="0"/>
    <n v="0"/>
    <n v="2271.4630076024478"/>
    <m/>
    <n v="150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35733419E-2"/>
    <n v="14000000"/>
    <n v="9.3329999999999996E-2"/>
    <x v="2"/>
    <s v="Todo bien"/>
    <x v="0"/>
    <x v="4"/>
    <n v="653.4237129111732"/>
    <x v="1"/>
    <x v="2"/>
    <s v="Pequeña"/>
    <x v="1"/>
    <n v="1500.0535733419051"/>
  </r>
  <r>
    <s v="DLF Carlton Estate"/>
    <x v="6"/>
    <n v="14214"/>
    <n v="3"/>
    <x v="6"/>
    <x v="5"/>
    <s v=" DLF Phase 5"/>
    <n v="0"/>
    <n v="0"/>
    <n v="3"/>
    <n v="5"/>
    <n v="2"/>
    <x v="1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x v="3"/>
    <s v="Todo bien"/>
    <x v="1"/>
    <x v="3"/>
    <n v="612.91719558182024"/>
    <x v="1"/>
    <x v="2"/>
    <s v="Pequeña"/>
    <x v="1"/>
    <n v="1407.0634585619812"/>
  </r>
  <r>
    <s v="Smart World Orchard"/>
    <x v="133"/>
    <n v="14110"/>
    <n v="3"/>
    <x v="1"/>
    <x v="3"/>
    <s v=" Sector 61 Gurgaon"/>
    <n v="0"/>
    <n v="0"/>
    <n v="3"/>
    <n v="2"/>
    <n v="2"/>
    <x v="1"/>
    <n v="4"/>
    <n v="0"/>
    <n v="1"/>
    <n v="0"/>
    <n v="0"/>
    <n v="1630.0496102055279"/>
    <m/>
    <n v="1630"/>
    <n v="0"/>
    <n v="1"/>
    <n v="1"/>
    <n v="1"/>
    <n v="0"/>
    <n v="0"/>
    <n v="0"/>
    <n v="1"/>
    <n v="1"/>
    <n v="0"/>
    <n v="0"/>
    <n v="1"/>
    <n v="1"/>
    <n v="0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0496102055199E-2"/>
    <n v="23000000"/>
    <n v="0.1411"/>
    <x v="3"/>
    <s v="Todo bien"/>
    <x v="0"/>
    <x v="3"/>
    <n v="710.05001918497169"/>
    <x v="1"/>
    <x v="2"/>
    <s v="Pequeña"/>
    <x v="1"/>
    <n v="1630.0496102055279"/>
  </r>
  <r>
    <s v="Signature Global Park"/>
    <x v="112"/>
    <n v="7248"/>
    <n v="2"/>
    <x v="1"/>
    <x v="2"/>
    <s v=" Sohna"/>
    <n v="0"/>
    <n v="0"/>
    <n v="1"/>
    <n v="1"/>
    <n v="3"/>
    <x v="0"/>
    <n v="4"/>
    <n v="0"/>
    <n v="0"/>
    <n v="0"/>
    <n v="0"/>
    <n v="2019.7536344467874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x v="1"/>
    <s v="Todo bien"/>
    <x v="0"/>
    <x v="3"/>
    <n v="324.53661076986691"/>
    <x v="0"/>
    <x v="2"/>
    <s v="Pequeña"/>
    <x v="0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x v="2"/>
    <n v="10"/>
    <n v="1"/>
    <n v="0"/>
    <n v="0"/>
    <n v="0"/>
    <n v="2200.0511639805577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2"/>
    <s v="Pequeña"/>
    <x v="0"/>
    <n v="1806.097384770987"/>
  </r>
  <r>
    <s v="Godrej Air"/>
    <x v="16"/>
    <n v="10603"/>
    <n v="2"/>
    <x v="4"/>
    <x v="3"/>
    <s v=" Sector 85 Gurgaon"/>
    <n v="0"/>
    <n v="0"/>
    <n v="2"/>
    <n v="15"/>
    <n v="1"/>
    <x v="0"/>
    <n v="32"/>
    <n v="0"/>
    <n v="0"/>
    <n v="0"/>
    <n v="0"/>
    <n v="1668.4145295071028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x v="2"/>
    <s v="Todo bien"/>
    <x v="0"/>
    <x v="1"/>
    <n v="431.36872908138889"/>
    <x v="0"/>
    <x v="2"/>
    <s v="Pequeña"/>
    <x v="0"/>
    <n v="990.28576817881731"/>
  </r>
  <r>
    <s v="Emaar MGF Palm Hills"/>
    <x v="43"/>
    <n v="8620"/>
    <n v="3"/>
    <x v="0"/>
    <x v="0"/>
    <s v=" Sector 77 Gurgaon"/>
    <n v="0"/>
    <n v="0"/>
    <n v="4"/>
    <n v="1"/>
    <n v="3"/>
    <x v="1"/>
    <n v="7"/>
    <n v="1"/>
    <n v="0"/>
    <n v="0"/>
    <n v="0"/>
    <n v="1711.089174070417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4"/>
    <n v="631.67089747679711"/>
    <x v="1"/>
    <x v="2"/>
    <s v="Pequeña"/>
    <x v="0"/>
    <n v="1450.1160092807424"/>
  </r>
  <r>
    <s v="Maruti Vihar"/>
    <x v="50"/>
    <n v="9090"/>
    <n v="1"/>
    <x v="5"/>
    <x v="1"/>
    <s v=" Sector 28 Gurgaon"/>
    <n v="0"/>
    <n v="0"/>
    <n v="1"/>
    <n v="1"/>
    <n v="1"/>
    <x v="3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x v="1"/>
    <s v="Todo bien"/>
    <x v="1"/>
    <x v="1"/>
    <n v="479.20819680968094"/>
    <x v="0"/>
    <x v="0"/>
    <s v="Pequeña"/>
    <x v="1"/>
    <n v="1100.1100110011002"/>
  </r>
  <r>
    <s v="Vasant Appartments"/>
    <x v="74"/>
    <n v="7391"/>
    <n v="5"/>
    <x v="7"/>
    <x v="1"/>
    <s v=" Sector 14 Gurgaon"/>
    <n v="0"/>
    <n v="0"/>
    <n v="5"/>
    <n v="2"/>
    <n v="2"/>
    <x v="4"/>
    <n v="3"/>
    <n v="0"/>
    <n v="1"/>
    <n v="1"/>
    <n v="1"/>
    <n v="2361.2750885478158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x v="3"/>
    <s v="Todo bien"/>
    <x v="1"/>
    <x v="1"/>
    <n v="1001.9218326748716"/>
    <x v="1"/>
    <x v="2"/>
    <s v="Pequeña"/>
    <x v="0"/>
    <n v="2300.0947097821672"/>
  </r>
  <r>
    <s v="Ansal Heights "/>
    <x v="35"/>
    <n v="4666"/>
    <n v="4"/>
    <x v="4"/>
    <x v="2"/>
    <s v=" Sector 86 Gurgaon"/>
    <n v="0"/>
    <n v="0"/>
    <n v="6"/>
    <n v="11"/>
    <n v="2"/>
    <x v="2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x v="2"/>
    <s v="Todo bien"/>
    <x v="0"/>
    <x v="3"/>
    <n v="1213.6312176810957"/>
    <x v="1"/>
    <x v="3"/>
    <s v="Pequeña"/>
    <x v="2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x v="1"/>
    <n v="26"/>
    <n v="0"/>
    <n v="0"/>
    <n v="0"/>
    <n v="0"/>
    <n v="2585.018382352941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x v="3"/>
    <s v="Todo bien"/>
    <x v="0"/>
    <x v="4"/>
    <n v="544.5003136250001"/>
    <x v="1"/>
    <x v="3"/>
    <s v="Grande"/>
    <x v="0"/>
    <n v="1250"/>
  </r>
  <r>
    <s v="Puri The Aravallis"/>
    <x v="135"/>
    <n v="33209"/>
    <n v="3"/>
    <x v="8"/>
    <x v="3"/>
    <s v=" Sector 61 Gurgaon"/>
    <n v="0"/>
    <n v="0"/>
    <n v="4"/>
    <n v="33"/>
    <n v="3"/>
    <x v="1"/>
    <n v="42"/>
    <n v="1"/>
    <n v="0"/>
    <n v="0"/>
    <n v="0"/>
    <n v="17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438043903761E-2"/>
    <n v="39000000"/>
    <n v="0.33209"/>
    <x v="5"/>
    <s v="Todo bien"/>
    <x v="0"/>
    <x v="5"/>
    <n v="511.56041389683509"/>
    <x v="1"/>
    <x v="2"/>
    <s v="Pequeña"/>
    <x v="0"/>
    <n v="1174.3804390376104"/>
  </r>
  <r>
    <s v="The Close North"/>
    <x v="101"/>
    <n v="11516"/>
    <n v="3"/>
    <x v="5"/>
    <x v="1"/>
    <s v=" Nirvana Country"/>
    <n v="0"/>
    <n v="0"/>
    <n v="3"/>
    <n v="14"/>
    <n v="3"/>
    <x v="1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x v="5"/>
    <s v="Todo bien"/>
    <x v="1"/>
    <x v="5"/>
    <n v="1134.7696706321635"/>
    <x v="1"/>
    <x v="3"/>
    <s v="Pequeña"/>
    <x v="2"/>
    <n v="2605.0712052796111"/>
  </r>
  <r>
    <s v="Smart World Orchard"/>
    <x v="18"/>
    <n v="14202"/>
    <n v="3"/>
    <x v="5"/>
    <x v="2"/>
    <s v=" Sector 61 Gurgaon"/>
    <n v="0"/>
    <n v="0"/>
    <n v="3"/>
    <n v="4"/>
    <n v="2"/>
    <x v="1"/>
    <n v="4"/>
    <n v="0"/>
    <n v="0"/>
    <n v="0"/>
    <n v="0"/>
    <n v="1971.471645598979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775947049701E-2"/>
    <n v="22000000.000000004"/>
    <n v="0.14202000000000001"/>
    <x v="3"/>
    <s v="Todo bien"/>
    <x v="0"/>
    <x v="5"/>
    <n v="674.77858891705353"/>
    <x v="1"/>
    <x v="2"/>
    <s v="Pequeña"/>
    <x v="0"/>
    <n v="1549.0775947049713"/>
  </r>
  <r>
    <s v="Emaar Gurgaon Greens"/>
    <x v="12"/>
    <n v="8181"/>
    <n v="3"/>
    <x v="7"/>
    <x v="0"/>
    <s v=" Sector 102 Gurgaon"/>
    <n v="0"/>
    <n v="0"/>
    <n v="3"/>
    <n v="5"/>
    <n v="3"/>
    <x v="1"/>
    <n v="14"/>
    <n v="1"/>
    <n v="0"/>
    <n v="0"/>
    <n v="0"/>
    <n v="1582.0334107755284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x v="2"/>
    <s v="Todo bien"/>
    <x v="0"/>
    <x v="5"/>
    <n v="718.81229521452144"/>
    <x v="1"/>
    <x v="2"/>
    <s v="Pequeña"/>
    <x v="1"/>
    <n v="1650.1650165016504"/>
  </r>
  <r>
    <s v="Godrej Nature Plus"/>
    <x v="136"/>
    <n v="10500"/>
    <n v="3"/>
    <x v="1"/>
    <x v="3"/>
    <s v=" Sector-33 Sohna"/>
    <n v="0"/>
    <n v="0"/>
    <n v="2"/>
    <n v="18"/>
    <n v="2"/>
    <x v="1"/>
    <n v="18"/>
    <n v="0"/>
    <n v="0"/>
    <n v="0"/>
    <n v="0"/>
    <n v="1569.4796571290594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4761904761901E-2"/>
    <n v="16700000"/>
    <n v="0.105"/>
    <x v="3"/>
    <s v="Todo bien"/>
    <x v="0"/>
    <x v="4"/>
    <n v="692.81182762190463"/>
    <x v="1"/>
    <x v="2"/>
    <s v="Pequeña"/>
    <x v="0"/>
    <n v="1590.4761904761906"/>
  </r>
  <r>
    <s v="Landmark The Residency"/>
    <x v="15"/>
    <n v="6666"/>
    <n v="2"/>
    <x v="6"/>
    <x v="0"/>
    <s v=" Sector 103 Gurgaon"/>
    <n v="0"/>
    <n v="0"/>
    <n v="2"/>
    <n v="1"/>
    <n v="2"/>
    <x v="0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x v="1"/>
    <s v="Todo bien"/>
    <x v="0"/>
    <x v="1"/>
    <n v="588.1191506300629"/>
    <x v="1"/>
    <x v="2"/>
    <s v="Pequeña"/>
    <x v="1"/>
    <n v="1350.1350135013502"/>
  </r>
  <r>
    <s v="MM Capital"/>
    <x v="137"/>
    <n v="11500"/>
    <n v="4"/>
    <x v="4"/>
    <x v="3"/>
    <s v=" Sector 113 Gurgaon"/>
    <n v="0"/>
    <n v="0"/>
    <n v="4"/>
    <n v="20"/>
    <n v="3"/>
    <x v="2"/>
    <n v="23"/>
    <n v="0"/>
    <n v="1"/>
    <n v="0"/>
    <n v="0"/>
    <n v="2010.0502512562814"/>
    <n v="206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8695652173901E-2"/>
    <n v="23700000"/>
    <n v="0.115"/>
    <x v="3"/>
    <s v="Todo bien"/>
    <x v="0"/>
    <x v="5"/>
    <n v="897.71529968086907"/>
    <x v="1"/>
    <x v="2"/>
    <s v="Grande"/>
    <x v="0"/>
    <n v="2060.869565217391"/>
  </r>
  <r>
    <s v="Emaar Imperial Gardens"/>
    <x v="138"/>
    <n v="9900"/>
    <n v="3"/>
    <x v="5"/>
    <x v="0"/>
    <s v=" Sector 102 Gurgaon"/>
    <n v="0"/>
    <n v="0"/>
    <n v="3"/>
    <n v="9"/>
    <n v="3"/>
    <x v="1"/>
    <n v="14"/>
    <n v="1"/>
    <n v="0"/>
    <n v="0"/>
    <n v="0"/>
    <n v="1609.273013729462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x v="3"/>
    <s v="Todo bien"/>
    <x v="1"/>
    <x v="3"/>
    <n v="871.2005018000001"/>
    <x v="1"/>
    <x v="2"/>
    <s v="Pequeña"/>
    <x v="0"/>
    <n v="2000"/>
  </r>
  <r>
    <s v="DLF Belvedere Towers"/>
    <x v="139"/>
    <n v="17619"/>
    <n v="4"/>
    <x v="7"/>
    <x v="1"/>
    <s v=" DLF Phase 2"/>
    <n v="0"/>
    <n v="0"/>
    <n v="4"/>
    <n v="18"/>
    <n v="3"/>
    <x v="2"/>
    <n v="19"/>
    <n v="1"/>
    <n v="0"/>
    <n v="0"/>
    <n v="0"/>
    <n v="2872.0843363492986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x v="5"/>
    <s v="Todo bien"/>
    <x v="1"/>
    <x v="0"/>
    <n v="914.76299922242811"/>
    <x v="1"/>
    <x v="3"/>
    <s v="Pequeña"/>
    <x v="0"/>
    <n v="2100.0056756910153"/>
  </r>
  <r>
    <s v="mm crown"/>
    <x v="140"/>
    <n v="17000"/>
    <n v="4"/>
    <x v="1"/>
    <x v="3"/>
    <s v=" Sector 111 Gurgaon"/>
    <n v="0"/>
    <n v="0"/>
    <n v="4"/>
    <n v="8"/>
    <n v="3"/>
    <x v="2"/>
    <n v="32"/>
    <n v="0"/>
    <n v="0"/>
    <n v="0"/>
    <n v="0"/>
    <n v="2132.0951388230833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470588235294101E-2"/>
    <n v="46700000"/>
    <n v="0.17"/>
    <x v="4"/>
    <s v="Todo bien"/>
    <x v="0"/>
    <x v="2"/>
    <n v="1196.6195127664698"/>
    <x v="1"/>
    <x v="2"/>
    <s v="Pequeña"/>
    <x v="0"/>
    <n v="2747.0588235294117"/>
  </r>
  <r>
    <s v="Godrej "/>
    <x v="70"/>
    <n v="8206"/>
    <n v="2"/>
    <x v="1"/>
    <x v="2"/>
    <s v=" Sector 79 Gurgaon"/>
    <n v="0"/>
    <n v="0"/>
    <n v="2"/>
    <n v="4"/>
    <n v="3"/>
    <x v="0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x v="2"/>
    <s v="Todo bien"/>
    <x v="0"/>
    <x v="2"/>
    <n v="684.77251238240206"/>
    <x v="1"/>
    <x v="2"/>
    <s v="Pequeña"/>
    <x v="1"/>
    <n v="1572.0204728247625"/>
  </r>
  <r>
    <s v="Central Park Resorts"/>
    <x v="141"/>
    <n v="15240"/>
    <n v="3"/>
    <x v="7"/>
    <x v="0"/>
    <s v=" Sector 48 Gurgaon"/>
    <n v="0"/>
    <n v="0"/>
    <n v="3"/>
    <n v="9"/>
    <n v="3"/>
    <x v="1"/>
    <n v="17"/>
    <n v="0"/>
    <n v="0"/>
    <n v="0"/>
    <n v="0"/>
    <n v="2395.0131233595798"/>
    <n v="1869"/>
    <n v="18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3950131233595798E-2"/>
    <n v="36500000"/>
    <n v="0.15240000000000001"/>
    <x v="5"/>
    <s v="Todo bien"/>
    <x v="1"/>
    <x v="5"/>
    <n v="1043.2683174442257"/>
    <x v="1"/>
    <x v="2"/>
    <s v="Grande"/>
    <x v="1"/>
    <n v="2395.0131233595798"/>
  </r>
  <r>
    <s v="Sukhshanti Apartment"/>
    <x v="74"/>
    <n v="7727"/>
    <n v="3"/>
    <x v="8"/>
    <x v="5"/>
    <s v=" Sector 56 Gurgaon"/>
    <n v="0"/>
    <n v="0"/>
    <n v="3"/>
    <n v="4"/>
    <n v="3"/>
    <x v="1"/>
    <n v="8"/>
    <n v="0"/>
    <n v="1"/>
    <n v="0"/>
    <n v="0"/>
    <n v="1341.97553405148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x v="3"/>
    <s v="Todo bien"/>
    <x v="0"/>
    <x v="1"/>
    <n v="958.35437625210102"/>
    <x v="1"/>
    <x v="2"/>
    <s v="Grande"/>
    <x v="0"/>
    <n v="2200.0776497994048"/>
  </r>
  <r>
    <s v="MM Golfestate"/>
    <x v="24"/>
    <n v="15998"/>
    <n v="3"/>
    <x v="0"/>
    <x v="0"/>
    <s v=" Sector 65 Gurgaon"/>
    <n v="0"/>
    <n v="0"/>
    <n v="5"/>
    <n v="1"/>
    <n v="3"/>
    <x v="1"/>
    <n v="14"/>
    <n v="1"/>
    <n v="0"/>
    <n v="0"/>
    <n v="0"/>
    <n v="1802.096985583224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x v="6"/>
    <s v="Todo bien"/>
    <x v="2"/>
    <x v="1"/>
    <n v="1674.5477828697328"/>
    <x v="3"/>
    <x v="2"/>
    <s v="Pequeña"/>
    <x v="0"/>
    <n v="3844.2305288161019"/>
  </r>
  <r>
    <s v="Bestech Park View Residency"/>
    <x v="100"/>
    <n v="7865"/>
    <n v="3"/>
    <x v="5"/>
    <x v="1"/>
    <s v=" Palam Vihar"/>
    <n v="0"/>
    <n v="0"/>
    <n v="3"/>
    <n v="6"/>
    <n v="3"/>
    <x v="1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x v="2"/>
    <s v="Todo bien"/>
    <x v="2"/>
    <x v="4"/>
    <n v="775.38506199618246"/>
    <x v="1"/>
    <x v="2"/>
    <s v="Pequeña"/>
    <x v="1"/>
    <n v="1780.0381436745074"/>
  </r>
  <r>
    <s v="SS Almeria"/>
    <x v="130"/>
    <n v="7400"/>
    <n v="3"/>
    <x v="6"/>
    <x v="2"/>
    <s v=" Sector 84 Gurgaon"/>
    <n v="0"/>
    <n v="0"/>
    <n v="3"/>
    <n v="1"/>
    <n v="2"/>
    <x v="1"/>
    <n v="3"/>
    <n v="1"/>
    <n v="0"/>
    <n v="0"/>
    <n v="1"/>
    <n v="2350.3887181341529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x v="2"/>
    <s v="Todo bien"/>
    <x v="1"/>
    <x v="4"/>
    <n v="871.2005018000001"/>
    <x v="1"/>
    <x v="2"/>
    <s v="Pequeña"/>
    <x v="1"/>
    <n v="2000"/>
  </r>
  <r>
    <s v="Ireo Victory Valley"/>
    <x v="132"/>
    <n v="13000"/>
    <n v="3"/>
    <x v="3"/>
    <x v="0"/>
    <s v=" Sector 67 Gurgaon"/>
    <n v="0"/>
    <n v="0"/>
    <n v="3"/>
    <n v="19"/>
    <n v="3"/>
    <x v="1"/>
    <n v="40"/>
    <n v="1"/>
    <n v="0"/>
    <n v="0"/>
    <n v="0"/>
    <n v="2350.2785515320334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x v="5"/>
    <s v="Todo bien"/>
    <x v="0"/>
    <x v="3"/>
    <n v="1169.4191351084596"/>
    <x v="1"/>
    <x v="2"/>
    <s v="Pequeña"/>
    <x v="0"/>
    <n v="2684.6153846153843"/>
  </r>
  <r>
    <s v="Emaar Digihomes"/>
    <x v="86"/>
    <n v="14257"/>
    <n v="2"/>
    <x v="1"/>
    <x v="3"/>
    <s v=" Sector 62 Gurgaon"/>
    <n v="0"/>
    <n v="0"/>
    <n v="2"/>
    <n v="31"/>
    <n v="3"/>
    <x v="0"/>
    <n v="32"/>
    <n v="0"/>
    <n v="0"/>
    <n v="0"/>
    <n v="0"/>
    <n v="2588.4383088869713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x v="3"/>
    <s v="Todo bien"/>
    <x v="0"/>
    <x v="4"/>
    <n v="656.898744080097"/>
    <x v="1"/>
    <x v="3"/>
    <s v="Pequeña"/>
    <x v="0"/>
    <n v="1508.0311425966192"/>
  </r>
  <r>
    <s v="DLF Carlton Estate"/>
    <x v="6"/>
    <n v="14214"/>
    <n v="3"/>
    <x v="6"/>
    <x v="5"/>
    <s v=" DLF Phase 5"/>
    <n v="0"/>
    <n v="0"/>
    <n v="3"/>
    <n v="5"/>
    <n v="2"/>
    <x v="1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x v="3"/>
    <s v="Todo bien"/>
    <x v="1"/>
    <x v="3"/>
    <n v="612.91719558182024"/>
    <x v="1"/>
    <x v="2"/>
    <s v="Pequeña"/>
    <x v="1"/>
    <n v="1407.0634585619812"/>
  </r>
  <r>
    <s v="Signature Global Park"/>
    <x v="112"/>
    <n v="7248"/>
    <n v="2"/>
    <x v="1"/>
    <x v="2"/>
    <s v=" Sohna"/>
    <n v="0"/>
    <n v="0"/>
    <n v="1"/>
    <n v="1"/>
    <n v="3"/>
    <x v="0"/>
    <n v="4"/>
    <n v="0"/>
    <n v="0"/>
    <n v="0"/>
    <n v="0"/>
    <n v="1692.0473773265651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x v="1"/>
    <s v="Todo bien"/>
    <x v="0"/>
    <x v="3"/>
    <n v="324.53661076986691"/>
    <x v="0"/>
    <x v="2"/>
    <s v="Pequeña"/>
    <x v="0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x v="2"/>
    <n v="10"/>
    <n v="1"/>
    <n v="0"/>
    <n v="0"/>
    <n v="0"/>
    <n v="1745.0103609990185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2"/>
    <s v="Pequeña"/>
    <x v="0"/>
    <n v="1806.097384770987"/>
  </r>
  <r>
    <s v="Godrej Air"/>
    <x v="16"/>
    <n v="10603"/>
    <n v="2"/>
    <x v="4"/>
    <x v="3"/>
    <s v=" Sector 85 Gurgaon"/>
    <n v="0"/>
    <n v="0"/>
    <n v="2"/>
    <n v="15"/>
    <n v="1"/>
    <x v="0"/>
    <n v="32"/>
    <n v="0"/>
    <n v="0"/>
    <n v="0"/>
    <n v="0"/>
    <n v="2350.0739838106015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x v="2"/>
    <s v="Todo bien"/>
    <x v="0"/>
    <x v="1"/>
    <n v="431.36872908138889"/>
    <x v="0"/>
    <x v="2"/>
    <s v="Pequeña"/>
    <x v="0"/>
    <n v="990.28576817881731"/>
  </r>
  <r>
    <s v="Emaar MGF Palm Hills"/>
    <x v="43"/>
    <n v="8620"/>
    <n v="3"/>
    <x v="0"/>
    <x v="0"/>
    <s v=" Sector 77 Gurgaon"/>
    <n v="0"/>
    <n v="0"/>
    <n v="4"/>
    <n v="1"/>
    <n v="3"/>
    <x v="1"/>
    <n v="7"/>
    <n v="1"/>
    <n v="0"/>
    <n v="0"/>
    <n v="0"/>
    <n v="1790.161892901618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4"/>
    <n v="631.67089747679711"/>
    <x v="1"/>
    <x v="2"/>
    <s v="Pequeña"/>
    <x v="0"/>
    <n v="1450.1160092807424"/>
  </r>
  <r>
    <s v="Maruti Vihar"/>
    <x v="50"/>
    <n v="9090"/>
    <n v="1"/>
    <x v="5"/>
    <x v="1"/>
    <s v=" Sector 28 Gurgaon"/>
    <n v="0"/>
    <n v="0"/>
    <n v="1"/>
    <n v="1"/>
    <n v="1"/>
    <x v="3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x v="1"/>
    <s v="Todo bien"/>
    <x v="1"/>
    <x v="1"/>
    <n v="479.20819680968094"/>
    <x v="0"/>
    <x v="0"/>
    <s v="Pequeña"/>
    <x v="1"/>
    <n v="1100.1100110011002"/>
  </r>
  <r>
    <s v="Vasant Appartments"/>
    <x v="74"/>
    <n v="7391"/>
    <n v="5"/>
    <x v="7"/>
    <x v="1"/>
    <s v=" Sector 14 Gurgaon"/>
    <n v="0"/>
    <n v="0"/>
    <n v="5"/>
    <n v="2"/>
    <n v="2"/>
    <x v="4"/>
    <n v="3"/>
    <n v="0"/>
    <n v="1"/>
    <n v="1"/>
    <n v="1"/>
    <n v="1550.0031000062002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x v="3"/>
    <s v="Todo bien"/>
    <x v="1"/>
    <x v="1"/>
    <n v="1001.9218326748716"/>
    <x v="1"/>
    <x v="2"/>
    <s v="Pequeña"/>
    <x v="0"/>
    <n v="2300.0947097821672"/>
  </r>
  <r>
    <s v="Ansal Heights "/>
    <x v="35"/>
    <n v="4666"/>
    <n v="4"/>
    <x v="4"/>
    <x v="2"/>
    <s v=" Sector 86 Gurgaon"/>
    <n v="0"/>
    <n v="0"/>
    <n v="6"/>
    <n v="11"/>
    <n v="2"/>
    <x v="2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x v="2"/>
    <s v="Todo bien"/>
    <x v="0"/>
    <x v="3"/>
    <n v="1213.6312176810957"/>
    <x v="1"/>
    <x v="3"/>
    <s v="Pequeña"/>
    <x v="2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x v="1"/>
    <n v="26"/>
    <n v="0"/>
    <n v="0"/>
    <n v="0"/>
    <n v="0"/>
    <n v="1717.0061656130495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x v="3"/>
    <s v="Todo bien"/>
    <x v="0"/>
    <x v="4"/>
    <n v="544.5003136250001"/>
    <x v="1"/>
    <x v="2"/>
    <s v="Grande"/>
    <x v="0"/>
    <n v="1250"/>
  </r>
  <r>
    <s v="The Close North"/>
    <x v="101"/>
    <n v="11516"/>
    <n v="3"/>
    <x v="5"/>
    <x v="1"/>
    <s v=" Nirvana Country"/>
    <n v="0"/>
    <n v="0"/>
    <n v="3"/>
    <n v="14"/>
    <n v="3"/>
    <x v="1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x v="5"/>
    <s v="Todo bien"/>
    <x v="1"/>
    <x v="5"/>
    <n v="1134.7696706321635"/>
    <x v="1"/>
    <x v="3"/>
    <s v="Pequeña"/>
    <x v="2"/>
    <n v="2605.0712052796111"/>
  </r>
  <r>
    <s v="Emaar Gurgaon Greens"/>
    <x v="12"/>
    <n v="8181"/>
    <n v="3"/>
    <x v="7"/>
    <x v="0"/>
    <s v=" Sector 102 Gurgaon"/>
    <n v="0"/>
    <n v="0"/>
    <n v="3"/>
    <n v="5"/>
    <n v="3"/>
    <x v="1"/>
    <n v="14"/>
    <n v="1"/>
    <n v="0"/>
    <n v="0"/>
    <n v="0"/>
    <n v="1300.0917711838483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x v="2"/>
    <s v="Todo bien"/>
    <x v="0"/>
    <x v="5"/>
    <n v="718.81229521452144"/>
    <x v="1"/>
    <x v="2"/>
    <s v="Pequeña"/>
    <x v="1"/>
    <n v="1650.1650165016504"/>
  </r>
  <r>
    <s v="Landmark The Residency"/>
    <x v="15"/>
    <n v="6666"/>
    <n v="2"/>
    <x v="6"/>
    <x v="0"/>
    <s v=" Sector 103 Gurgaon"/>
    <n v="0"/>
    <n v="0"/>
    <n v="2"/>
    <n v="1"/>
    <n v="2"/>
    <x v="0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x v="1"/>
    <s v="Todo bien"/>
    <x v="0"/>
    <x v="1"/>
    <n v="588.1191506300629"/>
    <x v="1"/>
    <x v="2"/>
    <s v="Pequeña"/>
    <x v="1"/>
    <n v="1350.1350135013502"/>
  </r>
  <r>
    <s v="Emaar Imperial Gardens"/>
    <x v="138"/>
    <n v="9900"/>
    <n v="3"/>
    <x v="5"/>
    <x v="0"/>
    <s v=" Sector 102 Gurgaon"/>
    <n v="0"/>
    <n v="0"/>
    <n v="3"/>
    <n v="9"/>
    <n v="3"/>
    <x v="1"/>
    <n v="14"/>
    <n v="1"/>
    <n v="0"/>
    <n v="0"/>
    <n v="0"/>
    <n v="2061.093775661028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x v="3"/>
    <s v="Todo bien"/>
    <x v="1"/>
    <x v="3"/>
    <n v="871.2005018000001"/>
    <x v="1"/>
    <x v="2"/>
    <s v="Pequeña"/>
    <x v="0"/>
    <n v="2000"/>
  </r>
  <r>
    <s v="DLF Belvedere Towers"/>
    <x v="139"/>
    <n v="17619"/>
    <n v="4"/>
    <x v="7"/>
    <x v="1"/>
    <s v=" DLF Phase 2"/>
    <n v="0"/>
    <n v="0"/>
    <n v="4"/>
    <n v="18"/>
    <n v="3"/>
    <x v="2"/>
    <n v="19"/>
    <n v="1"/>
    <n v="0"/>
    <n v="0"/>
    <n v="0"/>
    <n v="2124.7171234598945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x v="5"/>
    <s v="Todo bien"/>
    <x v="1"/>
    <x v="0"/>
    <n v="914.76299922242811"/>
    <x v="1"/>
    <x v="2"/>
    <s v="Pequeña"/>
    <x v="0"/>
    <n v="2100.0056756910153"/>
  </r>
  <r>
    <s v="Godrej "/>
    <x v="70"/>
    <n v="8206"/>
    <n v="2"/>
    <x v="1"/>
    <x v="2"/>
    <s v=" Sector 79 Gurgaon"/>
    <n v="0"/>
    <n v="0"/>
    <n v="2"/>
    <n v="4"/>
    <n v="3"/>
    <x v="0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x v="2"/>
    <s v="Todo bien"/>
    <x v="0"/>
    <x v="2"/>
    <n v="684.77251238240206"/>
    <x v="1"/>
    <x v="2"/>
    <s v="Pequeña"/>
    <x v="1"/>
    <n v="1572.0204728247625"/>
  </r>
  <r>
    <s v="Tulip Monsella"/>
    <x v="142"/>
    <n v="19363"/>
    <n v="3"/>
    <x v="1"/>
    <x v="3"/>
    <s v=" Sector 53 Gurgaon"/>
    <n v="0"/>
    <n v="0"/>
    <n v="3"/>
    <n v="1"/>
    <n v="3"/>
    <x v="1"/>
    <n v="44"/>
    <n v="0"/>
    <n v="0"/>
    <n v="0"/>
    <n v="0"/>
    <n v="2892.1138253369832"/>
    <m/>
    <n v="2892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1"/>
    <x v="0"/>
    <n v="1"/>
    <n v="4"/>
    <n v="1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89211382533698E-2"/>
    <n v="56000000"/>
    <n v="0.19363"/>
    <x v="4"/>
    <s v="Todo bien"/>
    <x v="1"/>
    <x v="1"/>
    <n v="1259.8055079481474"/>
    <x v="1"/>
    <x v="3"/>
    <s v="Pequeña"/>
    <x v="2"/>
    <n v="2892.1138253369832"/>
  </r>
  <r>
    <s v="Sare Crescent Parc Royal Greens Phase "/>
    <x v="43"/>
    <n v="5832"/>
    <n v="4"/>
    <x v="4"/>
    <x v="0"/>
    <s v=" Sector 92 Gurgaon"/>
    <n v="0"/>
    <n v="0"/>
    <n v="4"/>
    <n v="20"/>
    <n v="3"/>
    <x v="2"/>
    <n v="20"/>
    <n v="1"/>
    <n v="0"/>
    <n v="0"/>
    <n v="0"/>
    <n v="2143.3470507544585"/>
    <m/>
    <n v="214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33470507544499E-2"/>
    <n v="12500000"/>
    <n v="5.8319999999999997E-2"/>
    <x v="2"/>
    <s v="Todo bien"/>
    <x v="0"/>
    <x v="1"/>
    <n v="933.6425130744135"/>
    <x v="1"/>
    <x v="2"/>
    <s v="Pequeña"/>
    <x v="2"/>
    <n v="2143.3470507544585"/>
  </r>
  <r>
    <s v="AIPL Club Residences"/>
    <x v="143"/>
    <n v="9777"/>
    <n v="2"/>
    <x v="7"/>
    <x v="0"/>
    <s v=" Sector 70A Gurgaon"/>
    <n v="0"/>
    <n v="0"/>
    <n v="2"/>
    <n v="24"/>
    <n v="3"/>
    <x v="0"/>
    <n v="31"/>
    <n v="0"/>
    <n v="0"/>
    <n v="0"/>
    <n v="0"/>
    <n v="2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989669632811699E-2"/>
    <n v="12700000"/>
    <n v="9.7769999999999996E-2"/>
    <x v="2"/>
    <s v="Todo bien"/>
    <x v="1"/>
    <x v="5"/>
    <n v="565.8303351160888"/>
    <x v="1"/>
    <x v="2"/>
    <s v="Pequeña"/>
    <x v="0"/>
    <n v="1298.9669632811701"/>
  </r>
  <r>
    <s v="Experion The Heartsong"/>
    <x v="144"/>
    <n v="6542"/>
    <n v="3"/>
    <x v="1"/>
    <x v="0"/>
    <s v=" Sector 108 Gurgaon"/>
    <n v="0"/>
    <n v="0"/>
    <n v="2"/>
    <n v="2"/>
    <n v="3"/>
    <x v="1"/>
    <n v="15"/>
    <n v="1"/>
    <n v="1"/>
    <n v="0"/>
    <n v="0"/>
    <n v="1481.0045074050227"/>
    <m/>
    <n v="1758"/>
    <n v="0"/>
    <n v="1"/>
    <n v="1"/>
    <n v="0"/>
    <n v="0"/>
    <n v="1"/>
    <n v="0"/>
    <n v="1"/>
    <n v="1"/>
    <n v="1"/>
    <n v="1"/>
    <n v="0"/>
    <n v="1"/>
    <n v="0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788749617853802E-2"/>
    <n v="13600000"/>
    <n v="6.5420000000000006E-2"/>
    <x v="2"/>
    <s v="Todo bien"/>
    <x v="1"/>
    <x v="4"/>
    <n v="905.55845494343953"/>
    <x v="1"/>
    <x v="2"/>
    <s v="Pequeña"/>
    <x v="1"/>
    <n v="2078.8749617853864"/>
  </r>
  <r>
    <s v="Signature Global City"/>
    <x v="50"/>
    <n v="8160"/>
    <n v="3"/>
    <x v="3"/>
    <x v="3"/>
    <s v=" Sector 37D Gurgaon"/>
    <n v="0"/>
    <n v="0"/>
    <n v="3"/>
    <n v="4"/>
    <n v="3"/>
    <x v="1"/>
    <n v="4"/>
    <n v="0"/>
    <n v="0"/>
    <n v="0"/>
    <n v="0"/>
    <n v="1420.1183431952661"/>
    <n v="12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2549019607843E-2"/>
    <n v="10000000"/>
    <n v="8.1600000000000006E-2"/>
    <x v="1"/>
    <s v="Todo bien"/>
    <x v="1"/>
    <x v="1"/>
    <n v="533.82383688725429"/>
    <x v="1"/>
    <x v="2"/>
    <s v="Mediana"/>
    <x v="0"/>
    <n v="1225.4901960784314"/>
  </r>
  <r>
    <s v="Bestech Park View City"/>
    <x v="117"/>
    <n v="9334"/>
    <n v="4"/>
    <x v="1"/>
    <x v="5"/>
    <s v=" Sector 48 Gurgaon"/>
    <n v="0"/>
    <n v="0"/>
    <n v="5"/>
    <n v="14"/>
    <n v="3"/>
    <x v="2"/>
    <n v="14"/>
    <n v="0"/>
    <n v="1"/>
    <n v="0"/>
    <n v="0"/>
    <n v="4553.2461967002355"/>
    <m/>
    <n v="4553"/>
    <n v="1"/>
    <n v="0"/>
    <n v="0"/>
    <n v="0"/>
    <n v="0"/>
    <n v="0"/>
    <n v="1"/>
    <n v="1"/>
    <n v="1"/>
    <n v="0"/>
    <n v="0"/>
    <n v="0"/>
    <n v="0"/>
    <n v="0"/>
    <n v="1"/>
    <n v="1"/>
    <n v="1"/>
    <n v="9"/>
    <x v="0"/>
    <x v="1"/>
    <x v="1"/>
    <x v="0"/>
    <x v="0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5532461967002301E-2"/>
    <n v="42500000"/>
    <n v="9.3340000000000006E-2"/>
    <x v="4"/>
    <s v="Todo bien"/>
    <x v="1"/>
    <x v="2"/>
    <n v="1983.3951856920912"/>
    <x v="3"/>
    <x v="3"/>
    <s v="Pequeña"/>
    <x v="3"/>
    <n v="4553.2461967002355"/>
  </r>
  <r>
    <s v="Emaar Palm Gardens"/>
    <x v="7"/>
    <n v="9473"/>
    <n v="3"/>
    <x v="8"/>
    <x v="0"/>
    <s v=" Sector 83 Gurgaon"/>
    <n v="0"/>
    <n v="0"/>
    <n v="3"/>
    <n v="9"/>
    <n v="3"/>
    <x v="1"/>
    <n v="16"/>
    <n v="0"/>
    <n v="0"/>
    <n v="0"/>
    <n v="0"/>
    <n v="1900.137232133432"/>
    <m/>
    <n v="19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372321334298E-2"/>
    <n v="18000000"/>
    <n v="9.4729999999999995E-2"/>
    <x v="3"/>
    <s v="Todo bien"/>
    <x v="0"/>
    <x v="2"/>
    <n v="827.70025506175364"/>
    <x v="1"/>
    <x v="2"/>
    <s v="Pequeña"/>
    <x v="1"/>
    <n v="1900.137232133432"/>
  </r>
  <r>
    <s v="CHD Avenue "/>
    <x v="43"/>
    <n v="6597"/>
    <n v="3"/>
    <x v="2"/>
    <x v="0"/>
    <s v=" Sector 71 Gurgaon"/>
    <n v="0"/>
    <n v="0"/>
    <n v="4"/>
    <n v="14"/>
    <n v="2"/>
    <x v="1"/>
    <n v="15"/>
    <n v="1"/>
    <n v="1"/>
    <n v="1"/>
    <n v="0"/>
    <n v="1894.8006669698348"/>
    <m/>
    <n v="174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3"/>
    <n v="1"/>
    <n v="6"/>
    <n v="1"/>
    <n v="0"/>
    <n v="0"/>
    <n v="1"/>
    <n v="1"/>
    <n v="6"/>
    <n v="1"/>
    <n v="0"/>
    <n v="0"/>
    <n v="0"/>
    <n v="1"/>
    <n v="3"/>
    <n v="1"/>
    <n v="0"/>
    <n v="0"/>
    <n v="0"/>
    <n v="0"/>
    <n v="0"/>
    <n v="0"/>
    <n v="1"/>
    <n v="1.89480066696983E-2"/>
    <n v="12500000"/>
    <n v="6.5970000000000001E-2"/>
    <x v="2"/>
    <s v="Todo bien"/>
    <x v="2"/>
    <x v="5"/>
    <n v="825.3756459375453"/>
    <x v="1"/>
    <x v="2"/>
    <s v="Pequeña"/>
    <x v="1"/>
    <n v="1894.8006669698348"/>
  </r>
  <r>
    <s v="MVN Athens"/>
    <x v="96"/>
    <n v="5897"/>
    <n v="2"/>
    <x v="3"/>
    <x v="0"/>
    <s v=" Sohna"/>
    <n v="0"/>
    <n v="0"/>
    <n v="2"/>
    <n v="4"/>
    <n v="1"/>
    <x v="0"/>
    <n v="14"/>
    <n v="0"/>
    <n v="0"/>
    <n v="0"/>
    <n v="0"/>
    <n v="2802.043843744849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6"/>
    <n v="1"/>
    <n v="1"/>
    <n v="0"/>
    <n v="0"/>
    <n v="1"/>
    <n v="0"/>
    <n v="0"/>
    <n v="0"/>
    <n v="0"/>
    <n v="0"/>
    <n v="0"/>
    <n v="0"/>
    <n v="0"/>
    <n v="2"/>
    <n v="4.5785992877733998E-3"/>
    <n v="2700000"/>
    <n v="5.8970000000000002E-2"/>
    <x v="0"/>
    <s v="Todo bien"/>
    <x v="1"/>
    <x v="0"/>
    <n v="199.44389985246545"/>
    <x v="0"/>
    <x v="3"/>
    <s v="Pequeña"/>
    <x v="0"/>
    <n v="457.85992877734441"/>
  </r>
  <r>
    <s v="Mahindra Luminare"/>
    <x v="145"/>
    <n v="18181"/>
    <n v="3"/>
    <x v="1"/>
    <x v="3"/>
    <s v=" Sector 59 Gurgaon"/>
    <n v="0"/>
    <n v="0"/>
    <n v="3"/>
    <n v="26"/>
    <n v="1"/>
    <x v="1"/>
    <n v="30"/>
    <n v="1"/>
    <n v="0"/>
    <n v="0"/>
    <n v="0"/>
    <n v="3025.1361311259006"/>
    <m/>
    <n v="302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0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0251361311258999E-2"/>
    <n v="55000000"/>
    <n v="0.18181"/>
    <x v="4"/>
    <s v="Todo bien"/>
    <x v="1"/>
    <x v="2"/>
    <n v="1317.7500577250973"/>
    <x v="1"/>
    <x v="3"/>
    <s v="Pequeña"/>
    <x v="3"/>
    <n v="3025.1361311259006"/>
  </r>
  <r>
    <s v="Raheja Navodaya"/>
    <x v="28"/>
    <n v="4271"/>
    <n v="3"/>
    <x v="7"/>
    <x v="0"/>
    <s v=" Sector 92 Gurgaon"/>
    <n v="0"/>
    <n v="0"/>
    <n v="3"/>
    <n v="2"/>
    <n v="3"/>
    <x v="1"/>
    <n v="16"/>
    <n v="0"/>
    <n v="0"/>
    <n v="0"/>
    <n v="0"/>
    <n v="1990.1662374151254"/>
    <m/>
    <n v="19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9016623741512E-2"/>
    <n v="8500000"/>
    <n v="4.2709999999999998E-2"/>
    <x v="1"/>
    <s v="Todo bien"/>
    <x v="0"/>
    <x v="4"/>
    <n v="866.91691235073529"/>
    <x v="1"/>
    <x v="2"/>
    <s v="Pequeña"/>
    <x v="1"/>
    <n v="1990.1662374151254"/>
  </r>
  <r>
    <s v="Godrej Nature Plus"/>
    <x v="146"/>
    <n v="7725"/>
    <n v="2"/>
    <x v="2"/>
    <x v="3"/>
    <s v=" Sector-33 Sohna"/>
    <n v="0"/>
    <n v="0"/>
    <n v="2"/>
    <n v="14"/>
    <n v="2"/>
    <x v="0"/>
    <n v="24"/>
    <n v="0"/>
    <n v="0"/>
    <n v="0"/>
    <n v="0"/>
    <n v="1385.1132686084143"/>
    <m/>
    <n v="1385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1326860841E-2"/>
    <n v="10700000"/>
    <n v="7.7249999999999999E-2"/>
    <x v="2"/>
    <s v="Todo bien"/>
    <x v="0"/>
    <x v="4"/>
    <n v="603.35568733074251"/>
    <x v="1"/>
    <x v="2"/>
    <s v="Pequeña"/>
    <x v="1"/>
    <n v="1385.1132686084143"/>
  </r>
  <r>
    <s v="MM Urbana"/>
    <x v="13"/>
    <n v="10895"/>
    <n v="1"/>
    <x v="6"/>
    <x v="0"/>
    <s v=" Sector 67 Gurgaon"/>
    <n v="0"/>
    <n v="0"/>
    <n v="1"/>
    <n v="17"/>
    <n v="1"/>
    <x v="3"/>
    <n v="17"/>
    <n v="0"/>
    <n v="0"/>
    <n v="0"/>
    <n v="0"/>
    <n v="871.95961450206516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7195961450205993E-3"/>
    <n v="9500000"/>
    <n v="0.10895000000000001"/>
    <x v="1"/>
    <s v="Todo bien"/>
    <x v="0"/>
    <x v="1"/>
    <n v="379.82582685176459"/>
    <x v="0"/>
    <x v="0"/>
    <s v="Mediana"/>
    <x v="0"/>
    <n v="871.95961450206516"/>
  </r>
  <r>
    <s v="Experion The Heartsong"/>
    <x v="147"/>
    <n v="11845"/>
    <n v="2"/>
    <x v="6"/>
    <x v="0"/>
    <s v=" Sector 108 Gurgaon"/>
    <n v="0"/>
    <n v="0"/>
    <n v="3"/>
    <n v="2"/>
    <n v="3"/>
    <x v="0"/>
    <n v="14"/>
    <n v="1"/>
    <n v="0"/>
    <n v="0"/>
    <n v="0"/>
    <n v="1438.5835485060863"/>
    <n v="978.23"/>
    <n v="1283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7.3448712536934996E-3"/>
    <n v="8700000"/>
    <n v="0.11845"/>
    <x v="1"/>
    <s v="Todo bien"/>
    <x v="1"/>
    <x v="4"/>
    <n v="319.94277609370863"/>
    <x v="0"/>
    <x v="2"/>
    <s v="Mediana"/>
    <x v="1"/>
    <n v="734.4871253693542"/>
  </r>
  <r>
    <s v="Sobha City"/>
    <x v="118"/>
    <n v="23401"/>
    <n v="4"/>
    <x v="2"/>
    <x v="2"/>
    <s v=" Sector 108 Gurgaon"/>
    <n v="0"/>
    <n v="0"/>
    <n v="5"/>
    <n v="25"/>
    <n v="3"/>
    <x v="2"/>
    <n v="25"/>
    <n v="1"/>
    <n v="1"/>
    <n v="0"/>
    <n v="0"/>
    <n v="3150.2615311459817"/>
    <n v="2343"/>
    <n v="23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1"/>
    <n v="0"/>
    <n v="0"/>
    <n v="0"/>
    <n v="0"/>
    <n v="0"/>
    <n v="1"/>
    <n v="0"/>
    <n v="0"/>
    <n v="0"/>
    <n v="0"/>
    <n v="0"/>
    <n v="1"/>
    <n v="1.7520618776975298E-2"/>
    <n v="41000000"/>
    <n v="0.23401"/>
    <x v="4"/>
    <s v="Todo bien"/>
    <x v="2"/>
    <x v="4"/>
    <n v="763.1985935173692"/>
    <x v="1"/>
    <x v="3"/>
    <s v="Grande"/>
    <x v="2"/>
    <n v="1752.0618776975343"/>
  </r>
  <r>
    <s v="Godrej Nature Plus"/>
    <x v="143"/>
    <n v="9182"/>
    <n v="2"/>
    <x v="0"/>
    <x v="3"/>
    <s v=" Sector-33 Sohna"/>
    <n v="0"/>
    <n v="0"/>
    <n v="2"/>
    <n v="9"/>
    <n v="3"/>
    <x v="0"/>
    <n v="22"/>
    <n v="0"/>
    <n v="0"/>
    <n v="0"/>
    <n v="0"/>
    <n v="1383.1409279024178"/>
    <m/>
    <n v="1383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14092790241E-2"/>
    <n v="12700000"/>
    <n v="9.1819999999999999E-2"/>
    <x v="2"/>
    <s v="Todo bien"/>
    <x v="0"/>
    <x v="1"/>
    <n v="602.49653522434869"/>
    <x v="1"/>
    <x v="2"/>
    <s v="Pequeña"/>
    <x v="1"/>
    <n v="1383.1409279024178"/>
  </r>
  <r>
    <s v="Smart World Orchard"/>
    <x v="3"/>
    <n v="12782"/>
    <n v="2"/>
    <x v="4"/>
    <x v="3"/>
    <s v=" Sector 61 Gurgaon"/>
    <n v="0"/>
    <n v="0"/>
    <n v="2"/>
    <n v="4"/>
    <n v="2"/>
    <x v="0"/>
    <n v="4"/>
    <n v="0"/>
    <n v="1"/>
    <n v="0"/>
    <n v="0"/>
    <n v="2724.0143369175626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5005476451259E-2"/>
    <n v="14700000"/>
    <n v="0.12781999999999999"/>
    <x v="2"/>
    <s v="Todo bien"/>
    <x v="1"/>
    <x v="2"/>
    <n v="500.96414397042469"/>
    <x v="1"/>
    <x v="3"/>
    <s v="Pequeña"/>
    <x v="0"/>
    <n v="1150.054764512596"/>
  </r>
  <r>
    <s v="Emaar MGF The Palm Drive"/>
    <x v="129"/>
    <n v="15681"/>
    <n v="3"/>
    <x v="4"/>
    <x v="0"/>
    <s v=" Sector 66 Gurgaon"/>
    <n v="0"/>
    <n v="0"/>
    <n v="4"/>
    <n v="6"/>
    <n v="3"/>
    <x v="1"/>
    <n v="17"/>
    <n v="1"/>
    <n v="0"/>
    <n v="0"/>
    <n v="0"/>
    <n v="735.02388827636901"/>
    <n v="2000"/>
    <n v="2200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1478859766E-2"/>
    <n v="34500000"/>
    <n v="0.15681"/>
    <x v="5"/>
    <s v="Todo bien"/>
    <x v="1"/>
    <x v="4"/>
    <n v="958.37055392194122"/>
    <x v="1"/>
    <x v="0"/>
    <s v="Grande"/>
    <x v="2"/>
    <n v="2200.1147885976661"/>
  </r>
  <r>
    <s v="Bestech Park View Residency"/>
    <x v="148"/>
    <n v="7539"/>
    <n v="2"/>
    <x v="4"/>
    <x v="1"/>
    <s v=" Palam Vihar"/>
    <n v="0"/>
    <n v="0"/>
    <n v="2"/>
    <n v="5"/>
    <n v="3"/>
    <x v="0"/>
    <n v="14"/>
    <n v="0"/>
    <n v="1"/>
    <n v="0"/>
    <n v="0"/>
    <n v="1565.1943228544901"/>
    <m/>
    <n v="1565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6519432285449E-2"/>
    <n v="11800000"/>
    <n v="7.5389999999999999E-2"/>
    <x v="2"/>
    <s v="Todo bien"/>
    <x v="1"/>
    <x v="3"/>
    <n v="681.79903974267154"/>
    <x v="1"/>
    <x v="2"/>
    <s v="Pequeña"/>
    <x v="1"/>
    <n v="1565.1943228544901"/>
  </r>
  <r>
    <s v="Bestech Park View Residency"/>
    <x v="46"/>
    <n v="8072"/>
    <n v="3"/>
    <x v="4"/>
    <x v="1"/>
    <s v=" Palam Vihar"/>
    <n v="0"/>
    <n v="0"/>
    <n v="4"/>
    <n v="4"/>
    <n v="3"/>
    <x v="1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9202180376610499E-2"/>
    <n v="15500000"/>
    <n v="8.072E-2"/>
    <x v="3"/>
    <s v="Todo bien"/>
    <x v="0"/>
    <x v="3"/>
    <n v="836.44745898785902"/>
    <x v="1"/>
    <x v="2"/>
    <s v="Pequeña"/>
    <x v="1"/>
    <n v="1920.2180376610506"/>
  </r>
  <r>
    <s v="MM Merlin"/>
    <x v="149"/>
    <n v="14376"/>
    <n v="3"/>
    <x v="4"/>
    <x v="0"/>
    <s v=" Sector 67 Gurgaon"/>
    <n v="0"/>
    <n v="0"/>
    <n v="4"/>
    <n v="14"/>
    <n v="3"/>
    <x v="1"/>
    <n v="21"/>
    <n v="1"/>
    <n v="0"/>
    <n v="0"/>
    <n v="0"/>
    <n v="4200"/>
    <n v="2100"/>
    <n v="2358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5809682804674E-2"/>
    <n v="33900000"/>
    <n v="0.14376"/>
    <x v="5"/>
    <s v="Todo bien"/>
    <x v="1"/>
    <x v="0"/>
    <n v="1027.1875699436541"/>
    <x v="1"/>
    <x v="3"/>
    <s v="Grande"/>
    <x v="2"/>
    <n v="2358.0968280467446"/>
  </r>
  <r>
    <s v="DLF The Skycourt"/>
    <x v="150"/>
    <n v="9221"/>
    <n v="3"/>
    <x v="7"/>
    <x v="0"/>
    <s v=" Sector 86 Gurgaon"/>
    <n v="0"/>
    <n v="0"/>
    <n v="3"/>
    <n v="15"/>
    <n v="3"/>
    <x v="1"/>
    <n v="19"/>
    <n v="1"/>
    <n v="0"/>
    <n v="0"/>
    <n v="0"/>
    <n v="2450.0322372662799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01008567400401E-2"/>
    <n v="15400000"/>
    <n v="9.221E-2"/>
    <x v="3"/>
    <s v="Todo bien"/>
    <x v="0"/>
    <x v="5"/>
    <n v="727.4963522242665"/>
    <x v="1"/>
    <x v="2"/>
    <s v="Mediana"/>
    <x v="1"/>
    <n v="1670.1008567400499"/>
  </r>
  <r>
    <s v="Emaar Gurgaon Greens"/>
    <x v="113"/>
    <n v="8606"/>
    <n v="3"/>
    <x v="4"/>
    <x v="0"/>
    <s v=" Sector 102 Gurgaon"/>
    <n v="0"/>
    <n v="0"/>
    <n v="3"/>
    <n v="7"/>
    <n v="3"/>
    <x v="1"/>
    <n v="14"/>
    <n v="1"/>
    <n v="0"/>
    <n v="0"/>
    <n v="0"/>
    <n v="2150.1412949993855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x v="2"/>
    <s v="Todo bien"/>
    <x v="0"/>
    <x v="5"/>
    <n v="718.74547557285211"/>
    <x v="1"/>
    <x v="2"/>
    <s v="Pequeña"/>
    <x v="1"/>
    <n v="1650.0116198001394"/>
  </r>
  <r>
    <s v="AFNHB Jalvayu Vihar"/>
    <x v="35"/>
    <n v="10000"/>
    <n v="3"/>
    <x v="2"/>
    <x v="1"/>
    <s v=" Sector 30 Gurgaon"/>
    <n v="0"/>
    <n v="0"/>
    <n v="3"/>
    <n v="2"/>
    <n v="2"/>
    <x v="1"/>
    <n v="4"/>
    <n v="0"/>
    <n v="0"/>
    <n v="0"/>
    <n v="0"/>
    <n v="1650.1650165016501"/>
    <m/>
    <n v="1500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13000000"/>
    <n v="0.1"/>
    <x v="2"/>
    <s v="Todo bien"/>
    <x v="0"/>
    <x v="2"/>
    <n v="566.28032616999997"/>
    <x v="1"/>
    <x v="2"/>
    <s v="Pequeña"/>
    <x v="1"/>
    <n v="1300"/>
  </r>
  <r>
    <s v="DLF Regency Park "/>
    <x v="39"/>
    <n v="14516"/>
    <n v="3"/>
    <x v="0"/>
    <x v="1"/>
    <s v=" DLF Phase 4"/>
    <n v="0"/>
    <n v="0"/>
    <n v="3"/>
    <n v="16"/>
    <n v="2"/>
    <x v="1"/>
    <n v="20"/>
    <n v="1"/>
    <n v="0"/>
    <n v="0"/>
    <n v="0"/>
    <n v="915.00801811149893"/>
    <n v="1700"/>
    <n v="1777"/>
    <n v="0"/>
    <n v="1"/>
    <n v="0"/>
    <n v="1"/>
    <n v="0"/>
    <n v="0"/>
    <n v="1"/>
    <n v="1"/>
    <n v="1"/>
    <n v="1"/>
    <n v="1"/>
    <n v="0"/>
    <n v="1"/>
    <n v="0"/>
    <n v="1"/>
    <n v="1"/>
    <n v="1"/>
    <n v="36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1377790024E-2"/>
    <n v="22500000"/>
    <n v="0.14516000000000001"/>
    <x v="3"/>
    <s v="Todo bien"/>
    <x v="0"/>
    <x v="3"/>
    <n v="675.18639055180142"/>
    <x v="1"/>
    <x v="0"/>
    <s v="Mediana"/>
    <x v="1"/>
    <n v="1550.013777900248"/>
  </r>
  <r>
    <s v="Ireo Victory Valley"/>
    <x v="151"/>
    <n v="14583"/>
    <n v="3"/>
    <x v="2"/>
    <x v="0"/>
    <s v=" Sector 67 Gurgaon"/>
    <n v="0"/>
    <n v="0"/>
    <n v="4"/>
    <n v="24"/>
    <n v="3"/>
    <x v="1"/>
    <n v="51"/>
    <n v="1"/>
    <n v="0"/>
    <n v="1"/>
    <n v="0"/>
    <n v="1359.1060102688009"/>
    <n v="2490"/>
    <n v="26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x v="5"/>
    <s v="Todo bien"/>
    <x v="1"/>
    <x v="5"/>
    <n v="1045.4644984913928"/>
    <x v="1"/>
    <x v="2"/>
    <s v="Grande"/>
    <x v="2"/>
    <n v="2400.0548583967634"/>
  </r>
  <r>
    <s v="Ambience Creacions"/>
    <x v="152"/>
    <n v="19200"/>
    <n v="4"/>
    <x v="2"/>
    <x v="2"/>
    <s v=" Sector 22 Gurgaon"/>
    <n v="0"/>
    <n v="0"/>
    <n v="6"/>
    <n v="10"/>
    <n v="3"/>
    <x v="2"/>
    <n v="20"/>
    <n v="1"/>
    <n v="0"/>
    <n v="1"/>
    <n v="0"/>
    <n v="1942.070802352680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1"/>
    <n v="1"/>
    <n v="1"/>
    <n v="1"/>
    <n v="0"/>
    <n v="0"/>
    <n v="1"/>
    <n v="0"/>
    <n v="0"/>
    <n v="1"/>
    <n v="5"/>
    <n v="1"/>
    <n v="0"/>
    <n v="0"/>
    <n v="0"/>
    <n v="0"/>
    <n v="0"/>
    <n v="0"/>
    <n v="1"/>
    <n v="2.5000000000000001E-2"/>
    <n v="48000000"/>
    <n v="0.192"/>
    <x v="4"/>
    <s v="Todo bien"/>
    <x v="2"/>
    <x v="1"/>
    <n v="1089.0006272500002"/>
    <x v="1"/>
    <x v="2"/>
    <s v="Pequeña"/>
    <x v="0"/>
    <n v="2500"/>
  </r>
  <r>
    <s v="Signature Global City "/>
    <x v="32"/>
    <n v="8047"/>
    <n v="2"/>
    <x v="1"/>
    <x v="2"/>
    <s v=" Sector 92 Gurgaon"/>
    <n v="0"/>
    <n v="0"/>
    <n v="2"/>
    <n v="2"/>
    <n v="2"/>
    <x v="0"/>
    <n v="4"/>
    <n v="0"/>
    <n v="0"/>
    <n v="0"/>
    <n v="0"/>
    <n v="969.30533117932146"/>
    <m/>
    <n v="1197"/>
    <n v="0"/>
    <n v="0"/>
    <n v="1"/>
    <n v="0"/>
    <n v="0"/>
    <n v="0"/>
    <n v="0"/>
    <n v="1"/>
    <n v="1"/>
    <n v="0"/>
    <n v="0"/>
    <n v="0"/>
    <n v="1"/>
    <n v="0"/>
    <n v="1"/>
    <n v="1"/>
    <n v="1"/>
    <n v="19"/>
    <x v="0"/>
    <x v="1"/>
    <x v="1"/>
    <x v="1"/>
    <x v="1"/>
    <x v="0"/>
    <x v="1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6930533117932007E-3"/>
    <n v="7800000"/>
    <n v="8.047E-2"/>
    <x v="1"/>
    <s v="Todo bien"/>
    <x v="1"/>
    <x v="0"/>
    <n v="422.22964546041942"/>
    <x v="0"/>
    <x v="0"/>
    <s v="Pequeña"/>
    <x v="1"/>
    <n v="969.30533117932146"/>
  </r>
  <r>
    <s v="The Khushboo Cooperative Housing Society Ltd"/>
    <x v="83"/>
    <n v="4888"/>
    <n v="3"/>
    <x v="7"/>
    <x v="1"/>
    <s v=" Sector 9A Gurgaon"/>
    <n v="0"/>
    <n v="0"/>
    <n v="3"/>
    <n v="2"/>
    <n v="2"/>
    <x v="1"/>
    <n v="12"/>
    <n v="0"/>
    <n v="0"/>
    <n v="0"/>
    <n v="0"/>
    <n v="1827.7525954086852"/>
    <m/>
    <n v="1800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0"/>
    <x v="0"/>
    <x v="0"/>
    <x v="0"/>
    <x v="1"/>
    <x v="1"/>
    <x v="0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80032733224222E-2"/>
    <n v="8800000"/>
    <n v="4.888E-2"/>
    <x v="1"/>
    <s v="Todo bien"/>
    <x v="1"/>
    <x v="0"/>
    <n v="784.22303762683873"/>
    <x v="1"/>
    <x v="2"/>
    <s v="Pequeña"/>
    <x v="1"/>
    <n v="1800.3273322422258"/>
  </r>
  <r>
    <s v="Adani MK Oyster Grande"/>
    <x v="153"/>
    <n v="10007"/>
    <n v="3"/>
    <x v="2"/>
    <x v="0"/>
    <s v=" Sector 102 Gurgaon"/>
    <n v="0"/>
    <n v="0"/>
    <n v="3"/>
    <n v="2"/>
    <n v="3"/>
    <x v="1"/>
    <n v="24"/>
    <n v="1"/>
    <n v="1"/>
    <n v="0"/>
    <n v="1"/>
    <n v="2598.1812731088235"/>
    <m/>
    <n v="259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18127310882E-2"/>
    <n v="26000000"/>
    <n v="0.10007000000000001"/>
    <x v="5"/>
    <s v="Todo bien"/>
    <x v="0"/>
    <x v="5"/>
    <n v="1131.7684144498835"/>
    <x v="1"/>
    <x v="3"/>
    <s v="Pequeña"/>
    <x v="2"/>
    <n v="2598.1812731088235"/>
  </r>
  <r>
    <s v="DLF Belvedere Towers"/>
    <x v="107"/>
    <n v="13765"/>
    <n v="4"/>
    <x v="3"/>
    <x v="1"/>
    <s v=" DLF Phase 2"/>
    <n v="0"/>
    <n v="0"/>
    <n v="4"/>
    <n v="1"/>
    <n v="3"/>
    <x v="2"/>
    <n v="19"/>
    <n v="1"/>
    <n v="0"/>
    <n v="0"/>
    <n v="0"/>
    <n v="1755.22578586245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00326916091499E-2"/>
    <n v="34000000"/>
    <n v="0.13764999999999999"/>
    <x v="5"/>
    <s v="Todo bien"/>
    <x v="0"/>
    <x v="0"/>
    <n v="1075.946860196148"/>
    <x v="1"/>
    <x v="2"/>
    <s v="Pequeña"/>
    <x v="0"/>
    <n v="2470.032691609154"/>
  </r>
  <r>
    <s v="Sobha City"/>
    <x v="90"/>
    <n v="14478"/>
    <n v="3"/>
    <x v="4"/>
    <x v="2"/>
    <s v=" Sector 108 Gurgaon"/>
    <n v="0"/>
    <n v="0"/>
    <n v="4"/>
    <n v="8"/>
    <n v="2"/>
    <x v="1"/>
    <n v="18"/>
    <n v="0"/>
    <n v="0"/>
    <n v="0"/>
    <n v="0"/>
    <n v="2003.039093797486"/>
    <m/>
    <n v="2003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x v="5"/>
    <s v="Todo bien"/>
    <x v="0"/>
    <x v="5"/>
    <n v="872.52433182069103"/>
    <x v="1"/>
    <x v="2"/>
    <s v="Pequeña"/>
    <x v="2"/>
    <n v="2003.039093797486"/>
  </r>
  <r>
    <s v="Raheja Vedaanta"/>
    <x v="4"/>
    <n v="4651"/>
    <n v="2"/>
    <x v="8"/>
    <x v="5"/>
    <s v=" Sector 108 Gurgaon"/>
    <n v="0"/>
    <n v="0"/>
    <n v="2"/>
    <n v="12"/>
    <n v="2"/>
    <x v="0"/>
    <n v="22"/>
    <n v="0"/>
    <n v="0"/>
    <n v="0"/>
    <n v="0"/>
    <n v="1505.0526768436894"/>
    <m/>
    <n v="1505"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505267684368E-2"/>
    <n v="7000000"/>
    <n v="4.6510000000000003E-2"/>
    <x v="1"/>
    <s v="Todo bien"/>
    <x v="0"/>
    <x v="4"/>
    <n v="655.6013236508237"/>
    <x v="1"/>
    <x v="2"/>
    <s v="Pequeña"/>
    <x v="1"/>
    <n v="1505.0526768436894"/>
  </r>
  <r>
    <s v="DLF The Skycourt"/>
    <x v="78"/>
    <n v="9740"/>
    <n v="3"/>
    <x v="0"/>
    <x v="0"/>
    <s v=" Sector 86 Gurgaon"/>
    <n v="0"/>
    <n v="0"/>
    <n v="3"/>
    <n v="18"/>
    <n v="3"/>
    <x v="1"/>
    <n v="19"/>
    <n v="0"/>
    <n v="1"/>
    <n v="0"/>
    <n v="0"/>
    <n v="4119.36704506364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0410677618E-2"/>
    <n v="15000000"/>
    <n v="9.74E-2"/>
    <x v="2"/>
    <s v="Todo bien"/>
    <x v="0"/>
    <x v="5"/>
    <n v="670.84227551334402"/>
    <x v="1"/>
    <x v="3"/>
    <s v="Mediana"/>
    <x v="1"/>
    <n v="1540.041067761807"/>
  </r>
  <r>
    <s v="Suncity Vatsal Valley"/>
    <x v="154"/>
    <n v="9552"/>
    <n v="3"/>
    <x v="5"/>
    <x v="0"/>
    <s v=" Gwal Pahari"/>
    <n v="0"/>
    <n v="0"/>
    <n v="3"/>
    <n v="1"/>
    <n v="3"/>
    <x v="1"/>
    <n v="4"/>
    <n v="0"/>
    <n v="0"/>
    <n v="0"/>
    <n v="0"/>
    <n v="1950.1240988062875"/>
    <m/>
    <m/>
    <n v="0"/>
    <n v="1"/>
    <n v="0"/>
    <n v="0"/>
    <n v="0"/>
    <n v="0"/>
    <n v="0"/>
    <n v="1"/>
    <n v="1"/>
    <n v="1"/>
    <n v="1"/>
    <n v="1"/>
    <n v="1"/>
    <n v="1"/>
    <n v="1"/>
    <n v="0"/>
    <n v="0"/>
    <n v="26"/>
    <x v="0"/>
    <x v="1"/>
    <x v="1"/>
    <x v="1"/>
    <x v="1"/>
    <x v="0"/>
    <x v="0"/>
    <x v="1"/>
    <x v="1"/>
    <n v="0"/>
    <n v="5"/>
    <n v="1"/>
    <n v="3"/>
    <n v="1"/>
    <n v="1"/>
    <n v="1"/>
    <n v="0"/>
    <n v="0"/>
    <n v="0"/>
    <n v="0"/>
    <n v="1"/>
    <n v="0"/>
    <n v="0"/>
    <n v="1"/>
    <n v="4"/>
    <n v="1"/>
    <n v="0"/>
    <n v="0"/>
    <n v="0"/>
    <n v="0"/>
    <n v="0"/>
    <n v="0"/>
    <n v="2"/>
    <n v="1.3400335008375199E-2"/>
    <n v="12800000"/>
    <n v="9.5519999999999994E-2"/>
    <x v="2"/>
    <s v="Todo bien"/>
    <x v="1"/>
    <x v="1"/>
    <n v="583.71892917922912"/>
    <x v="1"/>
    <x v="2"/>
    <s v="Pequeña"/>
    <x v="0"/>
    <n v="1340.0335008375209"/>
  </r>
  <r>
    <s v="MM Capital"/>
    <x v="155"/>
    <n v="14800"/>
    <n v="3"/>
    <x v="7"/>
    <x v="3"/>
    <s v=" Sector 113 Gurgaon"/>
    <n v="0"/>
    <n v="0"/>
    <n v="3"/>
    <n v="2"/>
    <n v="3"/>
    <x v="1"/>
    <n v="36"/>
    <n v="0"/>
    <n v="1"/>
    <n v="0"/>
    <n v="0"/>
    <n v="1695.9459459459461"/>
    <m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9459459459401E-2"/>
    <n v="25100000"/>
    <n v="0.14799999999999999"/>
    <x v="5"/>
    <s v="Todo bien"/>
    <x v="0"/>
    <x v="1"/>
    <n v="738.75447956688936"/>
    <x v="1"/>
    <x v="2"/>
    <s v="Pequeña"/>
    <x v="1"/>
    <n v="1695.9459459459461"/>
  </r>
  <r>
    <s v="DLF City Plots Phase "/>
    <x v="156"/>
    <n v="18571"/>
    <n v="4"/>
    <x v="2"/>
    <x v="2"/>
    <s v=" DLF Phase 3"/>
    <n v="0"/>
    <n v="0"/>
    <n v="5"/>
    <n v="3"/>
    <n v="3"/>
    <x v="2"/>
    <n v="4"/>
    <n v="1"/>
    <n v="0"/>
    <n v="0"/>
    <n v="0"/>
    <n v="1534.0652729733797"/>
    <m/>
    <m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0"/>
    <x v="0"/>
    <x v="0"/>
    <x v="1"/>
    <x v="1"/>
    <x v="1"/>
    <x v="0"/>
    <n v="1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0807710947102E-2"/>
    <n v="65000000"/>
    <n v="0.18570999999999999"/>
    <x v="6"/>
    <s v="Todo bien"/>
    <x v="2"/>
    <x v="1"/>
    <n v="1524.6360620591213"/>
    <x v="3"/>
    <x v="2"/>
    <s v="Pequeña"/>
    <x v="0"/>
    <n v="3500.0807710947179"/>
  </r>
  <r>
    <s v="Unitech Heritage City"/>
    <x v="157"/>
    <n v="14500"/>
    <n v="3"/>
    <x v="1"/>
    <x v="1"/>
    <s v=" Heritage City"/>
    <n v="0"/>
    <n v="0"/>
    <n v="3"/>
    <n v="11"/>
    <n v="1"/>
    <x v="1"/>
    <n v="11"/>
    <n v="1"/>
    <n v="0"/>
    <n v="0"/>
    <n v="1"/>
    <n v="3055.4201202665367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34482758620601E-2"/>
    <n v="36300000"/>
    <n v="0.14499999999999999"/>
    <x v="5"/>
    <s v="Todo bien"/>
    <x v="0"/>
    <x v="0"/>
    <n v="1090.5026970806859"/>
    <x v="1"/>
    <x v="3"/>
    <s v="Pequeña"/>
    <x v="0"/>
    <n v="2503.4482758620693"/>
  </r>
  <r>
    <s v="Bestech Altura"/>
    <x v="20"/>
    <n v="8604"/>
    <n v="3"/>
    <x v="1"/>
    <x v="2"/>
    <s v=" Sector 79 Gurgaon"/>
    <n v="0"/>
    <n v="0"/>
    <n v="3"/>
    <n v="7"/>
    <n v="3"/>
    <x v="1"/>
    <n v="20"/>
    <n v="1"/>
    <n v="0"/>
    <n v="0"/>
    <n v="0"/>
    <n v="2310.3374167203951"/>
    <n v="1650"/>
    <n v="21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x v="3"/>
    <s v="Todo bien"/>
    <x v="1"/>
    <x v="3"/>
    <n v="936.61141813691245"/>
    <x v="1"/>
    <x v="2"/>
    <s v="Mediana"/>
    <x v="2"/>
    <n v="2150.1627150162712"/>
  </r>
  <r>
    <s v="Indiabulls Centrum Park"/>
    <x v="158"/>
    <n v="8521"/>
    <n v="4"/>
    <x v="1"/>
    <x v="0"/>
    <s v=" Sector 103 Gurgaon"/>
    <n v="0"/>
    <n v="0"/>
    <n v="6"/>
    <n v="5"/>
    <n v="3"/>
    <x v="2"/>
    <n v="18"/>
    <n v="1"/>
    <n v="0"/>
    <n v="0"/>
    <n v="0"/>
    <n v="2875.2493838751325"/>
    <m/>
    <n v="28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493838751302E-2"/>
    <n v="24500000.000000004"/>
    <n v="8.5209999999999994E-2"/>
    <x v="3"/>
    <s v="Todo bien"/>
    <x v="0"/>
    <x v="0"/>
    <n v="1252.4593530160771"/>
    <x v="1"/>
    <x v="3"/>
    <s v="Pequeña"/>
    <x v="2"/>
    <n v="2875.2493838751325"/>
  </r>
  <r>
    <s v="Orris Aster Court Premier"/>
    <x v="65"/>
    <n v="6509"/>
    <n v="3"/>
    <x v="2"/>
    <x v="0"/>
    <s v=" Sector 85 Gurgaon"/>
    <n v="0"/>
    <n v="0"/>
    <n v="4"/>
    <n v="6"/>
    <n v="2"/>
    <x v="1"/>
    <n v="12"/>
    <n v="1"/>
    <n v="0"/>
    <n v="0"/>
    <n v="0"/>
    <n v="2120.1413427561838"/>
    <n v="1616"/>
    <n v="2120"/>
    <n v="0"/>
    <n v="0"/>
    <n v="0"/>
    <n v="1"/>
    <n v="0"/>
    <n v="0"/>
    <n v="0"/>
    <n v="1"/>
    <n v="0"/>
    <n v="0"/>
    <n v="0"/>
    <n v="1"/>
    <n v="1"/>
    <n v="1"/>
    <n v="1"/>
    <n v="1"/>
    <n v="1"/>
    <n v="24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413427561801E-2"/>
    <n v="13800000"/>
    <n v="6.5089999999999995E-2"/>
    <x v="2"/>
    <s v="Todo bien"/>
    <x v="0"/>
    <x v="1"/>
    <n v="923.534100848055"/>
    <x v="1"/>
    <x v="2"/>
    <s v="Mediana"/>
    <x v="2"/>
    <n v="2120.1413427561838"/>
  </r>
  <r>
    <s v="Paras Quartier"/>
    <x v="159"/>
    <n v="11028"/>
    <n v="4"/>
    <x v="4"/>
    <x v="2"/>
    <s v=" Gwal Pahari"/>
    <n v="0"/>
    <n v="0"/>
    <n v="4"/>
    <n v="19"/>
    <n v="3"/>
    <x v="2"/>
    <n v="31"/>
    <n v="1"/>
    <n v="1"/>
    <n v="1"/>
    <n v="1"/>
    <n v="5350.0181356546973"/>
    <m/>
    <n v="535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3500181356546897E-2"/>
    <n v="59000000"/>
    <n v="0.11028"/>
    <x v="4"/>
    <s v="Todo bien"/>
    <x v="1"/>
    <x v="5"/>
    <n v="2330.4692422107332"/>
    <x v="3"/>
    <x v="3"/>
    <s v="Pequeña"/>
    <x v="3"/>
    <n v="5350.0181356546973"/>
  </r>
  <r>
    <s v="Mapsko Casa Bella"/>
    <x v="101"/>
    <n v="6134"/>
    <n v="4"/>
    <x v="0"/>
    <x v="0"/>
    <s v=" Sector 82 Gurgaon"/>
    <n v="0"/>
    <n v="0"/>
    <n v="6"/>
    <n v="25"/>
    <n v="3"/>
    <x v="2"/>
    <n v="25"/>
    <n v="1"/>
    <n v="0"/>
    <n v="1"/>
    <n v="0"/>
    <n v="4890.7727420932506"/>
    <m/>
    <n v="4890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7"/>
    <n v="1"/>
    <n v="0"/>
    <n v="0"/>
    <n v="1"/>
    <n v="1"/>
    <n v="0"/>
    <n v="1"/>
    <n v="1"/>
    <n v="1"/>
    <n v="1"/>
    <n v="0"/>
    <n v="0"/>
    <n v="1"/>
    <n v="4"/>
    <n v="1"/>
    <n v="0"/>
    <n v="0"/>
    <n v="0"/>
    <n v="0"/>
    <n v="0"/>
    <n v="0"/>
    <n v="1"/>
    <n v="4.8907727420932502E-2"/>
    <n v="30000000"/>
    <n v="6.1339999999999999E-2"/>
    <x v="5"/>
    <s v="Todo bien"/>
    <x v="2"/>
    <x v="4"/>
    <n v="2130.4218335507007"/>
    <x v="3"/>
    <x v="3"/>
    <s v="Pequeña"/>
    <x v="3"/>
    <n v="4890.7727420932506"/>
  </r>
  <r>
    <s v="Samadhan Shri Kamal CGHS"/>
    <x v="160"/>
    <n v="11426"/>
    <n v="4"/>
    <x v="1"/>
    <x v="5"/>
    <s v=" Sector 1 Gurgaon"/>
    <n v="0"/>
    <n v="0"/>
    <n v="4"/>
    <n v="10"/>
    <n v="3"/>
    <x v="2"/>
    <n v="10"/>
    <n v="0"/>
    <n v="0"/>
    <n v="0"/>
    <n v="0"/>
    <n v="3763.2704801140867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4"/>
    <n v="1"/>
    <n v="1"/>
    <n v="1"/>
    <n v="1"/>
    <n v="0"/>
    <n v="0"/>
    <n v="0"/>
    <n v="1"/>
    <n v="0"/>
    <n v="0"/>
    <n v="0"/>
    <n v="4"/>
    <n v="1"/>
    <n v="0"/>
    <n v="0"/>
    <n v="0"/>
    <n v="0"/>
    <n v="0"/>
    <n v="0"/>
    <n v="1"/>
    <n v="1.7591458078067501E-2"/>
    <n v="20100000"/>
    <n v="0.11426"/>
    <x v="3"/>
    <s v="Todo bien"/>
    <x v="2"/>
    <x v="2"/>
    <n v="766.28435525030363"/>
    <x v="1"/>
    <x v="3"/>
    <s v="Pequeña"/>
    <x v="0"/>
    <n v="1759.1458078067565"/>
  </r>
  <r>
    <s v="Navjyoti Apartment"/>
    <x v="69"/>
    <n v="11938"/>
    <n v="4"/>
    <x v="5"/>
    <x v="1"/>
    <s v=" Sector 38 Gurgaon"/>
    <n v="0"/>
    <n v="0"/>
    <n v="4"/>
    <n v="10"/>
    <n v="3"/>
    <x v="2"/>
    <n v="10"/>
    <n v="0"/>
    <n v="0"/>
    <n v="0"/>
    <n v="0"/>
    <n v="3172.771848860687"/>
    <m/>
    <m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1"/>
    <x v="0"/>
    <x v="0"/>
    <x v="0"/>
    <x v="1"/>
    <x v="0"/>
    <x v="0"/>
    <n v="1"/>
    <n v="4"/>
    <n v="1"/>
    <n v="5"/>
    <n v="1"/>
    <n v="0"/>
    <n v="0"/>
    <n v="1"/>
    <n v="1"/>
    <n v="0"/>
    <n v="0"/>
    <n v="1"/>
    <n v="0"/>
    <n v="0"/>
    <n v="1"/>
    <n v="0"/>
    <n v="0"/>
    <n v="0"/>
    <n v="0"/>
    <n v="0"/>
    <n v="0"/>
    <n v="0"/>
    <n v="0"/>
    <n v="1"/>
    <n v="1.7590886245602198E-2"/>
    <n v="21000000"/>
    <n v="0.11938"/>
    <x v="3"/>
    <s v="Todo bien"/>
    <x v="2"/>
    <x v="0"/>
    <n v="766.25944621376766"/>
    <x v="1"/>
    <x v="3"/>
    <s v="Pequeña"/>
    <x v="0"/>
    <n v="1759.0886245602278"/>
  </r>
  <r>
    <s v="Ambience Lagoon"/>
    <x v="117"/>
    <n v="13281"/>
    <n v="3"/>
    <x v="4"/>
    <x v="1"/>
    <s v=" DLF Phase 3"/>
    <n v="0"/>
    <n v="0"/>
    <n v="4"/>
    <n v="3"/>
    <n v="3"/>
    <x v="1"/>
    <n v="9"/>
    <n v="1"/>
    <n v="0"/>
    <n v="0"/>
    <n v="1"/>
    <n v="1650.0474833808169"/>
    <m/>
    <n v="3200"/>
    <n v="1"/>
    <n v="1"/>
    <n v="1"/>
    <n v="0"/>
    <n v="1"/>
    <n v="0"/>
    <n v="1"/>
    <n v="1"/>
    <n v="1"/>
    <n v="1"/>
    <n v="1"/>
    <n v="0"/>
    <n v="1"/>
    <n v="0"/>
    <n v="1"/>
    <n v="1"/>
    <n v="1"/>
    <n v="38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2000602364279797E-2"/>
    <n v="42500000"/>
    <n v="0.13281000000000001"/>
    <x v="4"/>
    <s v="Todo bien"/>
    <x v="1"/>
    <x v="3"/>
    <n v="1393.9470418831413"/>
    <x v="1"/>
    <x v="2"/>
    <s v="Pequeña"/>
    <x v="3"/>
    <n v="3200.0602364279794"/>
  </r>
  <r>
    <s v="Orchid Petals"/>
    <x v="161"/>
    <n v="12318"/>
    <n v="3"/>
    <x v="4"/>
    <x v="0"/>
    <s v=" Sector 49 Gurgaon"/>
    <n v="0"/>
    <n v="0"/>
    <n v="4"/>
    <n v="8"/>
    <n v="3"/>
    <x v="1"/>
    <n v="14"/>
    <n v="0"/>
    <n v="1"/>
    <n v="0"/>
    <n v="0"/>
    <n v="1750"/>
    <n v="2060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0701412566975101E-2"/>
    <n v="25500000"/>
    <n v="0.12318"/>
    <x v="5"/>
    <s v="Todo bien"/>
    <x v="1"/>
    <x v="1"/>
    <n v="901.75405081587678"/>
    <x v="1"/>
    <x v="2"/>
    <s v="Grande"/>
    <x v="2"/>
    <n v="2070.1412566975159"/>
  </r>
  <r>
    <s v="Friends Apartment"/>
    <x v="6"/>
    <n v="8510"/>
    <n v="4"/>
    <x v="5"/>
    <x v="5"/>
    <s v=" Sector 52 Gurgaon"/>
    <n v="0"/>
    <n v="0"/>
    <n v="3"/>
    <n v="5"/>
    <n v="3"/>
    <x v="2"/>
    <n v="12"/>
    <n v="1"/>
    <n v="0"/>
    <n v="0"/>
    <n v="0"/>
    <n v="1925.1336898395723"/>
    <m/>
    <n v="2350"/>
    <n v="1"/>
    <n v="0"/>
    <n v="0"/>
    <n v="0"/>
    <n v="0"/>
    <n v="0"/>
    <n v="1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3"/>
    <n v="1"/>
    <n v="5"/>
    <n v="1"/>
    <n v="1"/>
    <n v="1"/>
    <n v="1"/>
    <n v="1"/>
    <n v="0"/>
    <n v="0"/>
    <n v="1"/>
    <n v="1"/>
    <n v="1"/>
    <n v="1"/>
    <n v="3"/>
    <n v="1"/>
    <n v="1"/>
    <n v="0"/>
    <n v="0"/>
    <n v="0"/>
    <n v="0"/>
    <n v="0"/>
    <n v="1"/>
    <n v="2.3501762632197401E-2"/>
    <n v="20000000"/>
    <n v="8.5099999999999995E-2"/>
    <x v="3"/>
    <s v="Todo bien"/>
    <x v="2"/>
    <x v="0"/>
    <n v="1023.7373699177433"/>
    <x v="1"/>
    <x v="2"/>
    <s v="Pequeña"/>
    <x v="2"/>
    <n v="2350.1762632197415"/>
  </r>
  <r>
    <s v="The Close South"/>
    <x v="27"/>
    <n v="12810"/>
    <n v="3"/>
    <x v="3"/>
    <x v="1"/>
    <s v=" Nirvana Country"/>
    <n v="0"/>
    <n v="0"/>
    <n v="4"/>
    <n v="4"/>
    <n v="3"/>
    <x v="1"/>
    <n v="22"/>
    <n v="1"/>
    <n v="0"/>
    <n v="0"/>
    <n v="0"/>
    <n v="2768.4563758389263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0"/>
    <x v="1"/>
    <x v="0"/>
    <x v="0"/>
    <n v="0"/>
    <n v="5"/>
    <n v="1"/>
    <n v="4"/>
    <n v="1"/>
    <n v="0"/>
    <n v="0"/>
    <n v="1"/>
    <n v="0"/>
    <n v="1"/>
    <n v="1"/>
    <n v="0"/>
    <n v="1"/>
    <n v="1"/>
    <n v="1"/>
    <n v="3"/>
    <n v="1"/>
    <n v="0"/>
    <n v="0"/>
    <n v="0"/>
    <n v="0"/>
    <n v="0"/>
    <n v="0"/>
    <n v="1"/>
    <n v="2.5370804059328601E-2"/>
    <n v="32500000"/>
    <n v="0.12809999999999999"/>
    <x v="5"/>
    <s v="Todo bien"/>
    <x v="2"/>
    <x v="5"/>
    <n v="1105.1528613778278"/>
    <x v="1"/>
    <x v="3"/>
    <s v="Pequeña"/>
    <x v="0"/>
    <n v="2537.0804059328652"/>
  </r>
  <r>
    <s v="Hero Homes"/>
    <x v="26"/>
    <n v="7825"/>
    <n v="3"/>
    <x v="1"/>
    <x v="2"/>
    <s v=" Dwarka Expressway Gurgaon"/>
    <n v="0"/>
    <n v="0"/>
    <n v="3"/>
    <n v="1"/>
    <n v="3"/>
    <x v="1"/>
    <n v="35"/>
    <n v="0"/>
    <n v="0"/>
    <n v="0"/>
    <n v="0"/>
    <n v="2044.7284345047924"/>
    <m/>
    <n v="16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4472843450479E-2"/>
    <n v="16000000"/>
    <n v="7.825E-2"/>
    <x v="3"/>
    <s v="Todo bien"/>
    <x v="0"/>
    <x v="1"/>
    <n v="890.68421909265078"/>
    <x v="1"/>
    <x v="2"/>
    <s v="Pequeña"/>
    <x v="1"/>
    <n v="2044.7284345047924"/>
  </r>
  <r>
    <s v="Bestech Park View Residency"/>
    <x v="78"/>
    <n v="7825"/>
    <n v="3"/>
    <x v="2"/>
    <x v="5"/>
    <s v=" Palam Vihar"/>
    <n v="0"/>
    <n v="0"/>
    <n v="4"/>
    <n v="10"/>
    <n v="3"/>
    <x v="1"/>
    <n v="14"/>
    <n v="1"/>
    <n v="0"/>
    <n v="0"/>
    <n v="0"/>
    <n v="1916.9329073482429"/>
    <m/>
    <n v="1920"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693290734824E-2"/>
    <n v="15000000"/>
    <n v="7.825E-2"/>
    <x v="2"/>
    <s v="Todo bien"/>
    <x v="0"/>
    <x v="3"/>
    <n v="835.01645539935987"/>
    <x v="1"/>
    <x v="2"/>
    <s v="Pequeña"/>
    <x v="1"/>
    <n v="1916.9329073482429"/>
  </r>
  <r>
    <s v="Sobha City"/>
    <x v="162"/>
    <n v="14938"/>
    <n v="3"/>
    <x v="2"/>
    <x v="2"/>
    <s v=" Sector 108 Gurgaon"/>
    <n v="0"/>
    <n v="0"/>
    <n v="3"/>
    <n v="16"/>
    <n v="2"/>
    <x v="1"/>
    <n v="24"/>
    <n v="1"/>
    <n v="0"/>
    <n v="0"/>
    <n v="0"/>
    <n v="2510.3762217164276"/>
    <m/>
    <n v="2343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103762217164202E-2"/>
    <n v="37500000"/>
    <n v="0.14938000000000001"/>
    <x v="5"/>
    <s v="Todo bien"/>
    <x v="0"/>
    <x v="3"/>
    <n v="1093.5205120330668"/>
    <x v="1"/>
    <x v="3"/>
    <s v="Pequeña"/>
    <x v="2"/>
    <n v="2510.3762217164276"/>
  </r>
  <r>
    <s v="Bestech Park View Residency"/>
    <x v="13"/>
    <n v="6709"/>
    <n v="2"/>
    <x v="2"/>
    <x v="1"/>
    <s v=" Palam Vihar"/>
    <n v="0"/>
    <n v="0"/>
    <n v="2"/>
    <n v="10"/>
    <n v="3"/>
    <x v="0"/>
    <n v="14"/>
    <n v="0"/>
    <n v="0"/>
    <n v="0"/>
    <n v="0"/>
    <n v="1980.0411848566448"/>
    <m/>
    <m/>
    <n v="0"/>
    <n v="0"/>
    <n v="1"/>
    <n v="0"/>
    <n v="1"/>
    <n v="0"/>
    <n v="1"/>
    <n v="1"/>
    <n v="1"/>
    <n v="1"/>
    <n v="0"/>
    <n v="1"/>
    <n v="1"/>
    <n v="1"/>
    <n v="0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41600834699657E-2"/>
    <n v="9500000"/>
    <n v="6.7089999999999997E-2"/>
    <x v="1"/>
    <s v="Todo bien"/>
    <x v="1"/>
    <x v="3"/>
    <n v="616.81359122820027"/>
    <x v="1"/>
    <x v="2"/>
    <s v="Pequeña"/>
    <x v="0"/>
    <n v="1416.0083469965718"/>
  </r>
  <r>
    <s v="CGHS Rail Vihar"/>
    <x v="100"/>
    <n v="10769"/>
    <n v="4"/>
    <x v="4"/>
    <x v="1"/>
    <s v=" Sector 15 Gurgaon"/>
    <n v="0"/>
    <n v="0"/>
    <n v="3"/>
    <n v="3"/>
    <n v="3"/>
    <x v="2"/>
    <n v="8"/>
    <n v="0"/>
    <n v="0"/>
    <n v="0"/>
    <n v="0"/>
    <n v="2812.0797163467414"/>
    <m/>
    <m/>
    <n v="0"/>
    <n v="1"/>
    <n v="1"/>
    <n v="0"/>
    <n v="0"/>
    <n v="0"/>
    <n v="0"/>
    <n v="1"/>
    <n v="0"/>
    <n v="1"/>
    <n v="1"/>
    <n v="1"/>
    <n v="1"/>
    <n v="1"/>
    <n v="1"/>
    <n v="0"/>
    <n v="0"/>
    <n v="36"/>
    <x v="0"/>
    <x v="0"/>
    <x v="0"/>
    <x v="0"/>
    <x v="0"/>
    <x v="0"/>
    <x v="1"/>
    <x v="0"/>
    <x v="0"/>
    <n v="1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3000278577398E-2"/>
    <n v="14000000"/>
    <n v="0.10768999999999999"/>
    <x v="2"/>
    <s v="Todo bien"/>
    <x v="1"/>
    <x v="3"/>
    <n v="566.29246100844637"/>
    <x v="1"/>
    <x v="3"/>
    <s v="Pequeña"/>
    <x v="0"/>
    <n v="1300.0278577398087"/>
  </r>
  <r>
    <s v="DLF The Skycourt"/>
    <x v="163"/>
    <n v="8087"/>
    <n v="3"/>
    <x v="6"/>
    <x v="0"/>
    <s v=" Sector 86 Gurgaon"/>
    <n v="0"/>
    <n v="0"/>
    <n v="4"/>
    <n v="17"/>
    <n v="3"/>
    <x v="1"/>
    <n v="19"/>
    <n v="0"/>
    <n v="0"/>
    <n v="0"/>
    <n v="1"/>
    <n v="2408.1878386514149"/>
    <n v="158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218869791001E-2"/>
    <n v="15600000"/>
    <n v="8.0869999999999997E-2"/>
    <x v="3"/>
    <s v="Todo bien"/>
    <x v="0"/>
    <x v="5"/>
    <n v="840.28241795968745"/>
    <x v="1"/>
    <x v="2"/>
    <s v="Mediana"/>
    <x v="1"/>
    <n v="1929.0218869791024"/>
  </r>
  <r>
    <s v="Emaar Gurgaon Greens"/>
    <x v="12"/>
    <n v="8181"/>
    <n v="3"/>
    <x v="2"/>
    <x v="0"/>
    <s v=" Sector 102 Gurgaon"/>
    <n v="0"/>
    <n v="0"/>
    <n v="3"/>
    <n v="9"/>
    <n v="3"/>
    <x v="1"/>
    <n v="14"/>
    <n v="1"/>
    <n v="0"/>
    <n v="0"/>
    <n v="0"/>
    <n v="1735.2185089974294"/>
    <m/>
    <n v="165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3500000"/>
    <n v="8.1809999999999994E-2"/>
    <x v="2"/>
    <s v="Todo bien"/>
    <x v="1"/>
    <x v="4"/>
    <n v="718.81229521452144"/>
    <x v="1"/>
    <x v="2"/>
    <s v="Pequeña"/>
    <x v="1"/>
    <n v="1650.1650165016504"/>
  </r>
  <r>
    <s v="Shapoorji Pallonji Joyville Gurugram"/>
    <x v="100"/>
    <n v="10378"/>
    <n v="2"/>
    <x v="2"/>
    <x v="2"/>
    <s v=" Sector 102 Gurgaon"/>
    <n v="0"/>
    <n v="0"/>
    <n v="2"/>
    <n v="11"/>
    <n v="2"/>
    <x v="0"/>
    <n v="26"/>
    <n v="0"/>
    <n v="0"/>
    <n v="0"/>
    <n v="0"/>
    <n v="1395.0487863881945"/>
    <m/>
    <n v="134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3"/>
    <n v="1"/>
    <n v="0"/>
    <n v="0"/>
    <n v="0"/>
    <n v="1"/>
    <n v="2"/>
    <n v="1"/>
    <n v="0"/>
    <n v="0"/>
    <n v="0"/>
    <n v="0"/>
    <n v="0"/>
    <n v="0"/>
    <n v="2"/>
    <n v="1.34900751589901E-2"/>
    <n v="14000000"/>
    <n v="0.10378"/>
    <x v="2"/>
    <s v="Todo bien"/>
    <x v="1"/>
    <x v="1"/>
    <n v="587.62801239159455"/>
    <x v="1"/>
    <x v="2"/>
    <s v="Pequeña"/>
    <x v="1"/>
    <n v="1349.0075158990171"/>
  </r>
  <r>
    <s v="DLF Regency Park "/>
    <x v="164"/>
    <n v="13696"/>
    <n v="3"/>
    <x v="4"/>
    <x v="1"/>
    <s v=" DLF Phase 4"/>
    <n v="0"/>
    <n v="0"/>
    <n v="3"/>
    <n v="19"/>
    <n v="2"/>
    <x v="1"/>
    <n v="20"/>
    <n v="1"/>
    <n v="0"/>
    <n v="0"/>
    <n v="0"/>
    <n v="1975.051975051975"/>
    <n v="1700"/>
    <n v="1777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168224299E-2"/>
    <n v="22600000"/>
    <n v="0.13696"/>
    <x v="3"/>
    <s v="Todo bien"/>
    <x v="0"/>
    <x v="4"/>
    <n v="718.79130186477516"/>
    <x v="1"/>
    <x v="2"/>
    <s v="Mediana"/>
    <x v="1"/>
    <n v="1650.1168224299065"/>
  </r>
  <r>
    <s v="Eldeco Accolade"/>
    <x v="56"/>
    <n v="8043"/>
    <n v="2"/>
    <x v="5"/>
    <x v="2"/>
    <s v=" Sector-33 Sohna"/>
    <n v="0"/>
    <n v="0"/>
    <n v="2"/>
    <n v="0"/>
    <n v="2"/>
    <x v="0"/>
    <n v="16"/>
    <n v="0"/>
    <n v="1"/>
    <n v="0"/>
    <n v="0"/>
    <n v="1650.0440011733644"/>
    <n v="1492"/>
    <m/>
    <n v="0"/>
    <n v="0"/>
    <n v="0"/>
    <n v="0"/>
    <n v="0"/>
    <n v="0"/>
    <n v="0"/>
    <n v="1"/>
    <n v="1"/>
    <n v="1"/>
    <n v="0"/>
    <n v="1"/>
    <n v="1"/>
    <n v="0"/>
    <n v="1"/>
    <n v="1"/>
    <n v="1"/>
    <n v="2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1"/>
    <n v="649.9071255501658"/>
    <x v="1"/>
    <x v="2"/>
    <s v="Mediana"/>
    <x v="0"/>
    <n v="1491.9806042521448"/>
  </r>
  <r>
    <s v="BPTP Terra"/>
    <x v="165"/>
    <n v="10000"/>
    <n v="4"/>
    <x v="2"/>
    <x v="2"/>
    <s v=" Sector 37D Gurgaon"/>
    <n v="0"/>
    <n v="0"/>
    <n v="4"/>
    <n v="0"/>
    <n v="3"/>
    <x v="2"/>
    <n v="23"/>
    <n v="1"/>
    <n v="1"/>
    <n v="1"/>
    <n v="0"/>
    <n v="2080"/>
    <m/>
    <n v="2443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799999999999999E-2"/>
    <n v="20800000"/>
    <n v="0.1"/>
    <x v="3"/>
    <s v="Todo bien"/>
    <x v="1"/>
    <x v="5"/>
    <n v="906.04852187200004"/>
    <x v="1"/>
    <x v="2"/>
    <s v="Pequeña"/>
    <x v="2"/>
    <n v="2080"/>
  </r>
  <r>
    <s v="SS The Leaf"/>
    <x v="68"/>
    <n v="7267"/>
    <n v="3"/>
    <x v="5"/>
    <x v="0"/>
    <s v=" Sector 85 Gurgaon"/>
    <n v="0"/>
    <n v="0"/>
    <n v="4"/>
    <n v="8"/>
    <n v="3"/>
    <x v="1"/>
    <n v="26"/>
    <n v="1"/>
    <n v="0"/>
    <n v="0"/>
    <n v="0"/>
    <n v="2408.146415302050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464153020499E-2"/>
    <n v="17500000"/>
    <n v="7.2669999999999998E-2"/>
    <x v="3"/>
    <s v="Todo bien"/>
    <x v="0"/>
    <x v="1"/>
    <n v="1048.9891827095087"/>
    <x v="1"/>
    <x v="2"/>
    <s v="Pequeña"/>
    <x v="2"/>
    <n v="2408.1464153020506"/>
  </r>
  <r>
    <s v="Ireo Victory Valley"/>
    <x v="166"/>
    <n v="11832"/>
    <n v="3"/>
    <x v="4"/>
    <x v="0"/>
    <s v=" Sector 67 Gurgaon"/>
    <n v="0"/>
    <n v="0"/>
    <n v="3"/>
    <n v="4"/>
    <n v="3"/>
    <x v="1"/>
    <n v="11"/>
    <n v="1"/>
    <n v="0"/>
    <n v="0"/>
    <n v="0"/>
    <n v="2010.0502512562814"/>
    <n v="2200"/>
    <n v="2527"/>
    <n v="0"/>
    <n v="0"/>
    <n v="0"/>
    <n v="1"/>
    <n v="0"/>
    <n v="0"/>
    <n v="0"/>
    <n v="1"/>
    <n v="0"/>
    <n v="1"/>
    <n v="1"/>
    <n v="0"/>
    <n v="1"/>
    <n v="0"/>
    <n v="1"/>
    <n v="0"/>
    <n v="0"/>
    <n v="21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2704530087897E-2"/>
    <n v="29900000"/>
    <n v="0.11831999999999999"/>
    <x v="5"/>
    <s v="Todo bien"/>
    <x v="1"/>
    <x v="1"/>
    <n v="1100.7815670985453"/>
    <x v="1"/>
    <x v="2"/>
    <s v="Grande"/>
    <x v="2"/>
    <n v="2527.0453008789723"/>
  </r>
  <r>
    <s v="Emaar Digihomes"/>
    <x v="69"/>
    <n v="14254"/>
    <n v="2"/>
    <x v="5"/>
    <x v="2"/>
    <s v=" Sector 62 Gurgaon"/>
    <n v="0"/>
    <n v="0"/>
    <n v="2"/>
    <n v="30"/>
    <n v="2"/>
    <x v="0"/>
    <n v="32"/>
    <n v="1"/>
    <n v="0"/>
    <n v="0"/>
    <n v="0"/>
    <n v="1473.2706608671251"/>
    <m/>
    <n v="1508.26"/>
    <n v="1"/>
    <n v="0"/>
    <n v="0"/>
    <n v="0"/>
    <n v="0"/>
    <n v="0"/>
    <n v="0"/>
    <n v="1"/>
    <n v="1"/>
    <n v="1"/>
    <n v="1"/>
    <n v="1"/>
    <n v="1"/>
    <n v="0"/>
    <n v="0"/>
    <n v="1"/>
    <n v="1"/>
    <n v="29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1.47327066086712E-2"/>
    <n v="21000000"/>
    <n v="0.14254"/>
    <x v="3"/>
    <s v="Todo bien"/>
    <x v="0"/>
    <x v="1"/>
    <n v="641.75706951732639"/>
    <x v="1"/>
    <x v="2"/>
    <s v="Pequeña"/>
    <x v="1"/>
    <n v="1473.2706608671251"/>
  </r>
  <r>
    <s v="Ireo Victory Valley"/>
    <x v="167"/>
    <n v="11903"/>
    <n v="3"/>
    <x v="7"/>
    <x v="0"/>
    <s v=" Sector 67 Gurgaon"/>
    <n v="0"/>
    <n v="0"/>
    <n v="3"/>
    <n v="16"/>
    <n v="3"/>
    <x v="1"/>
    <n v="51"/>
    <n v="1"/>
    <n v="0"/>
    <n v="0"/>
    <n v="0"/>
    <n v="1578.0730897009967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568512139699E-2"/>
    <n v="28700000"/>
    <n v="0.11903"/>
    <x v="5"/>
    <s v="Todo bien"/>
    <x v="1"/>
    <x v="5"/>
    <n v="1050.3005293480594"/>
    <x v="1"/>
    <x v="2"/>
    <s v="Pequeña"/>
    <x v="2"/>
    <n v="2411.1568512139797"/>
  </r>
  <r>
    <s v="DLF Regency Park "/>
    <x v="168"/>
    <n v="13224"/>
    <n v="3"/>
    <x v="2"/>
    <x v="1"/>
    <s v=" DLF Phase 4"/>
    <n v="0"/>
    <n v="0"/>
    <n v="3"/>
    <n v="18"/>
    <n v="2"/>
    <x v="1"/>
    <n v="21"/>
    <n v="1"/>
    <n v="0"/>
    <n v="0"/>
    <n v="0"/>
    <n v="1777.0719903206293"/>
    <m/>
    <n v="1777"/>
    <n v="1"/>
    <n v="1"/>
    <n v="1"/>
    <n v="1"/>
    <n v="0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1"/>
    <x v="1"/>
    <x v="1"/>
    <x v="0"/>
    <n v="1"/>
    <n v="0"/>
    <n v="0"/>
    <n v="5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7770719903206202E-2"/>
    <n v="23500000"/>
    <n v="0.13224"/>
    <x v="3"/>
    <s v="Todo bien"/>
    <x v="1"/>
    <x v="4"/>
    <n v="774.0930048510246"/>
    <x v="1"/>
    <x v="2"/>
    <s v="Pequeña"/>
    <x v="1"/>
    <n v="1777.0719903206293"/>
  </r>
  <r>
    <s v="lagoon apartment"/>
    <x v="101"/>
    <n v="12000"/>
    <n v="3"/>
    <x v="1"/>
    <x v="5"/>
    <s v=" Ambience Island"/>
    <n v="0"/>
    <n v="0"/>
    <n v="4"/>
    <n v="2"/>
    <n v="3"/>
    <x v="1"/>
    <n v="10"/>
    <n v="0"/>
    <n v="0"/>
    <n v="0"/>
    <n v="0"/>
    <n v="2150.1523024547573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30000000"/>
    <n v="0.12"/>
    <x v="5"/>
    <s v="Todo bien"/>
    <x v="0"/>
    <x v="2"/>
    <n v="1089.0006272500002"/>
    <x v="1"/>
    <x v="2"/>
    <s v="Pequeña"/>
    <x v="0"/>
    <n v="2500"/>
  </r>
  <r>
    <s v="lagoon apartment"/>
    <x v="169"/>
    <n v="13636"/>
    <n v="4"/>
    <x v="1"/>
    <x v="5"/>
    <s v=" Ambience Island"/>
    <n v="0"/>
    <n v="0"/>
    <n v="6"/>
    <n v="7"/>
    <n v="3"/>
    <x v="2"/>
    <n v="10"/>
    <n v="0"/>
    <n v="0"/>
    <n v="0"/>
    <n v="0"/>
    <n v="2251.4868309260833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001173364623003E-2"/>
    <n v="60000000"/>
    <n v="0.13636000000000001"/>
    <x v="4"/>
    <s v="Todo bien"/>
    <x v="0"/>
    <x v="2"/>
    <n v="1916.692215752418"/>
    <x v="3"/>
    <x v="2"/>
    <s v="Pequeña"/>
    <x v="0"/>
    <n v="4400.1173364623055"/>
  </r>
  <r>
    <s v="Emaar MGF Emerald Floors Premier"/>
    <x v="168"/>
    <n v="14242"/>
    <n v="3"/>
    <x v="6"/>
    <x v="0"/>
    <s v=" Sector 65 Gurgaon"/>
    <n v="0"/>
    <n v="0"/>
    <n v="3"/>
    <n v="2"/>
    <n v="3"/>
    <x v="1"/>
    <n v="4"/>
    <n v="1"/>
    <n v="1"/>
    <n v="0"/>
    <n v="0"/>
    <n v="583.04181242711979"/>
    <n v="1650"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x v="3"/>
    <s v="Todo bien"/>
    <x v="0"/>
    <x v="5"/>
    <n v="718.76182391166776"/>
    <x v="1"/>
    <x v="1"/>
    <s v="Mediana"/>
    <x v="0"/>
    <n v="1650.0491504002248"/>
  </r>
  <r>
    <s v="Indiabulls Centrum Park"/>
    <x v="49"/>
    <n v="5681"/>
    <n v="3"/>
    <x v="2"/>
    <x v="0"/>
    <s v=" Sector 103 Gurgaon"/>
    <n v="0"/>
    <n v="0"/>
    <n v="4"/>
    <n v="10"/>
    <n v="3"/>
    <x v="1"/>
    <n v="10"/>
    <n v="1"/>
    <n v="1"/>
    <n v="1"/>
    <n v="0"/>
    <n v="1366.03539273517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3.3444816053511697E-2"/>
    <n v="19000000"/>
    <n v="5.6809999999999999E-2"/>
    <x v="3"/>
    <s v="Todo bien"/>
    <x v="1"/>
    <x v="1"/>
    <n v="1456.8570264214045"/>
    <x v="1"/>
    <x v="2"/>
    <s v="Pequeña"/>
    <x v="0"/>
    <n v="3344.4816053511704"/>
  </r>
  <r>
    <s v="Orris Carnation Residency"/>
    <x v="108"/>
    <n v="4881"/>
    <n v="3"/>
    <x v="0"/>
    <x v="5"/>
    <s v=" Sector 85 Gurgaon"/>
    <n v="0"/>
    <n v="0"/>
    <n v="3"/>
    <n v="9"/>
    <n v="2"/>
    <x v="1"/>
    <n v="12"/>
    <n v="0"/>
    <n v="0"/>
    <n v="0"/>
    <n v="0"/>
    <n v="5350.2639463546866"/>
    <n v="1350"/>
    <n v="14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51075599262401E-2"/>
    <n v="7200000"/>
    <n v="4.8809999999999999E-2"/>
    <x v="1"/>
    <s v="Todo bien"/>
    <x v="0"/>
    <x v="1"/>
    <n v="642.55722320835696"/>
    <x v="1"/>
    <x v="3"/>
    <s v="Mediana"/>
    <x v="1"/>
    <n v="1475.1075599262447"/>
  </r>
  <r>
    <s v="Sbr minda sec  imt manesar"/>
    <x v="53"/>
    <n v="4259"/>
    <n v="3"/>
    <x v="8"/>
    <x v="5"/>
    <s v=" Sector 1A IMT Manesar"/>
    <n v="0"/>
    <n v="0"/>
    <n v="2"/>
    <n v="6"/>
    <n v="3"/>
    <x v="1"/>
    <n v="10"/>
    <n v="0"/>
    <n v="0"/>
    <n v="0"/>
    <n v="0"/>
    <n v="1435.206334703822"/>
    <m/>
    <m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17985442592E-2"/>
    <n v="6500000"/>
    <n v="4.2590000000000003E-2"/>
    <x v="1"/>
    <s v="Todo bien"/>
    <x v="0"/>
    <x v="2"/>
    <n v="664.80432750645627"/>
    <x v="1"/>
    <x v="2"/>
    <s v="Pequeña"/>
    <x v="0"/>
    <n v="1526.1798544259216"/>
  </r>
  <r>
    <s v="DLF The Ultima"/>
    <x v="170"/>
    <n v="11185"/>
    <n v="3"/>
    <x v="3"/>
    <x v="0"/>
    <s v=" Sector 81 Gurgaon"/>
    <n v="0"/>
    <n v="0"/>
    <n v="4"/>
    <n v="14"/>
    <n v="3"/>
    <x v="1"/>
    <n v="29"/>
    <n v="1"/>
    <n v="0"/>
    <n v="0"/>
    <n v="0"/>
    <n v="1300.0645994832041"/>
    <n v="176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2.0920876173446502E-2"/>
    <n v="23400000"/>
    <n v="0.11185"/>
    <x v="3"/>
    <s v="Todo bien"/>
    <x v="2"/>
    <x v="5"/>
    <n v="911.31389102011292"/>
    <x v="1"/>
    <x v="2"/>
    <s v="Mediana"/>
    <x v="2"/>
    <n v="2092.0876173446582"/>
  </r>
  <r>
    <s v="MM Capital"/>
    <x v="171"/>
    <n v="15575"/>
    <n v="4"/>
    <x v="4"/>
    <x v="3"/>
    <s v=" Sector 113 Gurgaon"/>
    <n v="0"/>
    <n v="0"/>
    <n v="5"/>
    <n v="25"/>
    <n v="3"/>
    <x v="2"/>
    <n v="36"/>
    <n v="0"/>
    <n v="1"/>
    <n v="0"/>
    <n v="0"/>
    <n v="2167.8103555832813"/>
    <n v="2060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1"/>
    <n v="1"/>
    <n v="0"/>
    <n v="0"/>
    <n v="1"/>
    <n v="1"/>
    <n v="0"/>
    <n v="0"/>
    <n v="1"/>
    <n v="1"/>
    <n v="0"/>
    <n v="1"/>
    <n v="1"/>
    <n v="1"/>
    <n v="1"/>
    <n v="1"/>
    <n v="0"/>
    <n v="0"/>
    <n v="0"/>
    <n v="0"/>
    <n v="0"/>
    <n v="0"/>
    <n v="2"/>
    <n v="1.65008025682182E-2"/>
    <n v="25700000"/>
    <n v="0.15575"/>
    <x v="5"/>
    <s v="Todo bien"/>
    <x v="1"/>
    <x v="4"/>
    <n v="718.77537387672123"/>
    <x v="1"/>
    <x v="2"/>
    <s v="Grande"/>
    <x v="0"/>
    <n v="1650.0802568218298"/>
  </r>
  <r>
    <s v="BPTP Terra"/>
    <x v="125"/>
    <n v="7804"/>
    <n v="3"/>
    <x v="6"/>
    <x v="0"/>
    <s v=" Sector 37D Gurgaon"/>
    <n v="0"/>
    <n v="0"/>
    <n v="3"/>
    <n v="7"/>
    <n v="3"/>
    <x v="1"/>
    <n v="23"/>
    <n v="0"/>
    <n v="1"/>
    <n v="0"/>
    <n v="0"/>
    <n v="2191.1840082009226"/>
    <n v="2191"/>
    <m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18400820092E-2"/>
    <n v="17100000"/>
    <n v="7.8039999999999998E-2"/>
    <x v="3"/>
    <s v="Todo bien"/>
    <x v="0"/>
    <x v="2"/>
    <n v="954.48030374038842"/>
    <x v="1"/>
    <x v="2"/>
    <s v="Grande"/>
    <x v="0"/>
    <n v="2191.1840082009226"/>
  </r>
  <r>
    <s v="Indiabulls Enigma"/>
    <x v="172"/>
    <n v="9895"/>
    <n v="5"/>
    <x v="6"/>
    <x v="0"/>
    <s v=" Sector 110 Gurgaon"/>
    <n v="0"/>
    <n v="0"/>
    <n v="5"/>
    <n v="4"/>
    <n v="3"/>
    <x v="4"/>
    <n v="14"/>
    <n v="1"/>
    <n v="0"/>
    <n v="0"/>
    <n v="0"/>
    <n v="3830.2172814552805"/>
    <m/>
    <n v="383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302172814552803E-2"/>
    <n v="37900000"/>
    <n v="9.8949999999999996E-2"/>
    <x v="5"/>
    <s v="Todo bien"/>
    <x v="1"/>
    <x v="5"/>
    <n v="1668.4436088034361"/>
    <x v="3"/>
    <x v="3"/>
    <s v="Pequeña"/>
    <x v="3"/>
    <n v="3830.2172814552805"/>
  </r>
  <r>
    <s v="The Lions CGHS"/>
    <x v="111"/>
    <n v="7884"/>
    <n v="4"/>
    <x v="0"/>
    <x v="1"/>
    <s v=" Sector 56 Gurgaon"/>
    <n v="0"/>
    <n v="0"/>
    <n v="4"/>
    <n v="7"/>
    <n v="3"/>
    <x v="2"/>
    <n v="9"/>
    <n v="0"/>
    <n v="0"/>
    <n v="0"/>
    <n v="1"/>
    <n v="1430.0050175614651"/>
    <n v="2600"/>
    <m/>
    <n v="1"/>
    <n v="1"/>
    <n v="1"/>
    <n v="1"/>
    <n v="1"/>
    <n v="0"/>
    <n v="1"/>
    <n v="1"/>
    <n v="1"/>
    <n v="1"/>
    <n v="0"/>
    <n v="1"/>
    <n v="1"/>
    <n v="1"/>
    <n v="1"/>
    <n v="0"/>
    <n v="1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002029426686901E-2"/>
    <n v="20500000"/>
    <n v="7.8839999999999993E-2"/>
    <x v="3"/>
    <s v="Todo bien"/>
    <x v="1"/>
    <x v="3"/>
    <n v="1132.6490542173997"/>
    <x v="1"/>
    <x v="2"/>
    <s v="Muy grande"/>
    <x v="0"/>
    <n v="2600.2029426686963"/>
  </r>
  <r>
    <s v="MM Golfestate"/>
    <x v="173"/>
    <n v="17455"/>
    <n v="3"/>
    <x v="5"/>
    <x v="0"/>
    <s v=" Sector 65 Gurgaon"/>
    <n v="0"/>
    <n v="0"/>
    <n v="3"/>
    <n v="18"/>
    <n v="3"/>
    <x v="1"/>
    <n v="32"/>
    <n v="1"/>
    <n v="1"/>
    <n v="0"/>
    <n v="0"/>
    <n v="2979.0890862217129"/>
    <m/>
    <n v="2979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7908908622171E-2"/>
    <n v="52000000"/>
    <n v="0.17455000000000001"/>
    <x v="4"/>
    <s v="Todo bien"/>
    <x v="1"/>
    <x v="3"/>
    <n v="1297.6919534116287"/>
    <x v="1"/>
    <x v="3"/>
    <s v="Pequeña"/>
    <x v="2"/>
    <n v="2979.0890862217129"/>
  </r>
  <r>
    <s v="Emaar MGF The Palm Drive"/>
    <x v="34"/>
    <n v="17777"/>
    <n v="3"/>
    <x v="6"/>
    <x v="0"/>
    <s v=" Sector 66 Gurgaon"/>
    <n v="0"/>
    <n v="0"/>
    <n v="3"/>
    <n v="12"/>
    <n v="3"/>
    <x v="1"/>
    <n v="17"/>
    <n v="1"/>
    <n v="1"/>
    <n v="1"/>
    <n v="1"/>
    <n v="1245.1823302697894"/>
    <m/>
    <n v="2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000787534454599E-2"/>
    <n v="32000000"/>
    <n v="0.17777000000000001"/>
    <x v="5"/>
    <s v="Todo bien"/>
    <x v="1"/>
    <x v="5"/>
    <n v="784.11475664060163"/>
    <x v="1"/>
    <x v="2"/>
    <s v="Pequeña"/>
    <x v="2"/>
    <n v="1800.0787534454632"/>
  </r>
  <r>
    <s v="AFNHB Jalvayu Vihar"/>
    <x v="174"/>
    <n v="7272"/>
    <n v="2"/>
    <x v="2"/>
    <x v="1"/>
    <s v=" Sector 30 Gurgaon"/>
    <n v="0"/>
    <n v="0"/>
    <n v="2"/>
    <n v="3"/>
    <n v="1"/>
    <x v="0"/>
    <n v="4"/>
    <n v="0"/>
    <n v="0"/>
    <n v="0"/>
    <n v="0"/>
    <n v="948.84488448844877"/>
    <m/>
    <n v="990"/>
    <n v="1"/>
    <n v="0"/>
    <n v="0"/>
    <n v="0"/>
    <n v="0"/>
    <n v="0"/>
    <n v="1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884488448844003E-3"/>
    <n v="6900000"/>
    <n v="7.2720000000000007E-2"/>
    <x v="1"/>
    <s v="Todo bien"/>
    <x v="0"/>
    <x v="0"/>
    <n v="413.317069748346"/>
    <x v="0"/>
    <x v="0"/>
    <s v="Pequeña"/>
    <x v="0"/>
    <n v="948.84488448844877"/>
  </r>
  <r>
    <s v="Experion Windchants"/>
    <x v="162"/>
    <n v="13383"/>
    <n v="3"/>
    <x v="0"/>
    <x v="0"/>
    <s v=" Sector 112 Gurgaon"/>
    <n v="0"/>
    <n v="0"/>
    <n v="3"/>
    <n v="21"/>
    <n v="2"/>
    <x v="1"/>
    <n v="28"/>
    <n v="1"/>
    <n v="0"/>
    <n v="0"/>
    <n v="0"/>
    <n v="2802.0623178659494"/>
    <n v="2225.56"/>
    <n v="280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20623178659401E-2"/>
    <n v="37500000"/>
    <n v="0.13383"/>
    <x v="5"/>
    <s v="Todo bien"/>
    <x v="1"/>
    <x v="5"/>
    <n v="1220.5790486998392"/>
    <x v="1"/>
    <x v="3"/>
    <s v="Grande"/>
    <x v="2"/>
    <n v="2802.0623178659494"/>
  </r>
  <r>
    <s v="Experion Windchants"/>
    <x v="141"/>
    <n v="12312"/>
    <n v="3"/>
    <x v="8"/>
    <x v="0"/>
    <s v=" Sector 112 Gurgaon"/>
    <n v="0"/>
    <n v="0"/>
    <n v="4"/>
    <n v="14"/>
    <n v="3"/>
    <x v="1"/>
    <n v="28"/>
    <n v="1"/>
    <n v="0"/>
    <n v="0"/>
    <n v="0"/>
    <n v="2964.5873944119558"/>
    <n v="2225.56"/>
    <n v="28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9645873944119501E-2"/>
    <n v="36500000"/>
    <n v="0.12311999999999999"/>
    <x v="5"/>
    <s v="Todo bien"/>
    <x v="1"/>
    <x v="5"/>
    <n v="1291.3750128208228"/>
    <x v="1"/>
    <x v="3"/>
    <s v="Grande"/>
    <x v="2"/>
    <n v="2964.5873944119558"/>
  </r>
  <r>
    <s v="Experion Windchants"/>
    <x v="175"/>
    <n v="11584"/>
    <n v="4"/>
    <x v="8"/>
    <x v="0"/>
    <s v=" Sector 112 Gurgaon"/>
    <n v="0"/>
    <n v="0"/>
    <n v="5"/>
    <n v="5"/>
    <n v="3"/>
    <x v="2"/>
    <n v="25"/>
    <n v="1"/>
    <n v="0"/>
    <n v="0"/>
    <n v="0"/>
    <n v="4739.2955801104972"/>
    <n v="3655.35"/>
    <n v="473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7"/>
    <n v="1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7392955801104898E-2"/>
    <n v="54900000"/>
    <n v="0.11584"/>
    <x v="4"/>
    <s v="Todo bien"/>
    <x v="1"/>
    <x v="5"/>
    <n v="2064.4383437853908"/>
    <x v="3"/>
    <x v="3"/>
    <s v="Muy grande"/>
    <x v="3"/>
    <n v="4739.2955801104972"/>
  </r>
  <r>
    <s v="Antriksh Heights"/>
    <x v="16"/>
    <n v="5011"/>
    <n v="4"/>
    <x v="5"/>
    <x v="2"/>
    <s v=" Sector 84 Gurgaon"/>
    <n v="0"/>
    <n v="0"/>
    <n v="4"/>
    <n v="3"/>
    <n v="3"/>
    <x v="2"/>
    <n v="19"/>
    <n v="0"/>
    <n v="1"/>
    <n v="0"/>
    <n v="0"/>
    <n v="2095.3901416882859"/>
    <m/>
    <n v="209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9014168828E-2"/>
    <n v="10500000"/>
    <n v="5.0110000000000002E-2"/>
    <x v="2"/>
    <s v="Todo bien"/>
    <x v="0"/>
    <x v="1"/>
    <n v="912.75247145280139"/>
    <x v="1"/>
    <x v="2"/>
    <s v="Pequeña"/>
    <x v="2"/>
    <n v="2095.3901416882859"/>
  </r>
  <r>
    <s v="Sobha City"/>
    <x v="84"/>
    <n v="13266"/>
    <n v="3"/>
    <x v="1"/>
    <x v="2"/>
    <s v=" Sector 108 Gurgaon"/>
    <n v="0"/>
    <n v="0"/>
    <n v="4"/>
    <n v="19"/>
    <n v="2"/>
    <x v="1"/>
    <n v="24"/>
    <n v="0"/>
    <n v="0"/>
    <n v="0"/>
    <n v="0"/>
    <n v="2525.2525252525252"/>
    <m/>
    <n v="2072.9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2525252525252E-2"/>
    <n v="33500000"/>
    <n v="0.13266"/>
    <x v="5"/>
    <s v="Todo bien"/>
    <x v="0"/>
    <x v="4"/>
    <n v="1100.0006335858563"/>
    <x v="1"/>
    <x v="3"/>
    <s v="Pequeña"/>
    <x v="2"/>
    <n v="2525.2525252525252"/>
  </r>
  <r>
    <s v="Unitech Uniworld Gardens"/>
    <x v="92"/>
    <n v="11505"/>
    <n v="3"/>
    <x v="1"/>
    <x v="5"/>
    <s v=" Sector 47 Gurgaon"/>
    <n v="0"/>
    <n v="0"/>
    <n v="3"/>
    <n v="10"/>
    <n v="3"/>
    <x v="1"/>
    <n v="14"/>
    <n v="1"/>
    <n v="0"/>
    <n v="0"/>
    <n v="0"/>
    <n v="2086.0495436766623"/>
    <m/>
    <n v="2086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860495436766598E-2"/>
    <n v="24000000"/>
    <n v="0.11505"/>
    <x v="3"/>
    <s v="Todo bien"/>
    <x v="1"/>
    <x v="4"/>
    <n v="908.68370461538359"/>
    <x v="1"/>
    <x v="2"/>
    <s v="Pequeña"/>
    <x v="2"/>
    <n v="2086.0495436766623"/>
  </r>
  <r>
    <s v="Park Royal Apartment"/>
    <x v="125"/>
    <n v="7600"/>
    <n v="3"/>
    <x v="2"/>
    <x v="5"/>
    <s v=" Sector 56 Gurgaon"/>
    <n v="0"/>
    <n v="0"/>
    <n v="3"/>
    <n v="5"/>
    <n v="3"/>
    <x v="1"/>
    <n v="9"/>
    <n v="1"/>
    <n v="0"/>
    <n v="0"/>
    <n v="0"/>
    <n v="1640.0164001640017"/>
    <n v="2251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499999999999999E-2"/>
    <n v="17100000"/>
    <n v="7.5999999999999998E-2"/>
    <x v="3"/>
    <s v="Todo bien"/>
    <x v="1"/>
    <x v="4"/>
    <n v="980.10056452499998"/>
    <x v="1"/>
    <x v="2"/>
    <s v="Grande"/>
    <x v="0"/>
    <n v="2250"/>
  </r>
  <r>
    <s v="Elan The Presidential"/>
    <x v="176"/>
    <n v="15384"/>
    <n v="5"/>
    <x v="2"/>
    <x v="3"/>
    <s v=" Sector 106 Gurgaon"/>
    <n v="0"/>
    <n v="0"/>
    <n v="6"/>
    <n v="10"/>
    <n v="3"/>
    <x v="4"/>
    <n v="30"/>
    <n v="0"/>
    <n v="0"/>
    <n v="0"/>
    <n v="0"/>
    <n v="2812.2956180510137"/>
    <m/>
    <n v="4095"/>
    <n v="1"/>
    <n v="1"/>
    <n v="1"/>
    <n v="0"/>
    <n v="0"/>
    <n v="0"/>
    <n v="0"/>
    <n v="1"/>
    <n v="1"/>
    <n v="0"/>
    <n v="1"/>
    <n v="0"/>
    <n v="1"/>
    <n v="0"/>
    <n v="1"/>
    <n v="1"/>
    <n v="1"/>
    <n v="31"/>
    <x v="0"/>
    <x v="0"/>
    <x v="1"/>
    <x v="1"/>
    <x v="1"/>
    <x v="1"/>
    <x v="1"/>
    <x v="0"/>
    <x v="0"/>
    <n v="0"/>
    <n v="7"/>
    <n v="1"/>
    <n v="5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4.09516380655226E-2"/>
    <n v="63000000"/>
    <n v="0.15384"/>
    <x v="6"/>
    <s v="Todo bien"/>
    <x v="1"/>
    <x v="3"/>
    <n v="1783.8543816107635"/>
    <x v="3"/>
    <x v="3"/>
    <s v="Pequeña"/>
    <x v="3"/>
    <n v="4095.163806552262"/>
  </r>
  <r>
    <s v="Raheja Atharva"/>
    <x v="18"/>
    <n v="9490"/>
    <n v="3"/>
    <x v="5"/>
    <x v="5"/>
    <s v=" Sector 109 Gurgaon"/>
    <n v="0"/>
    <n v="0"/>
    <n v="3"/>
    <n v="7"/>
    <n v="2"/>
    <x v="1"/>
    <n v="14"/>
    <n v="1"/>
    <n v="0"/>
    <n v="0"/>
    <n v="0"/>
    <n v="1970.2176403207332"/>
    <m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3182297154899799E-2"/>
    <n v="22000000.000000004"/>
    <n v="9.4899999999999998E-2"/>
    <x v="3"/>
    <s v="Todo bien"/>
    <x v="0"/>
    <x v="4"/>
    <n v="1009.8214457112709"/>
    <x v="1"/>
    <x v="2"/>
    <s v="Pequeña"/>
    <x v="0"/>
    <n v="2318.2297154899898"/>
  </r>
  <r>
    <s v="Indiabulls Enigma"/>
    <x v="27"/>
    <n v="9558"/>
    <n v="4"/>
    <x v="8"/>
    <x v="0"/>
    <s v=" Sector 110 Gurgaon"/>
    <n v="0"/>
    <n v="0"/>
    <n v="4"/>
    <n v="11"/>
    <n v="3"/>
    <x v="2"/>
    <n v="20"/>
    <n v="1"/>
    <n v="0"/>
    <n v="0"/>
    <n v="0"/>
    <n v="3400.2929483155472"/>
    <m/>
    <n v="34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929483155399E-2"/>
    <n v="32500000"/>
    <n v="9.5579999999999998E-2"/>
    <x v="5"/>
    <s v="Todo bien"/>
    <x v="1"/>
    <x v="5"/>
    <n v="1481.16846141975"/>
    <x v="1"/>
    <x v="3"/>
    <s v="Pequeña"/>
    <x v="3"/>
    <n v="3400.2929483155472"/>
  </r>
  <r>
    <s v="Central Park Resorts"/>
    <x v="177"/>
    <n v="28266"/>
    <n v="4"/>
    <x v="7"/>
    <x v="0"/>
    <s v=" Sector 48 Gurgaon"/>
    <n v="0"/>
    <n v="0"/>
    <n v="5"/>
    <n v="2"/>
    <n v="3"/>
    <x v="2"/>
    <n v="17"/>
    <n v="1"/>
    <n v="0"/>
    <n v="1"/>
    <n v="0"/>
    <n v="1970.0551615445231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1"/>
    <n v="1"/>
    <n v="1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3.9800466992145997E-2"/>
    <n v="112500000"/>
    <n v="0.28266000000000002"/>
    <x v="6"/>
    <s v="Todo bien"/>
    <x v="0"/>
    <x v="1"/>
    <n v="1733.7093407715965"/>
    <x v="3"/>
    <x v="2"/>
    <s v="Pequeña"/>
    <x v="0"/>
    <n v="3980.0466992146039"/>
  </r>
  <r>
    <s v="Central Park Flower Valley"/>
    <x v="178"/>
    <n v="13750"/>
    <n v="3"/>
    <x v="1"/>
    <x v="3"/>
    <s v=" Sector-33 Sohna"/>
    <n v="0"/>
    <n v="0"/>
    <n v="3"/>
    <n v="2"/>
    <n v="3"/>
    <x v="1"/>
    <n v="4"/>
    <n v="1"/>
    <n v="1"/>
    <n v="1"/>
    <n v="1"/>
    <n v="1970.276964647602"/>
    <m/>
    <m/>
    <n v="0"/>
    <n v="0"/>
    <n v="1"/>
    <n v="1"/>
    <n v="1"/>
    <n v="0"/>
    <n v="0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E-2"/>
    <n v="33000000"/>
    <n v="0.13750000000000001"/>
    <x v="5"/>
    <s v="Todo bien"/>
    <x v="0"/>
    <x v="3"/>
    <n v="1045.44060216"/>
    <x v="1"/>
    <x v="2"/>
    <s v="Pequeña"/>
    <x v="0"/>
    <n v="2400"/>
  </r>
  <r>
    <s v="Bestech Park View Residency"/>
    <x v="179"/>
    <n v="7869"/>
    <n v="3"/>
    <x v="6"/>
    <x v="5"/>
    <s v=" Palam Vihar"/>
    <n v="0"/>
    <n v="0"/>
    <n v="4"/>
    <n v="7"/>
    <n v="3"/>
    <x v="1"/>
    <n v="14"/>
    <n v="1"/>
    <n v="0"/>
    <n v="0"/>
    <n v="0"/>
    <n v="1918.922353539204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189223535392E-2"/>
    <n v="15100000"/>
    <n v="7.8689999999999996E-2"/>
    <x v="3"/>
    <s v="Todo bien"/>
    <x v="1"/>
    <x v="4"/>
    <n v="835.88305865929408"/>
    <x v="1"/>
    <x v="2"/>
    <s v="Pequeña"/>
    <x v="1"/>
    <n v="1918.9223535392046"/>
  </r>
  <r>
    <s v="Emaar Gurgaon Greens"/>
    <x v="65"/>
    <n v="13495"/>
    <n v="3"/>
    <x v="2"/>
    <x v="0"/>
    <s v=" Sector 102 Gurgaon"/>
    <n v="0"/>
    <n v="0"/>
    <n v="3"/>
    <n v="6"/>
    <n v="3"/>
    <x v="1"/>
    <n v="14"/>
    <n v="1"/>
    <n v="0"/>
    <n v="0"/>
    <n v="0"/>
    <n v="1568.0077792634011"/>
    <m/>
    <n v="16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2260096331974E-2"/>
    <n v="13800000"/>
    <n v="0.13494999999999999"/>
    <x v="2"/>
    <s v="Todo bien"/>
    <x v="1"/>
    <x v="5"/>
    <n v="445.4452361926605"/>
    <x v="0"/>
    <x v="2"/>
    <s v="Pequeña"/>
    <x v="1"/>
    <n v="1022.6009633197482"/>
  </r>
  <r>
    <s v="Emaar MGF The Palm Drive"/>
    <x v="180"/>
    <n v="18400"/>
    <n v="3"/>
    <x v="5"/>
    <x v="0"/>
    <s v=" Sector 66 Gurgaon"/>
    <n v="0"/>
    <n v="0"/>
    <n v="3"/>
    <n v="11"/>
    <n v="3"/>
    <x v="1"/>
    <n v="17"/>
    <n v="1"/>
    <n v="1"/>
    <n v="1"/>
    <n v="1"/>
    <n v="1569.3734395434549"/>
    <m/>
    <n v="33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999999999999901E-2"/>
    <n v="46000000"/>
    <n v="0.184"/>
    <x v="4"/>
    <s v="Todo bien"/>
    <x v="1"/>
    <x v="5"/>
    <n v="1089.0006272499957"/>
    <x v="1"/>
    <x v="2"/>
    <s v="Pequeña"/>
    <x v="3"/>
    <n v="2500"/>
  </r>
  <r>
    <s v="Emaar Gurgaon Greens"/>
    <x v="100"/>
    <n v="8484"/>
    <n v="3"/>
    <x v="6"/>
    <x v="0"/>
    <s v=" Sector 102 Gurgaon"/>
    <n v="0"/>
    <n v="0"/>
    <n v="3"/>
    <n v="9"/>
    <n v="3"/>
    <x v="1"/>
    <n v="14"/>
    <n v="1"/>
    <n v="0"/>
    <n v="0"/>
    <n v="0"/>
    <n v="1539.3724097098875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2"/>
    <s v="Pequeña"/>
    <x v="1"/>
    <n v="1650.1650165016501"/>
  </r>
  <r>
    <s v="Emaar MGF Emerald Floors Premier"/>
    <x v="151"/>
    <n v="17721"/>
    <n v="4"/>
    <x v="4"/>
    <x v="0"/>
    <s v=" Sector 65 Gurgaon"/>
    <n v="0"/>
    <n v="0"/>
    <n v="4"/>
    <n v="4"/>
    <n v="3"/>
    <x v="2"/>
    <n v="4"/>
    <n v="1"/>
    <n v="0"/>
    <n v="0"/>
    <n v="0"/>
    <n v="1975.0578409796285"/>
    <m/>
    <n v="197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78409796202E-2"/>
    <n v="35000000"/>
    <n v="0.17721000000000001"/>
    <x v="5"/>
    <s v="Todo bien"/>
    <x v="1"/>
    <x v="5"/>
    <n v="860.3356910727349"/>
    <x v="1"/>
    <x v="2"/>
    <s v="Pequeña"/>
    <x v="1"/>
    <n v="1975.0578409796285"/>
  </r>
  <r>
    <s v="Mapsko Royale Ville"/>
    <x v="48"/>
    <n v="5530"/>
    <n v="3"/>
    <x v="6"/>
    <x v="2"/>
    <s v=" Sector 82 Gurgaon"/>
    <n v="0"/>
    <n v="0"/>
    <n v="4"/>
    <n v="14"/>
    <n v="2"/>
    <x v="1"/>
    <n v="20"/>
    <n v="1"/>
    <n v="0"/>
    <n v="0"/>
    <n v="0"/>
    <n v="1790.2350813743219"/>
    <m/>
    <n v="17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2350813743199E-2"/>
    <n v="9900000"/>
    <n v="5.5300000000000002E-2"/>
    <x v="1"/>
    <s v="Todo bien"/>
    <x v="0"/>
    <x v="4"/>
    <n v="779.82685061663574"/>
    <x v="1"/>
    <x v="2"/>
    <s v="Pequeña"/>
    <x v="1"/>
    <n v="1790.2350813743219"/>
  </r>
  <r>
    <s v="Emaar MGF Emerald Floors Premier"/>
    <x v="97"/>
    <n v="16060"/>
    <n v="3"/>
    <x v="5"/>
    <x v="0"/>
    <s v=" Sector 65 Gurgaon"/>
    <n v="0"/>
    <n v="0"/>
    <n v="3"/>
    <n v="5"/>
    <n v="3"/>
    <x v="1"/>
    <n v="5"/>
    <n v="1"/>
    <n v="1"/>
    <n v="0"/>
    <n v="0"/>
    <n v="1578.1760793597114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622665006199E-2"/>
    <n v="26500000"/>
    <n v="0.16059999999999999"/>
    <x v="5"/>
    <s v="Todo bien"/>
    <x v="0"/>
    <x v="1"/>
    <n v="718.76753728829271"/>
    <x v="1"/>
    <x v="2"/>
    <s v="Pequeña"/>
    <x v="0"/>
    <n v="1650.0622665006226"/>
  </r>
  <r>
    <s v="Unitech Greenwood City"/>
    <x v="92"/>
    <n v="12346"/>
    <n v="3"/>
    <x v="7"/>
    <x v="2"/>
    <s v=" Sector 45 Gurgaon"/>
    <n v="0"/>
    <n v="0"/>
    <n v="3"/>
    <n v="1"/>
    <n v="2"/>
    <x v="1"/>
    <n v="4"/>
    <n v="1"/>
    <n v="0"/>
    <n v="0"/>
    <n v="0"/>
    <n v="1943.9494573141098"/>
    <m/>
    <n v="216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0"/>
    <x v="0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39494573141099E-2"/>
    <n v="24000000"/>
    <n v="0.12346"/>
    <x v="3"/>
    <s v="Todo bien"/>
    <x v="1"/>
    <x v="2"/>
    <n v="846.78487134294517"/>
    <x v="1"/>
    <x v="2"/>
    <s v="Pequeña"/>
    <x v="0"/>
    <n v="1943.9494573141098"/>
  </r>
  <r>
    <s v="ATS Tourmaline"/>
    <x v="71"/>
    <n v="7674"/>
    <n v="3"/>
    <x v="2"/>
    <x v="0"/>
    <s v=" Sector 109 Gurgaon"/>
    <n v="0"/>
    <n v="0"/>
    <n v="3"/>
    <n v="16"/>
    <n v="3"/>
    <x v="1"/>
    <n v="27"/>
    <n v="1"/>
    <n v="0"/>
    <n v="0"/>
    <n v="0"/>
    <n v="2150.1172791243157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501172791243101E-2"/>
    <n v="16500000"/>
    <n v="7.6740000000000003E-2"/>
    <x v="3"/>
    <s v="Todo bien"/>
    <x v="1"/>
    <x v="1"/>
    <n v="936.59162625097485"/>
    <x v="1"/>
    <x v="2"/>
    <s v="Pequeña"/>
    <x v="2"/>
    <n v="2150.1172791243157"/>
  </r>
  <r>
    <s v="Railway Officers RPF Society"/>
    <x v="43"/>
    <n v="6921"/>
    <n v="4"/>
    <x v="1"/>
    <x v="1"/>
    <s v=" Sector 9A Gurgaon"/>
    <n v="0"/>
    <n v="0"/>
    <n v="3"/>
    <n v="1"/>
    <n v="3"/>
    <x v="2"/>
    <n v="10"/>
    <n v="1"/>
    <n v="0"/>
    <n v="0"/>
    <n v="0"/>
    <n v="3043.1836382677266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3"/>
    <s v="Pequeña"/>
    <x v="0"/>
    <n v="1806.097384770987"/>
  </r>
  <r>
    <s v="Emaar Digihomes"/>
    <x v="127"/>
    <n v="14871"/>
    <n v="3"/>
    <x v="5"/>
    <x v="2"/>
    <s v=" Sector 62 Gurgaon"/>
    <n v="0"/>
    <n v="0"/>
    <n v="3"/>
    <n v="18"/>
    <n v="3"/>
    <x v="1"/>
    <n v="32"/>
    <n v="1"/>
    <n v="0"/>
    <n v="0"/>
    <n v="0"/>
    <n v="2689.7989375294196"/>
    <m/>
    <n v="2588.79"/>
    <n v="0"/>
    <n v="0"/>
    <n v="0"/>
    <n v="0"/>
    <n v="0"/>
    <n v="0"/>
    <n v="0"/>
    <n v="0"/>
    <n v="1"/>
    <n v="1"/>
    <n v="0"/>
    <n v="0"/>
    <n v="0"/>
    <n v="0"/>
    <n v="0"/>
    <n v="1"/>
    <n v="1"/>
    <n v="16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897989375294099E-2"/>
    <n v="40000000"/>
    <n v="0.14871000000000001"/>
    <x v="5"/>
    <s v="Todo bien"/>
    <x v="1"/>
    <x v="0"/>
    <n v="1171.6770920583645"/>
    <x v="1"/>
    <x v="3"/>
    <s v="Pequeña"/>
    <x v="2"/>
    <n v="2689.7989375294196"/>
  </r>
  <r>
    <s v="Emaar Palm Gardens"/>
    <x v="7"/>
    <n v="9473"/>
    <n v="3"/>
    <x v="8"/>
    <x v="0"/>
    <s v=" Sector 83 Gurgaon"/>
    <n v="0"/>
    <n v="0"/>
    <n v="3"/>
    <n v="6"/>
    <n v="3"/>
    <x v="1"/>
    <n v="16"/>
    <n v="1"/>
    <n v="0"/>
    <n v="0"/>
    <n v="0"/>
    <n v="2575.1957148743304"/>
    <m/>
    <n v="1900"/>
    <n v="0"/>
    <n v="1"/>
    <n v="1"/>
    <n v="0"/>
    <n v="1"/>
    <n v="0"/>
    <n v="0"/>
    <n v="1"/>
    <n v="1"/>
    <n v="1"/>
    <n v="0"/>
    <n v="1"/>
    <n v="1"/>
    <n v="1"/>
    <n v="1"/>
    <n v="1"/>
    <n v="1"/>
    <n v="39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372321334298E-2"/>
    <n v="18000000"/>
    <n v="9.4729999999999995E-2"/>
    <x v="3"/>
    <s v="Todo bien"/>
    <x v="1"/>
    <x v="3"/>
    <n v="827.70025506175364"/>
    <x v="1"/>
    <x v="3"/>
    <s v="Pequeña"/>
    <x v="1"/>
    <n v="1900.137232133432"/>
  </r>
  <r>
    <s v="TARC Maceo"/>
    <x v="68"/>
    <n v="11121"/>
    <n v="4"/>
    <x v="8"/>
    <x v="0"/>
    <s v=" Sector 91 Gurgaon"/>
    <n v="0"/>
    <n v="0"/>
    <n v="3"/>
    <n v="8"/>
    <n v="3"/>
    <x v="2"/>
    <n v="13"/>
    <n v="1"/>
    <n v="1"/>
    <n v="1"/>
    <n v="1"/>
    <n v="2400"/>
    <m/>
    <n v="272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35994964481598E-2"/>
    <n v="17500000"/>
    <n v="0.11121"/>
    <x v="3"/>
    <s v="Todo bien"/>
    <x v="0"/>
    <x v="5"/>
    <n v="685.46033546893216"/>
    <x v="1"/>
    <x v="2"/>
    <s v="Pequeña"/>
    <x v="2"/>
    <n v="1573.5994964481611"/>
  </r>
  <r>
    <s v="Emaar MGF Emerald Floors Premier"/>
    <x v="168"/>
    <n v="14242"/>
    <n v="3"/>
    <x v="4"/>
    <x v="0"/>
    <s v=" Sector 65 Gurgaon"/>
    <n v="0"/>
    <n v="0"/>
    <n v="3"/>
    <n v="4"/>
    <n v="2"/>
    <x v="1"/>
    <n v="4"/>
    <n v="1"/>
    <n v="1"/>
    <n v="0"/>
    <n v="0"/>
    <n v="1650.0491504002248"/>
    <n v="1650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x v="3"/>
    <s v="Todo bien"/>
    <x v="0"/>
    <x v="5"/>
    <n v="718.76182391166776"/>
    <x v="1"/>
    <x v="2"/>
    <s v="Mediana"/>
    <x v="0"/>
    <n v="1650.0491504002248"/>
  </r>
  <r>
    <s v="Pioneer Urban Presidia"/>
    <x v="181"/>
    <n v="16486"/>
    <n v="4"/>
    <x v="4"/>
    <x v="0"/>
    <s v=" Sector 62 Gurgaon"/>
    <n v="0"/>
    <n v="0"/>
    <n v="5"/>
    <n v="7"/>
    <n v="3"/>
    <x v="2"/>
    <n v="27"/>
    <n v="1"/>
    <n v="1"/>
    <n v="0"/>
    <n v="1"/>
    <n v="4337.0132233410168"/>
    <m/>
    <n v="433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8"/>
    <n v="1"/>
    <n v="7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3370132233410102E-2"/>
    <n v="71500000"/>
    <n v="0.16486000000000001"/>
    <x v="6"/>
    <s v="Todo bien"/>
    <x v="1"/>
    <x v="5"/>
    <n v="1889.204048243962"/>
    <x v="3"/>
    <x v="3"/>
    <s v="Pequeña"/>
    <x v="3"/>
    <n v="4337.0132233410168"/>
  </r>
  <r>
    <s v="Emaar MGF Palm Hills"/>
    <x v="182"/>
    <n v="8410"/>
    <n v="4"/>
    <x v="8"/>
    <x v="0"/>
    <s v=" Sector 77 Gurgaon"/>
    <n v="0"/>
    <n v="0"/>
    <n v="3"/>
    <n v="9"/>
    <n v="3"/>
    <x v="2"/>
    <n v="9"/>
    <n v="1"/>
    <n v="0"/>
    <n v="0"/>
    <n v="0"/>
    <n v="1950.0594530321048"/>
    <m/>
    <n v="1950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594530320998E-2"/>
    <n v="16400000"/>
    <n v="8.4099999999999994E-2"/>
    <x v="3"/>
    <s v="Todo bien"/>
    <x v="0"/>
    <x v="4"/>
    <n v="849.44638701069948"/>
    <x v="1"/>
    <x v="2"/>
    <s v="Pequeña"/>
    <x v="1"/>
    <n v="1950.0594530321048"/>
  </r>
  <r>
    <s v="Emaar MGF Emerald Floors Premier"/>
    <x v="40"/>
    <n v="16969"/>
    <n v="3"/>
    <x v="4"/>
    <x v="0"/>
    <s v=" Sector 65 Gurgaon"/>
    <n v="0"/>
    <n v="0"/>
    <n v="3"/>
    <n v="3"/>
    <n v="2"/>
    <x v="1"/>
    <n v="4"/>
    <n v="1"/>
    <n v="0"/>
    <n v="0"/>
    <n v="0"/>
    <n v="1650.0677706405797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6777064058E-2"/>
    <n v="28000000"/>
    <n v="0.16969000000000001"/>
    <x v="5"/>
    <s v="Todo bien"/>
    <x v="1"/>
    <x v="5"/>
    <n v="718.76993489304039"/>
    <x v="1"/>
    <x v="2"/>
    <s v="Pequeña"/>
    <x v="1"/>
    <n v="1650.0677706405797"/>
  </r>
  <r>
    <s v="La Lagune"/>
    <x v="183"/>
    <n v="21360"/>
    <n v="4"/>
    <x v="4"/>
    <x v="5"/>
    <s v=" Sector 54 Gurgaon"/>
    <n v="0"/>
    <n v="0"/>
    <n v="6"/>
    <n v="11"/>
    <n v="3"/>
    <x v="2"/>
    <n v="18"/>
    <n v="1"/>
    <n v="0"/>
    <n v="0"/>
    <n v="0"/>
    <n v="1350.0821789152383"/>
    <n v="2455"/>
    <n v="3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3.1601123595505598E-2"/>
    <n v="67500000"/>
    <n v="0.21360000000000001"/>
    <x v="6"/>
    <s v="Todo bien"/>
    <x v="1"/>
    <x v="5"/>
    <n v="1376.5457366924149"/>
    <x v="1"/>
    <x v="2"/>
    <s v="Grande"/>
    <x v="3"/>
    <n v="3160.1123595505615"/>
  </r>
  <r>
    <s v="MM Merlin"/>
    <x v="151"/>
    <n v="14583"/>
    <n v="3"/>
    <x v="3"/>
    <x v="0"/>
    <s v=" Sector 67 Gurgaon"/>
    <n v="0"/>
    <n v="0"/>
    <n v="4"/>
    <n v="17"/>
    <n v="3"/>
    <x v="1"/>
    <n v="25"/>
    <n v="1"/>
    <n v="0"/>
    <n v="0"/>
    <n v="1"/>
    <n v="4200.3570303475799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x v="5"/>
    <s v="Todo bien"/>
    <x v="1"/>
    <x v="5"/>
    <n v="1045.4644984913928"/>
    <x v="1"/>
    <x v="3"/>
    <s v="Pequeña"/>
    <x v="2"/>
    <n v="2400.0548583967634"/>
  </r>
  <r>
    <s v="MM Latitude"/>
    <x v="180"/>
    <n v="26790"/>
    <n v="3"/>
    <x v="8"/>
    <x v="2"/>
    <s v=" Sector 65 Gurgaon"/>
    <n v="0"/>
    <n v="0"/>
    <n v="3"/>
    <n v="7"/>
    <n v="3"/>
    <x v="1"/>
    <n v="42"/>
    <n v="1"/>
    <n v="1"/>
    <n v="1"/>
    <n v="1"/>
    <n v="2660.2756141402042"/>
    <m/>
    <m/>
    <n v="0"/>
    <n v="1"/>
    <n v="1"/>
    <n v="1"/>
    <n v="1"/>
    <n v="1"/>
    <n v="0"/>
    <n v="1"/>
    <n v="1"/>
    <n v="1"/>
    <n v="1"/>
    <n v="1"/>
    <n v="1"/>
    <n v="0"/>
    <n v="1"/>
    <n v="1"/>
    <n v="1"/>
    <n v="62"/>
    <x v="1"/>
    <x v="0"/>
    <x v="1"/>
    <x v="1"/>
    <x v="1"/>
    <x v="0"/>
    <x v="0"/>
    <x v="1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70586039567001E-2"/>
    <n v="46000000"/>
    <n v="0.26790000000000003"/>
    <x v="4"/>
    <s v="Todo bien"/>
    <x v="0"/>
    <x v="5"/>
    <n v="747.95115869354231"/>
    <x v="1"/>
    <x v="3"/>
    <s v="Pequeña"/>
    <x v="0"/>
    <n v="1717.0586039567002"/>
  </r>
  <r>
    <s v="MM Skywalk"/>
    <x v="39"/>
    <n v="12500"/>
    <n v="3"/>
    <x v="2"/>
    <x v="0"/>
    <s v=" Sector 74 Gurgaon"/>
    <n v="0"/>
    <n v="0"/>
    <n v="3"/>
    <n v="5"/>
    <n v="3"/>
    <x v="1"/>
    <n v="30"/>
    <n v="0"/>
    <n v="1"/>
    <n v="0"/>
    <n v="0"/>
    <n v="3185.0514916657821"/>
    <n v="1900"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22500000"/>
    <n v="0.125"/>
    <x v="3"/>
    <s v="Todo bien"/>
    <x v="0"/>
    <x v="5"/>
    <n v="784.08045161999996"/>
    <x v="1"/>
    <x v="3"/>
    <s v="Grande"/>
    <x v="1"/>
    <n v="1800"/>
  </r>
  <r>
    <s v="DLF The Primus"/>
    <x v="18"/>
    <n v="10516"/>
    <n v="3"/>
    <x v="2"/>
    <x v="0"/>
    <s v=" Sector 82A Gurgaon"/>
    <n v="0"/>
    <n v="0"/>
    <n v="3"/>
    <n v="16"/>
    <n v="3"/>
    <x v="1"/>
    <n v="32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1"/>
    <n v="1"/>
    <n v="1"/>
    <n v="0"/>
    <n v="0"/>
    <n v="1"/>
    <n v="5"/>
    <n v="1"/>
    <n v="1"/>
    <n v="0"/>
    <n v="0"/>
    <n v="0"/>
    <n v="0"/>
    <n v="0"/>
    <n v="1"/>
    <n v="2.0920502092050201E-2"/>
    <n v="22000000.000000004"/>
    <n v="0.10516"/>
    <x v="3"/>
    <s v="Todo bien"/>
    <x v="2"/>
    <x v="5"/>
    <n v="911.29759602510433"/>
    <x v="1"/>
    <x v="2"/>
    <s v="Pequeña"/>
    <x v="2"/>
    <n v="2092.050209205021"/>
  </r>
  <r>
    <s v="DLF The Primus"/>
    <x v="22"/>
    <n v="10936"/>
    <n v="4"/>
    <x v="2"/>
    <x v="2"/>
    <s v=" Sector 82A Gurgaon"/>
    <n v="0"/>
    <n v="0"/>
    <n v="4"/>
    <n v="2"/>
    <n v="3"/>
    <x v="2"/>
    <n v="16"/>
    <n v="1"/>
    <n v="0"/>
    <n v="0"/>
    <n v="0"/>
    <n v="5512.8205128205127"/>
    <m/>
    <n v="260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1"/>
    <n v="1"/>
    <n v="1"/>
    <n v="0"/>
    <n v="0"/>
    <n v="1"/>
    <n v="6"/>
    <n v="1"/>
    <n v="1"/>
    <n v="0"/>
    <n v="0"/>
    <n v="0"/>
    <n v="0"/>
    <n v="0"/>
    <n v="1"/>
    <n v="2.6060716898317401E-2"/>
    <n v="28500000"/>
    <n v="0.10936"/>
    <x v="5"/>
    <s v="Todo bien"/>
    <x v="2"/>
    <x v="5"/>
    <n v="1135.2054819540931"/>
    <x v="1"/>
    <x v="3"/>
    <s v="Pequeña"/>
    <x v="2"/>
    <n v="2606.0716898317482"/>
  </r>
  <r>
    <s v="DLF Regal Gardens"/>
    <x v="184"/>
    <n v="7945"/>
    <n v="4"/>
    <x v="5"/>
    <x v="0"/>
    <s v=" Sector 90 Gurgaon"/>
    <n v="0"/>
    <n v="0"/>
    <n v="4"/>
    <n v="8"/>
    <n v="3"/>
    <x v="2"/>
    <n v="29"/>
    <n v="0"/>
    <n v="0"/>
    <n v="0"/>
    <n v="0"/>
    <n v="4279.1984830625734"/>
    <n v="202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2152297042164801E-2"/>
    <n v="17600000"/>
    <n v="7.9450000000000007E-2"/>
    <x v="3"/>
    <s v="Todo bien"/>
    <x v="1"/>
    <x v="5"/>
    <n v="964.95461495783161"/>
    <x v="1"/>
    <x v="3"/>
    <s v="Grande"/>
    <x v="2"/>
    <n v="2215.2297042164882"/>
  </r>
  <r>
    <s v="Paras Dews"/>
    <x v="50"/>
    <n v="7220"/>
    <n v="2"/>
    <x v="2"/>
    <x v="2"/>
    <s v=" Sector 106 Gurgaon"/>
    <n v="0"/>
    <n v="0"/>
    <n v="2"/>
    <n v="2"/>
    <n v="3"/>
    <x v="0"/>
    <n v="8"/>
    <n v="0"/>
    <n v="0"/>
    <n v="0"/>
    <n v="0"/>
    <n v="2047.0106585727397"/>
    <n v="940"/>
    <n v="138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850415512465301E-2"/>
    <n v="10000000"/>
    <n v="7.22E-2"/>
    <x v="1"/>
    <s v="Todo bien"/>
    <x v="1"/>
    <x v="0"/>
    <n v="603.32444722991374"/>
    <x v="1"/>
    <x v="2"/>
    <s v="Mediana"/>
    <x v="1"/>
    <n v="1385.0415512465374"/>
  </r>
  <r>
    <s v="Pioneer Park"/>
    <x v="185"/>
    <n v="12627"/>
    <n v="4"/>
    <x v="5"/>
    <x v="5"/>
    <s v=" Sector 61 Gurgaon"/>
    <n v="0"/>
    <n v="0"/>
    <n v="4"/>
    <n v="3"/>
    <n v="3"/>
    <x v="2"/>
    <n v="32"/>
    <n v="1"/>
    <n v="0"/>
    <n v="0"/>
    <n v="0"/>
    <n v="2851.0334996436209"/>
    <m/>
    <n v="2851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1"/>
    <n v="4"/>
    <n v="1"/>
    <n v="6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510334996436199E-2"/>
    <n v="36000000"/>
    <n v="0.12626999999999999"/>
    <x v="5"/>
    <s v="Todo bien"/>
    <x v="1"/>
    <x v="5"/>
    <n v="1241.9109077690659"/>
    <x v="1"/>
    <x v="3"/>
    <s v="Pequeña"/>
    <x v="2"/>
    <n v="2851.0334996436209"/>
  </r>
  <r>
    <s v="SS The Leaf"/>
    <x v="186"/>
    <n v="7392"/>
    <n v="3"/>
    <x v="0"/>
    <x v="2"/>
    <s v=" Sector 85 Gurgaon"/>
    <n v="0"/>
    <n v="0"/>
    <n v="4"/>
    <n v="6"/>
    <n v="3"/>
    <x v="1"/>
    <n v="26"/>
    <n v="0"/>
    <n v="0"/>
    <n v="0"/>
    <n v="1"/>
    <n v="2408.0086580086581"/>
    <m/>
    <n v="2408"/>
    <n v="0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0865800865E-2"/>
    <n v="17800000"/>
    <n v="7.392E-2"/>
    <x v="3"/>
    <s v="Todo bien"/>
    <x v="0"/>
    <x v="4"/>
    <n v="1048.9291755979402"/>
    <x v="1"/>
    <x v="2"/>
    <s v="Pequeña"/>
    <x v="2"/>
    <n v="2408.0086580086581"/>
  </r>
  <r>
    <s v="CHD Avenue "/>
    <x v="187"/>
    <n v="6049"/>
    <n v="3"/>
    <x v="3"/>
    <x v="5"/>
    <s v=" Sector 71 Gurgaon"/>
    <n v="0"/>
    <n v="0"/>
    <n v="3"/>
    <n v="0"/>
    <n v="3"/>
    <x v="1"/>
    <n v="14"/>
    <n v="0"/>
    <n v="1"/>
    <n v="0"/>
    <n v="0"/>
    <n v="1620.102496280377"/>
    <m/>
    <n v="162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1024962803699E-2"/>
    <n v="9800000"/>
    <n v="6.0490000000000002E-2"/>
    <x v="1"/>
    <s v="Todo bien"/>
    <x v="0"/>
    <x v="1"/>
    <n v="705.71705386344547"/>
    <x v="1"/>
    <x v="2"/>
    <s v="Pequeña"/>
    <x v="1"/>
    <n v="1620.102496280377"/>
  </r>
  <r>
    <s v="Ireo Skyon"/>
    <x v="188"/>
    <n v="12818"/>
    <n v="3"/>
    <x v="3"/>
    <x v="0"/>
    <s v=" Sector 60 Gurgaon"/>
    <n v="0"/>
    <n v="0"/>
    <n v="3"/>
    <n v="2"/>
    <n v="3"/>
    <x v="1"/>
    <n v="12"/>
    <n v="1"/>
    <n v="0"/>
    <n v="0"/>
    <n v="0"/>
    <n v="2010.0502512562814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1"/>
    <n v="1"/>
    <n v="1"/>
    <n v="1"/>
    <n v="1"/>
    <n v="0"/>
    <n v="0"/>
    <n v="0"/>
    <n v="0"/>
    <n v="0"/>
    <n v="0"/>
    <n v="2"/>
    <n v="2.2000312061163901E-2"/>
    <n v="28200000"/>
    <n v="0.12817999999999999"/>
    <x v="5"/>
    <s v="Todo bien"/>
    <x v="1"/>
    <x v="5"/>
    <n v="958.33414537212923"/>
    <x v="1"/>
    <x v="2"/>
    <s v="Grande"/>
    <x v="2"/>
    <n v="2200.0312061163991"/>
  </r>
  <r>
    <s v="Tata Primanti"/>
    <x v="189"/>
    <n v="16050"/>
    <n v="3"/>
    <x v="2"/>
    <x v="0"/>
    <s v=" Sector 72 Gurgaon"/>
    <n v="0"/>
    <n v="0"/>
    <n v="4"/>
    <n v="15"/>
    <n v="3"/>
    <x v="1"/>
    <n v="40"/>
    <n v="1"/>
    <n v="0"/>
    <n v="0"/>
    <n v="0"/>
    <n v="1578.0900020362451"/>
    <n v="2140"/>
    <n v="21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5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0.02"/>
    <n v="32100000"/>
    <n v="0.1605"/>
    <x v="5"/>
    <s v="Todo bien"/>
    <x v="1"/>
    <x v="5"/>
    <n v="871.2005018000001"/>
    <x v="1"/>
    <x v="2"/>
    <s v="Grande"/>
    <x v="2"/>
    <n v="2000"/>
  </r>
  <r>
    <s v="La Vida by Tata Housing"/>
    <x v="49"/>
    <n v="18500"/>
    <n v="3"/>
    <x v="2"/>
    <x v="0"/>
    <s v=" Sector 113 Gurgaon"/>
    <n v="0"/>
    <n v="0"/>
    <n v="2"/>
    <n v="10"/>
    <n v="2"/>
    <x v="1"/>
    <n v="25"/>
    <n v="0"/>
    <n v="0"/>
    <n v="1"/>
    <n v="0"/>
    <n v="5800.4640371229698"/>
    <m/>
    <n v="15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02702702702702E-2"/>
    <n v="19000000"/>
    <n v="0.185"/>
    <x v="3"/>
    <s v="Todo bien"/>
    <x v="1"/>
    <x v="5"/>
    <n v="447.37323065405104"/>
    <x v="0"/>
    <x v="3"/>
    <s v="Pequeña"/>
    <x v="1"/>
    <n v="1027.0270270270271"/>
  </r>
  <r>
    <s v="DLF Regal Gardens"/>
    <x v="190"/>
    <n v="5505"/>
    <n v="3"/>
    <x v="3"/>
    <x v="0"/>
    <s v=" Sector 90 Gurgaon"/>
    <n v="0"/>
    <n v="0"/>
    <n v="3"/>
    <n v="11"/>
    <n v="2"/>
    <x v="1"/>
    <n v="30"/>
    <n v="0"/>
    <n v="0"/>
    <n v="0"/>
    <n v="0"/>
    <n v="2161.6712079927338"/>
    <m/>
    <n v="172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16712079927301E-2"/>
    <n v="11900000"/>
    <n v="5.5050000000000002E-2"/>
    <x v="2"/>
    <s v="Todo bien"/>
    <x v="0"/>
    <x v="3"/>
    <n v="941.62452056493942"/>
    <x v="1"/>
    <x v="2"/>
    <s v="Pequeña"/>
    <x v="1"/>
    <n v="2161.6712079927338"/>
  </r>
  <r>
    <s v="Bestech Park View Ananda"/>
    <x v="12"/>
    <n v="7541"/>
    <n v="3"/>
    <x v="2"/>
    <x v="5"/>
    <s v=" Sector 81 Gurgaon"/>
    <n v="0"/>
    <n v="0"/>
    <n v="3"/>
    <n v="10"/>
    <n v="3"/>
    <x v="1"/>
    <n v="15"/>
    <n v="0"/>
    <n v="0"/>
    <n v="0"/>
    <n v="1"/>
    <n v="2148.997134670487"/>
    <m/>
    <n v="179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7902134995358698E-2"/>
    <n v="13500000"/>
    <n v="7.5410000000000005E-2"/>
    <x v="2"/>
    <s v="Todo bien"/>
    <x v="1"/>
    <x v="3"/>
    <n v="779.81744956239197"/>
    <x v="1"/>
    <x v="2"/>
    <s v="Pequeña"/>
    <x v="1"/>
    <n v="1790.2134995358704"/>
  </r>
  <r>
    <s v="Tulip Purple"/>
    <x v="7"/>
    <n v="9000"/>
    <n v="4"/>
    <x v="2"/>
    <x v="0"/>
    <s v=" Sector 69 Gurgaon"/>
    <n v="0"/>
    <n v="0"/>
    <n v="5"/>
    <n v="4"/>
    <n v="3"/>
    <x v="2"/>
    <n v="12"/>
    <n v="1"/>
    <n v="0"/>
    <n v="0"/>
    <n v="0"/>
    <n v="2950.2308876346842"/>
    <n v="2200"/>
    <n v="2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8000000"/>
    <n v="0.09"/>
    <x v="3"/>
    <s v="Todo bien"/>
    <x v="1"/>
    <x v="5"/>
    <n v="871.2005018000001"/>
    <x v="1"/>
    <x v="3"/>
    <s v="Grande"/>
    <x v="2"/>
    <n v="2000"/>
  </r>
  <r>
    <s v="Indiabulls Centrum Park"/>
    <x v="12"/>
    <n v="7541"/>
    <n v="3"/>
    <x v="2"/>
    <x v="0"/>
    <s v=" Sector 103 Gurgaon"/>
    <n v="0"/>
    <n v="0"/>
    <n v="3"/>
    <n v="3"/>
    <n v="3"/>
    <x v="1"/>
    <n v="18"/>
    <n v="0"/>
    <n v="1"/>
    <n v="0"/>
    <n v="0"/>
    <n v="1790.2134995358704"/>
    <m/>
    <n v="179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02134995358698E-2"/>
    <n v="13500000"/>
    <n v="7.5410000000000005E-2"/>
    <x v="2"/>
    <s v="Todo bien"/>
    <x v="1"/>
    <x v="5"/>
    <n v="779.81744956239197"/>
    <x v="1"/>
    <x v="2"/>
    <s v="Pequeña"/>
    <x v="1"/>
    <n v="1790.2134995358704"/>
  </r>
  <r>
    <s v="SBTL Caladium"/>
    <x v="74"/>
    <n v="6679"/>
    <n v="3"/>
    <x v="2"/>
    <x v="0"/>
    <s v=" Sector 109 Gurgaon"/>
    <n v="0"/>
    <n v="0"/>
    <n v="3"/>
    <n v="9"/>
    <n v="3"/>
    <x v="1"/>
    <n v="19"/>
    <n v="1"/>
    <n v="0"/>
    <n v="0"/>
    <n v="0"/>
    <n v="2545.2912112591703"/>
    <m/>
    <n v="25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912112591701E-2"/>
    <n v="17000000"/>
    <n v="6.6790000000000002E-2"/>
    <x v="3"/>
    <s v="Todo bien"/>
    <x v="0"/>
    <x v="5"/>
    <n v="1108.7294902380595"/>
    <x v="1"/>
    <x v="3"/>
    <s v="Pequeña"/>
    <x v="2"/>
    <n v="2545.2912112591703"/>
  </r>
  <r>
    <s v="Vatika The Seven Lamps"/>
    <x v="26"/>
    <n v="6597"/>
    <n v="4"/>
    <x v="6"/>
    <x v="0"/>
    <s v=" Sector 82 Gurgaon"/>
    <n v="0"/>
    <n v="0"/>
    <n v="5"/>
    <n v="8"/>
    <n v="3"/>
    <x v="2"/>
    <n v="16"/>
    <n v="1"/>
    <n v="0"/>
    <n v="0"/>
    <n v="0"/>
    <n v="2425.3448537213885"/>
    <m/>
    <n v="242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53448537213802E-2"/>
    <n v="16000000"/>
    <n v="6.5970000000000001E-2"/>
    <x v="3"/>
    <s v="Todo bien"/>
    <x v="0"/>
    <x v="5"/>
    <n v="1056.480826800057"/>
    <x v="1"/>
    <x v="2"/>
    <s v="Pequeña"/>
    <x v="2"/>
    <n v="2425.3448537213885"/>
  </r>
  <r>
    <s v="Ireo Skyon"/>
    <x v="97"/>
    <n v="13125"/>
    <n v="3"/>
    <x v="2"/>
    <x v="5"/>
    <s v=" Sector 60 Gurgaon"/>
    <n v="0"/>
    <n v="0"/>
    <n v="4"/>
    <n v="7"/>
    <n v="3"/>
    <x v="1"/>
    <n v="12"/>
    <n v="1"/>
    <n v="0"/>
    <n v="0"/>
    <n v="0"/>
    <n v="1756.3269257364127"/>
    <n v="2037"/>
    <n v="204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190476190476099E-2"/>
    <n v="26500000"/>
    <n v="0.13125000000000001"/>
    <x v="5"/>
    <s v="Todo bien"/>
    <x v="1"/>
    <x v="5"/>
    <n v="879.49764943618652"/>
    <x v="1"/>
    <x v="2"/>
    <s v="Grande"/>
    <x v="2"/>
    <n v="2019.047619047619"/>
  </r>
  <r>
    <s v="Orris Carnation Residency"/>
    <x v="191"/>
    <n v="5788"/>
    <n v="2"/>
    <x v="2"/>
    <x v="0"/>
    <s v=" Sector 85 Gurgaon"/>
    <n v="0"/>
    <n v="0"/>
    <n v="2"/>
    <n v="5"/>
    <n v="2"/>
    <x v="0"/>
    <n v="12"/>
    <n v="0"/>
    <n v="0"/>
    <n v="0"/>
    <n v="0"/>
    <n v="1992.6527886006904"/>
    <n v="1050"/>
    <n v="11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910850034005E-3"/>
    <n v="5499000"/>
    <n v="5.7880000000000001E-2"/>
    <x v="1"/>
    <s v="Todo bien"/>
    <x v="0"/>
    <x v="5"/>
    <n v="413.85034203508746"/>
    <x v="0"/>
    <x v="2"/>
    <s v="Mediana"/>
    <x v="1"/>
    <n v="950.06910850034558"/>
  </r>
  <r>
    <s v="Emaar Gurgaon Greens"/>
    <x v="100"/>
    <n v="13690"/>
    <n v="3"/>
    <x v="4"/>
    <x v="0"/>
    <s v=" Sector 102 Gurgaon"/>
    <n v="0"/>
    <n v="0"/>
    <n v="3"/>
    <n v="7"/>
    <n v="3"/>
    <x v="1"/>
    <n v="14"/>
    <n v="1"/>
    <n v="0"/>
    <n v="0"/>
    <n v="0"/>
    <n v="1671.1335330285353"/>
    <m/>
    <n v="1650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442658875E-2"/>
    <n v="14000000"/>
    <n v="0.13689999999999999"/>
    <x v="2"/>
    <s v="Todo bien"/>
    <x v="0"/>
    <x v="3"/>
    <n v="445.46409880204135"/>
    <x v="0"/>
    <x v="2"/>
    <s v="Pequeña"/>
    <x v="1"/>
    <n v="1022.6442658875092"/>
  </r>
  <r>
    <s v="Bestech Park View Residency"/>
    <x v="192"/>
    <n v="8051"/>
    <n v="2"/>
    <x v="3"/>
    <x v="5"/>
    <s v=" Palam Vihar"/>
    <n v="0"/>
    <n v="0"/>
    <n v="2"/>
    <n v="7"/>
    <n v="3"/>
    <x v="0"/>
    <n v="14"/>
    <n v="0"/>
    <n v="1"/>
    <n v="0"/>
    <n v="0"/>
    <n v="1565.0229785119861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650229785119801E-2"/>
    <n v="12600000"/>
    <n v="8.0509999999999998E-2"/>
    <x v="2"/>
    <s v="Todo bien"/>
    <x v="1"/>
    <x v="4"/>
    <n v="681.72440210408388"/>
    <x v="1"/>
    <x v="2"/>
    <s v="Pequeña"/>
    <x v="1"/>
    <n v="1565.0229785119861"/>
  </r>
  <r>
    <s v="MM Woodshire"/>
    <x v="74"/>
    <n v="6141"/>
    <n v="4"/>
    <x v="8"/>
    <x v="0"/>
    <s v=" Sector 107 Gurgaon"/>
    <n v="0"/>
    <n v="0"/>
    <n v="5"/>
    <n v="9"/>
    <n v="3"/>
    <x v="2"/>
    <n v="14"/>
    <n v="1"/>
    <n v="0"/>
    <n v="0"/>
    <n v="0"/>
    <n v="2768.2787819573359"/>
    <m/>
    <n v="2768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2787819573298E-2"/>
    <n v="17000000"/>
    <n v="6.1409999999999999E-2"/>
    <x v="3"/>
    <s v="Todo bien"/>
    <x v="0"/>
    <x v="4"/>
    <n v="1205.8629319817594"/>
    <x v="1"/>
    <x v="3"/>
    <s v="Pequeña"/>
    <x v="2"/>
    <n v="2768.2787819573359"/>
  </r>
  <r>
    <s v="Ambience Creacions"/>
    <x v="118"/>
    <n v="28101"/>
    <n v="3"/>
    <x v="2"/>
    <x v="2"/>
    <s v=" Sector 22 Gurgaon"/>
    <n v="0"/>
    <n v="0"/>
    <n v="3"/>
    <n v="2"/>
    <n v="3"/>
    <x v="1"/>
    <n v="20"/>
    <n v="0"/>
    <n v="0"/>
    <n v="0"/>
    <n v="0"/>
    <n v="2000"/>
    <m/>
    <n v="2781"/>
    <n v="1"/>
    <n v="1"/>
    <n v="1"/>
    <n v="1"/>
    <n v="0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0"/>
    <x v="0"/>
    <x v="1"/>
    <n v="0"/>
    <n v="2"/>
    <n v="1"/>
    <n v="2"/>
    <n v="1"/>
    <n v="2"/>
    <n v="1"/>
    <n v="1"/>
    <n v="1"/>
    <n v="0"/>
    <n v="0"/>
    <n v="0"/>
    <n v="0"/>
    <n v="0"/>
    <n v="1"/>
    <n v="1"/>
    <n v="1"/>
    <n v="0"/>
    <n v="0"/>
    <n v="0"/>
    <n v="0"/>
    <n v="0"/>
    <n v="0"/>
    <n v="1"/>
    <n v="1.4590228105761299E-2"/>
    <n v="41000000"/>
    <n v="0.28100999999999998"/>
    <x v="4"/>
    <s v="Todo bien"/>
    <x v="2"/>
    <x v="3"/>
    <n v="635.55070235578546"/>
    <x v="1"/>
    <x v="2"/>
    <s v="Pequeña"/>
    <x v="2"/>
    <n v="1459.0228105761362"/>
  </r>
  <r>
    <s v="Indiabulls Centrum Park"/>
    <x v="19"/>
    <n v="8080"/>
    <n v="2"/>
    <x v="0"/>
    <x v="0"/>
    <s v=" Sector 103 Gurgaon"/>
    <n v="0"/>
    <n v="0"/>
    <n v="2"/>
    <n v="5"/>
    <n v="3"/>
    <x v="0"/>
    <n v="18"/>
    <n v="0"/>
    <n v="0"/>
    <n v="0"/>
    <n v="1"/>
    <n v="2025.2694165737644"/>
    <m/>
    <n v="142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500000000000001E-2"/>
    <n v="10100000"/>
    <n v="8.0799999999999997E-2"/>
    <x v="2"/>
    <s v="Todo bien"/>
    <x v="1"/>
    <x v="5"/>
    <n v="544.5003136250001"/>
    <x v="1"/>
    <x v="2"/>
    <s v="Pequeña"/>
    <x v="1"/>
    <n v="1250"/>
  </r>
  <r>
    <s v="Pareena Coban Residences"/>
    <x v="59"/>
    <n v="7260"/>
    <n v="3"/>
    <x v="1"/>
    <x v="0"/>
    <s v=" Sector 99A Gurgaon"/>
    <n v="0"/>
    <n v="0"/>
    <n v="5"/>
    <n v="11"/>
    <n v="3"/>
    <x v="1"/>
    <n v="20"/>
    <n v="1"/>
    <n v="0"/>
    <n v="0"/>
    <n v="0"/>
    <n v="1997.2451790633609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451790633599E-2"/>
    <n v="14500000"/>
    <n v="7.2599999999999998E-2"/>
    <x v="2"/>
    <s v="Todo bien"/>
    <x v="1"/>
    <x v="1"/>
    <n v="870.000501108815"/>
    <x v="1"/>
    <x v="2"/>
    <s v="Pequeña"/>
    <x v="1"/>
    <n v="1997.2451790633609"/>
  </r>
  <r>
    <s v="Parsvnath Green Ville"/>
    <x v="26"/>
    <n v="8376"/>
    <n v="3"/>
    <x v="5"/>
    <x v="1"/>
    <s v=" Sector 48 Gurgaon"/>
    <n v="0"/>
    <n v="0"/>
    <n v="3"/>
    <n v="8"/>
    <n v="3"/>
    <x v="1"/>
    <n v="11"/>
    <n v="0"/>
    <n v="0"/>
    <n v="0"/>
    <n v="0"/>
    <n v="1620.0891049007696"/>
    <n v="1895"/>
    <n v="19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x v="3"/>
    <s v="Todo bien"/>
    <x v="1"/>
    <x v="1"/>
    <n v="832.09216981852694"/>
    <x v="1"/>
    <x v="2"/>
    <s v="Grande"/>
    <x v="1"/>
    <n v="1910.2196752626551"/>
  </r>
  <r>
    <s v="Emaar MGF The Palm Drive"/>
    <x v="166"/>
    <n v="14950"/>
    <n v="3"/>
    <x v="4"/>
    <x v="0"/>
    <s v=" Sector 66 Gurgaon"/>
    <n v="0"/>
    <n v="0"/>
    <n v="3"/>
    <n v="7"/>
    <n v="3"/>
    <x v="1"/>
    <n v="17"/>
    <n v="1"/>
    <n v="0"/>
    <n v="0"/>
    <n v="0"/>
    <n v="1215.0433944069432"/>
    <n v="1800"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3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29900000"/>
    <n v="0.14949999999999999"/>
    <x v="5"/>
    <s v="Todo bien"/>
    <x v="1"/>
    <x v="1"/>
    <n v="871.2005018000001"/>
    <x v="1"/>
    <x v="2"/>
    <s v="Mediana"/>
    <x v="1"/>
    <n v="2000"/>
  </r>
  <r>
    <s v="Conscient Heritage Max"/>
    <x v="49"/>
    <n v="9783"/>
    <n v="3"/>
    <x v="2"/>
    <x v="0"/>
    <s v=" Sector 102 Gurgaon"/>
    <n v="0"/>
    <n v="0"/>
    <n v="4"/>
    <n v="20"/>
    <n v="3"/>
    <x v="1"/>
    <n v="26"/>
    <n v="1"/>
    <n v="0"/>
    <n v="0"/>
    <n v="0"/>
    <n v="1942.1445364407646"/>
    <m/>
    <n v="194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4214453644076E-2"/>
    <n v="19000000"/>
    <n v="9.783E-2"/>
    <x v="3"/>
    <s v="Todo bien"/>
    <x v="0"/>
    <x v="5"/>
    <n v="845.99864735765937"/>
    <x v="1"/>
    <x v="2"/>
    <s v="Pequeña"/>
    <x v="1"/>
    <n v="1942.1445364407646"/>
  </r>
  <r>
    <s v="Emaar MGF Emerald Estate"/>
    <x v="68"/>
    <n v="12544"/>
    <n v="3"/>
    <x v="2"/>
    <x v="0"/>
    <s v=" Sector 65 Gurgaon"/>
    <n v="0"/>
    <n v="0"/>
    <n v="3"/>
    <n v="10"/>
    <n v="3"/>
    <x v="1"/>
    <n v="12"/>
    <n v="1"/>
    <n v="0"/>
    <n v="0"/>
    <n v="0"/>
    <n v="3434.2803621604749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950892857142801E-2"/>
    <n v="17500000"/>
    <n v="0.12544"/>
    <x v="3"/>
    <s v="Todo bien"/>
    <x v="1"/>
    <x v="5"/>
    <n v="607.70124288504223"/>
    <x v="1"/>
    <x v="3"/>
    <s v="Pequeña"/>
    <x v="1"/>
    <n v="1395.0892857142858"/>
  </r>
  <r>
    <s v="DLF Regal Gardens"/>
    <x v="35"/>
    <n v="7150"/>
    <n v="3"/>
    <x v="8"/>
    <x v="0"/>
    <s v=" Sector 90 Gurgaon"/>
    <n v="0"/>
    <n v="0"/>
    <n v="3"/>
    <n v="7"/>
    <n v="3"/>
    <x v="1"/>
    <n v="29"/>
    <n v="0"/>
    <n v="0"/>
    <n v="0"/>
    <n v="0"/>
    <n v="3000.0428577551106"/>
    <n v="1700"/>
    <n v="18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1818181818101E-2"/>
    <n v="13000000"/>
    <n v="7.1499999999999994E-2"/>
    <x v="2"/>
    <s v="Todo bien"/>
    <x v="0"/>
    <x v="5"/>
    <n v="792.00045618181468"/>
    <x v="1"/>
    <x v="3"/>
    <s v="Mediana"/>
    <x v="1"/>
    <n v="1818.1818181818182"/>
  </r>
  <r>
    <s v="Ireo Victory Valley"/>
    <x v="193"/>
    <n v="12235"/>
    <n v="3"/>
    <x v="7"/>
    <x v="0"/>
    <s v=" Sector 67 Gurgaon"/>
    <n v="0"/>
    <n v="0"/>
    <n v="3"/>
    <n v="10"/>
    <n v="3"/>
    <x v="1"/>
    <n v="51"/>
    <n v="1"/>
    <n v="0"/>
    <n v="0"/>
    <n v="0"/>
    <n v="3150.3695625833029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1565181855E-2"/>
    <n v="29500000"/>
    <n v="0.12235"/>
    <x v="5"/>
    <s v="Todo bien"/>
    <x v="1"/>
    <x v="5"/>
    <n v="1050.2825828810774"/>
    <x v="1"/>
    <x v="3"/>
    <s v="Pequeña"/>
    <x v="2"/>
    <n v="2411.1156518185535"/>
  </r>
  <r>
    <s v="MM Merlin"/>
    <x v="107"/>
    <n v="14418"/>
    <n v="3"/>
    <x v="7"/>
    <x v="0"/>
    <s v=" Sector 67 Gurgaon"/>
    <n v="0"/>
    <n v="0"/>
    <n v="4"/>
    <n v="16"/>
    <n v="3"/>
    <x v="1"/>
    <n v="21"/>
    <n v="1"/>
    <n v="0"/>
    <n v="0"/>
    <n v="0"/>
    <n v="1950.1625135427953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194"/>
    <n v="14079"/>
    <n v="3"/>
    <x v="7"/>
    <x v="2"/>
    <s v=" Sector 67 Gurgaon"/>
    <n v="0"/>
    <n v="0"/>
    <n v="4"/>
    <n v="8"/>
    <n v="3"/>
    <x v="1"/>
    <n v="21"/>
    <n v="1"/>
    <n v="0"/>
    <n v="0"/>
    <n v="0"/>
    <n v="1424.066727698098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220257120498E-2"/>
    <n v="33200000"/>
    <n v="0.14079"/>
    <x v="5"/>
    <s v="Todo bien"/>
    <x v="1"/>
    <x v="5"/>
    <n v="1027.1985460529852"/>
    <x v="1"/>
    <x v="2"/>
    <s v="Pequeña"/>
    <x v="2"/>
    <n v="2358.1220257120535"/>
  </r>
  <r>
    <s v="Bestech Park View Residency"/>
    <x v="13"/>
    <n v="6713"/>
    <n v="2"/>
    <x v="2"/>
    <x v="5"/>
    <s v=" Palam Vihar"/>
    <n v="0"/>
    <n v="0"/>
    <n v="2"/>
    <n v="1"/>
    <n v="3"/>
    <x v="0"/>
    <n v="14"/>
    <n v="0"/>
    <n v="0"/>
    <n v="0"/>
    <n v="0"/>
    <n v="1415.1646059883808"/>
    <m/>
    <n v="1415"/>
    <n v="0"/>
    <n v="0"/>
    <n v="1"/>
    <n v="0"/>
    <n v="1"/>
    <n v="0"/>
    <n v="1"/>
    <n v="1"/>
    <n v="1"/>
    <n v="1"/>
    <n v="0"/>
    <n v="1"/>
    <n v="1"/>
    <n v="1"/>
    <n v="1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1"/>
    <n v="0"/>
    <n v="0"/>
    <n v="0"/>
    <n v="0"/>
    <n v="0"/>
    <n v="2"/>
    <n v="1.41516460598838E-2"/>
    <n v="9500000"/>
    <n v="6.7129999999999995E-2"/>
    <x v="1"/>
    <s v="Todo bien"/>
    <x v="1"/>
    <x v="3"/>
    <n v="616.44605743333796"/>
    <x v="1"/>
    <x v="2"/>
    <s v="Pequeña"/>
    <x v="1"/>
    <n v="1415.1646059883808"/>
  </r>
  <r>
    <s v="MM Skywalk"/>
    <x v="46"/>
    <n v="13790"/>
    <n v="2"/>
    <x v="8"/>
    <x v="0"/>
    <s v=" Sector 74 Gurgaon"/>
    <n v="0"/>
    <n v="0"/>
    <n v="2"/>
    <n v="18"/>
    <n v="3"/>
    <x v="0"/>
    <n v="30"/>
    <n v="0"/>
    <n v="0"/>
    <n v="0"/>
    <n v="0"/>
    <n v="1920.2180376610506"/>
    <n v="1300"/>
    <n v="1406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400290065264E-2"/>
    <n v="15500000"/>
    <n v="0.13789999999999999"/>
    <x v="3"/>
    <s v="Todo bien"/>
    <x v="0"/>
    <x v="5"/>
    <n v="489.61594553661774"/>
    <x v="0"/>
    <x v="2"/>
    <s v="Mediana"/>
    <x v="1"/>
    <n v="1124.002900652647"/>
  </r>
  <r>
    <s v="MM Skywalk"/>
    <x v="150"/>
    <n v="10814"/>
    <n v="2"/>
    <x v="3"/>
    <x v="0"/>
    <s v=" Sector 74 Gurgaon"/>
    <n v="0"/>
    <n v="0"/>
    <n v="2"/>
    <n v="15"/>
    <n v="3"/>
    <x v="0"/>
    <n v="30"/>
    <n v="0"/>
    <n v="0"/>
    <n v="0"/>
    <n v="0"/>
    <n v="1415.1604315538741"/>
    <n v="12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0798964305501E-2"/>
    <n v="15400000"/>
    <n v="0.10814"/>
    <x v="3"/>
    <s v="Todo bien"/>
    <x v="0"/>
    <x v="5"/>
    <n v="620.32956018679363"/>
    <x v="1"/>
    <x v="2"/>
    <s v="Mediana"/>
    <x v="1"/>
    <n v="1424.0798964305529"/>
  </r>
  <r>
    <s v="MM Skywalk"/>
    <x v="158"/>
    <n v="12140"/>
    <n v="3"/>
    <x v="6"/>
    <x v="0"/>
    <s v=" Sector 74 Gurgaon"/>
    <n v="0"/>
    <n v="0"/>
    <n v="3"/>
    <n v="25"/>
    <n v="3"/>
    <x v="1"/>
    <n v="30"/>
    <n v="0"/>
    <n v="1"/>
    <n v="0"/>
    <n v="0"/>
    <n v="1913.8149556400508"/>
    <n v="1800"/>
    <n v="20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1219110378901E-2"/>
    <n v="24500000.000000004"/>
    <n v="0.12139999999999999"/>
    <x v="3"/>
    <s v="Todo bien"/>
    <x v="0"/>
    <x v="5"/>
    <n v="879.0944107948925"/>
    <x v="1"/>
    <x v="2"/>
    <s v="Mediana"/>
    <x v="2"/>
    <n v="2018.1219110378916"/>
  </r>
  <r>
    <s v="Puri Emerald Bay"/>
    <x v="153"/>
    <n v="15160"/>
    <n v="3"/>
    <x v="1"/>
    <x v="0"/>
    <s v=" Sector 104 Gurgaon"/>
    <n v="0"/>
    <n v="0"/>
    <n v="4"/>
    <n v="5"/>
    <n v="3"/>
    <x v="1"/>
    <n v="29"/>
    <n v="1"/>
    <n v="1"/>
    <n v="0"/>
    <n v="0"/>
    <n v="1780.0381436745074"/>
    <m/>
    <n v="2450"/>
    <n v="0"/>
    <n v="0"/>
    <n v="0"/>
    <n v="0"/>
    <n v="0"/>
    <n v="0"/>
    <n v="1"/>
    <n v="1"/>
    <n v="1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150395778364101E-2"/>
    <n v="26000000"/>
    <n v="0.15160000000000001"/>
    <x v="5"/>
    <s v="Todo bien"/>
    <x v="0"/>
    <x v="1"/>
    <n v="747.07167040897036"/>
    <x v="1"/>
    <x v="2"/>
    <s v="Pequeña"/>
    <x v="2"/>
    <n v="1715.0395778364116"/>
  </r>
  <r>
    <s v="SS The Leaf"/>
    <x v="38"/>
    <n v="7610"/>
    <n v="3"/>
    <x v="2"/>
    <x v="0"/>
    <s v=" Sector 85 Gurgaon"/>
    <n v="0"/>
    <n v="0"/>
    <n v="4"/>
    <n v="9"/>
    <n v="3"/>
    <x v="1"/>
    <n v="26"/>
    <n v="0"/>
    <n v="0"/>
    <n v="0"/>
    <n v="0"/>
    <n v="1920.0579640140081"/>
    <n v="19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473061760841E-2"/>
    <n v="18300000"/>
    <n v="7.6100000000000001E-2"/>
    <x v="3"/>
    <s v="Todo bien"/>
    <x v="0"/>
    <x v="1"/>
    <n v="1047.5012603771354"/>
    <x v="1"/>
    <x v="2"/>
    <s v="Grande"/>
    <x v="2"/>
    <n v="2404.7306176084098"/>
  </r>
  <r>
    <s v="SS The Leaf"/>
    <x v="195"/>
    <n v="6661"/>
    <n v="2"/>
    <x v="2"/>
    <x v="0"/>
    <s v=" Sector 85 Gurgaon"/>
    <n v="0"/>
    <n v="0"/>
    <n v="2"/>
    <n v="5"/>
    <n v="3"/>
    <x v="0"/>
    <n v="26"/>
    <n v="0"/>
    <n v="0"/>
    <n v="0"/>
    <n v="0"/>
    <n v="1890.0343642611683"/>
    <n v="1475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63909322924398E-2"/>
    <n v="10900000"/>
    <n v="6.6610000000000003E-2"/>
    <x v="2"/>
    <s v="Todo bien"/>
    <x v="0"/>
    <x v="1"/>
    <n v="712.81230067707179"/>
    <x v="1"/>
    <x v="2"/>
    <s v="Mediana"/>
    <x v="1"/>
    <n v="1636.3909322924485"/>
  </r>
  <r>
    <s v="SS The Leaf"/>
    <x v="196"/>
    <n v="7780"/>
    <n v="3"/>
    <x v="2"/>
    <x v="0"/>
    <s v=" Sector 85 Gurgaon"/>
    <n v="0"/>
    <n v="0"/>
    <n v="4"/>
    <n v="7"/>
    <n v="3"/>
    <x v="1"/>
    <n v="26"/>
    <n v="0"/>
    <n v="0"/>
    <n v="0"/>
    <n v="0"/>
    <n v="2100.1050052502624"/>
    <n v="22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35989717223601E-2"/>
    <n v="18700000"/>
    <n v="7.7799999999999994E-2"/>
    <x v="3"/>
    <s v="Todo bien"/>
    <x v="0"/>
    <x v="1"/>
    <n v="1047.008315145242"/>
    <x v="1"/>
    <x v="2"/>
    <s v="Grande"/>
    <x v="2"/>
    <n v="2403.5989717223651"/>
  </r>
  <r>
    <s v="SS The Leaf"/>
    <x v="16"/>
    <n v="6163"/>
    <n v="2"/>
    <x v="0"/>
    <x v="0"/>
    <s v=" Sector 85 Gurgaon"/>
    <n v="0"/>
    <n v="0"/>
    <n v="2"/>
    <n v="7"/>
    <n v="3"/>
    <x v="0"/>
    <n v="26"/>
    <n v="0"/>
    <n v="0"/>
    <n v="0"/>
    <n v="1"/>
    <n v="1703.7157228622425"/>
    <m/>
    <n v="1671"/>
    <n v="0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7157228622399E-2"/>
    <n v="10500000"/>
    <n v="6.1629999999999997E-2"/>
    <x v="2"/>
    <s v="Todo bien"/>
    <x v="0"/>
    <x v="5"/>
    <n v="742.13899634106667"/>
    <x v="1"/>
    <x v="2"/>
    <s v="Pequeña"/>
    <x v="1"/>
    <n v="1703.7157228622425"/>
  </r>
  <r>
    <s v="SS The Leaf"/>
    <x v="197"/>
    <n v="7350"/>
    <n v="3"/>
    <x v="6"/>
    <x v="2"/>
    <s v=" Sector 85 Gurgaon"/>
    <n v="0"/>
    <n v="0"/>
    <n v="4"/>
    <n v="7"/>
    <n v="3"/>
    <x v="1"/>
    <n v="26"/>
    <n v="0"/>
    <n v="0"/>
    <n v="0"/>
    <n v="1"/>
    <n v="2408.1632653061224"/>
    <m/>
    <n v="2408"/>
    <n v="0"/>
    <n v="1"/>
    <n v="1"/>
    <n v="1"/>
    <n v="1"/>
    <n v="1"/>
    <n v="1"/>
    <n v="1"/>
    <n v="1"/>
    <n v="1"/>
    <n v="0"/>
    <n v="1"/>
    <n v="1"/>
    <n v="0"/>
    <n v="1"/>
    <n v="1"/>
    <n v="1"/>
    <n v="56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632653061201E-2"/>
    <n v="17700000"/>
    <n v="7.3499999999999996E-2"/>
    <x v="3"/>
    <s v="Todo bien"/>
    <x v="0"/>
    <x v="5"/>
    <n v="1048.9965225755093"/>
    <x v="1"/>
    <x v="2"/>
    <s v="Pequeña"/>
    <x v="2"/>
    <n v="2408.1632653061224"/>
  </r>
  <r>
    <s v="MM Skywalk"/>
    <x v="18"/>
    <n v="10901"/>
    <n v="3"/>
    <x v="1"/>
    <x v="2"/>
    <s v=" Sector 74 Gurgaon"/>
    <n v="0"/>
    <n v="0"/>
    <n v="3"/>
    <n v="12"/>
    <n v="3"/>
    <x v="1"/>
    <n v="30"/>
    <n v="0"/>
    <n v="1"/>
    <n v="0"/>
    <n v="0"/>
    <n v="2018.1634712411708"/>
    <m/>
    <n v="201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2.0181634712411699E-2"/>
    <n v="22000000.000000004"/>
    <n v="0.10901"/>
    <x v="3"/>
    <s v="Todo bien"/>
    <x v="1"/>
    <x v="2"/>
    <n v="879.11251442986861"/>
    <x v="1"/>
    <x v="2"/>
    <s v="Pequeña"/>
    <x v="2"/>
    <n v="2018.1634712411708"/>
  </r>
  <r>
    <s v="Ansal API Celebrity Suites"/>
    <x v="91"/>
    <n v="8163"/>
    <n v="1"/>
    <x v="2"/>
    <x v="5"/>
    <s v=" Sector 2 Gurgaon"/>
    <n v="0"/>
    <n v="0"/>
    <n v="1"/>
    <n v="5"/>
    <n v="1"/>
    <x v="3"/>
    <n v="15"/>
    <n v="0"/>
    <n v="0"/>
    <n v="0"/>
    <n v="0"/>
    <n v="735.02388827636901"/>
    <m/>
    <n v="735"/>
    <n v="0"/>
    <n v="0"/>
    <n v="0"/>
    <n v="1"/>
    <n v="1"/>
    <n v="0"/>
    <n v="1"/>
    <n v="1"/>
    <n v="1"/>
    <n v="1"/>
    <n v="0"/>
    <n v="1"/>
    <n v="1"/>
    <n v="1"/>
    <n v="1"/>
    <n v="1"/>
    <n v="1"/>
    <n v="31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x v="1"/>
    <s v="Todo bien"/>
    <x v="1"/>
    <x v="3"/>
    <n v="320.17659015067602"/>
    <x v="0"/>
    <x v="0"/>
    <s v="Pequeña"/>
    <x v="0"/>
    <n v="735.02388827636901"/>
  </r>
  <r>
    <s v="CGHS Airport Apartment"/>
    <x v="7"/>
    <n v="6000"/>
    <n v="4"/>
    <x v="7"/>
    <x v="5"/>
    <s v=" Sector 47 Gurgaon"/>
    <n v="0"/>
    <n v="0"/>
    <n v="4"/>
    <n v="4"/>
    <n v="3"/>
    <x v="2"/>
    <n v="10"/>
    <n v="0"/>
    <n v="0"/>
    <n v="0"/>
    <n v="1"/>
    <n v="1650.1650165016501"/>
    <m/>
    <n v="30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3"/>
    <n v="18000000"/>
    <n v="0.06"/>
    <x v="3"/>
    <s v="Todo bien"/>
    <x v="1"/>
    <x v="4"/>
    <n v="1306.8007527"/>
    <x v="1"/>
    <x v="2"/>
    <s v="Pequeña"/>
    <x v="2"/>
    <n v="3000"/>
  </r>
  <r>
    <s v="Sbr minda sec- imt manesar"/>
    <x v="62"/>
    <n v="4193"/>
    <n v="3"/>
    <x v="4"/>
    <x v="1"/>
    <s v=" Sector 1 Imt Manesar"/>
    <n v="0"/>
    <n v="0"/>
    <n v="2"/>
    <n v="6"/>
    <n v="3"/>
    <x v="1"/>
    <n v="10"/>
    <n v="0"/>
    <n v="0"/>
    <n v="0"/>
    <n v="0"/>
    <n v="1924.9592169657421"/>
    <m/>
    <m/>
    <n v="1"/>
    <n v="0"/>
    <n v="1"/>
    <n v="1"/>
    <n v="1"/>
    <n v="0"/>
    <n v="1"/>
    <n v="1"/>
    <n v="0"/>
    <n v="1"/>
    <n v="0"/>
    <n v="0"/>
    <n v="1"/>
    <n v="0"/>
    <n v="1"/>
    <n v="0"/>
    <n v="0"/>
    <n v="25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3534462198899E-2"/>
    <n v="6400000"/>
    <n v="4.1930000000000002E-2"/>
    <x v="1"/>
    <s v="Todo bien"/>
    <x v="0"/>
    <x v="1"/>
    <n v="664.8799441354638"/>
    <x v="1"/>
    <x v="2"/>
    <s v="Pequeña"/>
    <x v="0"/>
    <n v="1526.3534462198902"/>
  </r>
  <r>
    <s v="Prasha Apartments"/>
    <x v="29"/>
    <n v="3309"/>
    <n v="3"/>
    <x v="0"/>
    <x v="5"/>
    <s v=" Sector 1 Imt Manesar"/>
    <n v="0"/>
    <n v="0"/>
    <n v="3"/>
    <n v="3"/>
    <n v="3"/>
    <x v="1"/>
    <n v="6"/>
    <n v="1"/>
    <n v="0"/>
    <n v="0"/>
    <n v="0"/>
    <n v="2266.5457842248411"/>
    <m/>
    <n v="2115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65457842248399E-2"/>
    <n v="7500000"/>
    <n v="3.3090000000000001E-2"/>
    <x v="1"/>
    <s v="Todo bien"/>
    <x v="0"/>
    <x v="2"/>
    <n v="987.30791228467763"/>
    <x v="1"/>
    <x v="2"/>
    <s v="Pequeña"/>
    <x v="2"/>
    <n v="2266.5457842248411"/>
  </r>
  <r>
    <s v="MM Golfestate"/>
    <x v="198"/>
    <n v="15906"/>
    <n v="3"/>
    <x v="5"/>
    <x v="0"/>
    <s v=" Sector 65 Gurgaon"/>
    <n v="0"/>
    <n v="0"/>
    <n v="3"/>
    <n v="10"/>
    <n v="3"/>
    <x v="1"/>
    <n v="18"/>
    <n v="1"/>
    <n v="0"/>
    <n v="0"/>
    <n v="0"/>
    <n v="3112.0331950207469"/>
    <m/>
    <n v="311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1203319502074E-2"/>
    <n v="49500000"/>
    <n v="0.15906000000000001"/>
    <x v="4"/>
    <s v="Todo bien"/>
    <x v="1"/>
    <x v="3"/>
    <n v="1355.6024405601631"/>
    <x v="1"/>
    <x v="3"/>
    <s v="Pequeña"/>
    <x v="3"/>
    <n v="3112.0331950207469"/>
  </r>
  <r>
    <s v="Experion Windchants"/>
    <x v="117"/>
    <n v="11294"/>
    <n v="3"/>
    <x v="8"/>
    <x v="0"/>
    <s v=" Sector 112 Gurgaon"/>
    <n v="0"/>
    <n v="0"/>
    <n v="5"/>
    <n v="15"/>
    <n v="2"/>
    <x v="1"/>
    <n v="28"/>
    <n v="1"/>
    <n v="0"/>
    <n v="1"/>
    <n v="0"/>
    <n v="1350.01646361541"/>
    <n v="3000"/>
    <n v="3763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7630600318753302E-2"/>
    <n v="42500000"/>
    <n v="0.11294"/>
    <x v="4"/>
    <s v="Todo bien"/>
    <x v="0"/>
    <x v="3"/>
    <n v="1639.1898940366559"/>
    <x v="3"/>
    <x v="2"/>
    <s v="Muy grande"/>
    <x v="3"/>
    <n v="3763.0600318753322"/>
  </r>
  <r>
    <s v="Experion Windchants"/>
    <x v="199"/>
    <n v="11204"/>
    <n v="4"/>
    <x v="8"/>
    <x v="0"/>
    <s v=" Sector 112 Gurgaon"/>
    <n v="0"/>
    <n v="0"/>
    <n v="6"/>
    <n v="15"/>
    <n v="3"/>
    <x v="2"/>
    <n v="28"/>
    <n v="1"/>
    <n v="0"/>
    <n v="1"/>
    <n v="0"/>
    <n v="1350.0378010584295"/>
    <n v="3573.33"/>
    <n v="4739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393787932881098E-2"/>
    <n v="53100000"/>
    <n v="0.11204"/>
    <x v="4"/>
    <s v="Todo bien"/>
    <x v="0"/>
    <x v="3"/>
    <n v="2064.47459146644"/>
    <x v="3"/>
    <x v="2"/>
    <s v="Muy grande"/>
    <x v="3"/>
    <n v="4739.3787932881114"/>
  </r>
  <r>
    <s v="Emaar Gurgaon Greens"/>
    <x v="100"/>
    <n v="8484"/>
    <n v="3"/>
    <x v="4"/>
    <x v="0"/>
    <s v=" Sector 102 Gurgaon"/>
    <n v="0"/>
    <n v="0"/>
    <n v="3"/>
    <n v="10"/>
    <n v="3"/>
    <x v="1"/>
    <n v="14"/>
    <n v="1"/>
    <n v="0"/>
    <n v="0"/>
    <n v="0"/>
    <n v="3055.1535616658625"/>
    <n v="1300"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3"/>
    <s v="Mediana"/>
    <x v="1"/>
    <n v="1650.1650165016501"/>
  </r>
  <r>
    <s v="Experion Windchants"/>
    <x v="40"/>
    <n v="11470"/>
    <n v="2"/>
    <x v="3"/>
    <x v="0"/>
    <s v=" Sector 112 Gurgaon"/>
    <n v="0"/>
    <n v="0"/>
    <n v="3"/>
    <n v="9"/>
    <n v="2"/>
    <x v="0"/>
    <n v="28"/>
    <n v="1"/>
    <n v="1"/>
    <n v="0"/>
    <n v="0"/>
    <n v="1880.288310874334"/>
    <n v="1939.03"/>
    <n v="2441"/>
    <n v="1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11508282475999E-2"/>
    <n v="28000000"/>
    <n v="0.1147"/>
    <x v="5"/>
    <s v="Todo bien"/>
    <x v="0"/>
    <x v="4"/>
    <n v="1063.3659132693974"/>
    <x v="1"/>
    <x v="2"/>
    <s v="Grande"/>
    <x v="2"/>
    <n v="2441.1508282476025"/>
  </r>
  <r>
    <s v="Indiabulls Enigma"/>
    <x v="118"/>
    <n v="10567"/>
    <n v="5"/>
    <x v="4"/>
    <x v="0"/>
    <s v=" Sector 110 Gurgaon"/>
    <n v="0"/>
    <n v="0"/>
    <n v="5"/>
    <n v="10"/>
    <n v="2"/>
    <x v="4"/>
    <n v="15"/>
    <n v="1"/>
    <n v="0"/>
    <n v="0"/>
    <n v="0"/>
    <n v="2545.2841973766394"/>
    <n v="3500"/>
    <n v="38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0037853695402E-2"/>
    <n v="41000000"/>
    <n v="0.10567"/>
    <x v="4"/>
    <s v="Todo bien"/>
    <x v="0"/>
    <x v="5"/>
    <n v="1690.1306223999215"/>
    <x v="3"/>
    <x v="3"/>
    <s v="Muy grande"/>
    <x v="3"/>
    <n v="3880.0037853695467"/>
  </r>
  <r>
    <s v="Indiabulls Enigma"/>
    <x v="107"/>
    <n v="10000"/>
    <n v="4"/>
    <x v="6"/>
    <x v="0"/>
    <s v=" Sector 110 Gurgaon"/>
    <n v="0"/>
    <n v="0"/>
    <n v="5"/>
    <n v="10"/>
    <n v="3"/>
    <x v="2"/>
    <n v="21"/>
    <n v="1"/>
    <n v="0"/>
    <n v="0"/>
    <n v="0"/>
    <n v="1744.1860465116279"/>
    <n v="3000"/>
    <n v="340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0000000000002E-2"/>
    <n v="34000000"/>
    <n v="0.1"/>
    <x v="5"/>
    <s v="Todo bien"/>
    <x v="0"/>
    <x v="4"/>
    <n v="1481.0408530600002"/>
    <x v="1"/>
    <x v="2"/>
    <s v="Muy grande"/>
    <x v="3"/>
    <n v="3400"/>
  </r>
  <r>
    <s v="Ireo Skyon"/>
    <x v="200"/>
    <n v="12788"/>
    <n v="3"/>
    <x v="3"/>
    <x v="0"/>
    <s v=" Sector 60 Gurgaon"/>
    <n v="0"/>
    <n v="0"/>
    <n v="3"/>
    <n v="9"/>
    <n v="3"/>
    <x v="1"/>
    <n v="12"/>
    <n v="1"/>
    <n v="0"/>
    <n v="0"/>
    <n v="0"/>
    <n v="1640.0980993255671"/>
    <n v="2300"/>
    <n v="23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2"/>
    <n v="1"/>
    <n v="1"/>
    <n v="3"/>
    <n v="1"/>
    <n v="0"/>
    <n v="0"/>
    <n v="0"/>
    <n v="0"/>
    <n v="0"/>
    <n v="0"/>
    <n v="2"/>
    <n v="2.3850484829527601E-2"/>
    <n v="30500000"/>
    <n v="0.12787999999999999"/>
    <x v="5"/>
    <s v="Todo bien"/>
    <x v="1"/>
    <x v="5"/>
    <n v="1038.9277175828868"/>
    <x v="1"/>
    <x v="2"/>
    <s v="Grande"/>
    <x v="2"/>
    <n v="2385.0484829527682"/>
  </r>
  <r>
    <s v="Tata Primanti"/>
    <x v="117"/>
    <n v="13076"/>
    <n v="4"/>
    <x v="5"/>
    <x v="0"/>
    <s v=" Sector 72 Gurgaon"/>
    <n v="0"/>
    <n v="0"/>
    <n v="4"/>
    <n v="0"/>
    <n v="3"/>
    <x v="2"/>
    <n v="4"/>
    <n v="1"/>
    <n v="0"/>
    <n v="0"/>
    <n v="0"/>
    <n v="3250.2294279596208"/>
    <m/>
    <n v="3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6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2502294279596201E-2"/>
    <n v="42500000"/>
    <n v="0.13075999999999999"/>
    <x v="4"/>
    <s v="Todo bien"/>
    <x v="1"/>
    <x v="5"/>
    <n v="1415.8007543017741"/>
    <x v="1"/>
    <x v="3"/>
    <s v="Pequeña"/>
    <x v="3"/>
    <n v="3250.2294279596208"/>
  </r>
  <r>
    <s v="Vatika Independent Floors"/>
    <x v="201"/>
    <n v="6987"/>
    <n v="3"/>
    <x v="3"/>
    <x v="0"/>
    <s v=" Sector 82 Gurgaon"/>
    <n v="0"/>
    <n v="0"/>
    <n v="3"/>
    <n v="1"/>
    <n v="3"/>
    <x v="1"/>
    <n v="2"/>
    <n v="1"/>
    <n v="0"/>
    <n v="1"/>
    <n v="1"/>
    <n v="2120.1930106740751"/>
    <m/>
    <m/>
    <n v="1"/>
    <n v="1"/>
    <n v="1"/>
    <n v="1"/>
    <n v="1"/>
    <n v="1"/>
    <n v="1"/>
    <n v="1"/>
    <n v="1"/>
    <n v="1"/>
    <n v="1"/>
    <n v="1"/>
    <n v="0"/>
    <n v="1"/>
    <n v="1"/>
    <n v="1"/>
    <n v="1"/>
    <n v="62"/>
    <x v="0"/>
    <x v="1"/>
    <x v="1"/>
    <x v="1"/>
    <x v="1"/>
    <x v="0"/>
    <x v="0"/>
    <x v="0"/>
    <x v="0"/>
    <n v="0"/>
    <n v="2"/>
    <n v="1"/>
    <n v="3"/>
    <n v="1"/>
    <n v="1"/>
    <n v="1"/>
    <n v="0"/>
    <n v="0"/>
    <n v="1"/>
    <n v="1"/>
    <n v="0"/>
    <n v="0"/>
    <n v="0"/>
    <n v="0"/>
    <n v="2"/>
    <n v="1"/>
    <n v="0"/>
    <n v="0"/>
    <n v="0"/>
    <n v="0"/>
    <n v="0"/>
    <n v="0"/>
    <n v="2"/>
    <n v="1.6602261342493201E-2"/>
    <n v="11600000"/>
    <n v="6.9870000000000002E-2"/>
    <x v="2"/>
    <s v="Todo bien"/>
    <x v="1"/>
    <x v="5"/>
    <n v="723.19492062974098"/>
    <x v="1"/>
    <x v="2"/>
    <s v="Pequeña"/>
    <x v="0"/>
    <n v="1660.2261342493202"/>
  </r>
  <r>
    <s v="Citizen apartment"/>
    <x v="202"/>
    <n v="6826"/>
    <n v="5"/>
    <x v="5"/>
    <x v="5"/>
    <s v=" Sector 51 Gurgaon"/>
    <n v="0"/>
    <n v="0"/>
    <n v="6"/>
    <n v="11"/>
    <n v="3"/>
    <x v="4"/>
    <n v="12"/>
    <n v="1"/>
    <n v="1"/>
    <n v="1"/>
    <n v="1"/>
    <n v="2215.1898734177216"/>
    <n v="5200"/>
    <m/>
    <n v="0"/>
    <n v="1"/>
    <n v="1"/>
    <n v="1"/>
    <n v="1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1"/>
    <n v="8"/>
    <n v="1"/>
    <n v="5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5.2007031936712501E-2"/>
    <n v="35500000"/>
    <n v="6.8260000000000001E-2"/>
    <x v="5"/>
    <s v="Todo bien"/>
    <x v="1"/>
    <x v="4"/>
    <n v="2265.4276160196282"/>
    <x v="3"/>
    <x v="2"/>
    <s v="Muy grande"/>
    <x v="0"/>
    <n v="5200.7031936712565"/>
  </r>
  <r>
    <s v="Adani MK Oyster Grande"/>
    <x v="7"/>
    <n v="9528"/>
    <n v="3"/>
    <x v="3"/>
    <x v="0"/>
    <s v=" Sector 102 Gurgaon"/>
    <n v="0"/>
    <n v="0"/>
    <n v="4"/>
    <n v="17"/>
    <n v="3"/>
    <x v="1"/>
    <n v="24"/>
    <n v="1"/>
    <n v="0"/>
    <n v="0"/>
    <n v="0"/>
    <n v="1889.168765743073"/>
    <m/>
    <n v="18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91687657430701E-2"/>
    <n v="18000000"/>
    <n v="9.5280000000000004E-2"/>
    <x v="3"/>
    <s v="Todo bien"/>
    <x v="1"/>
    <x v="1"/>
    <n v="822.92238835012472"/>
    <x v="1"/>
    <x v="2"/>
    <s v="Pequeña"/>
    <x v="1"/>
    <n v="1889.168765743073"/>
  </r>
  <r>
    <s v="Shapoorji Pallonji Joyville Gurugram"/>
    <x v="68"/>
    <n v="15514"/>
    <n v="3"/>
    <x v="4"/>
    <x v="0"/>
    <s v=" Sector 102 Gurgaon"/>
    <n v="0"/>
    <n v="0"/>
    <n v="3"/>
    <n v="1"/>
    <n v="3"/>
    <x v="1"/>
    <n v="26"/>
    <n v="0"/>
    <n v="0"/>
    <n v="0"/>
    <n v="0"/>
    <n v="1480.1657785671996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801340724506E-2"/>
    <n v="17500000"/>
    <n v="0.15514"/>
    <x v="3"/>
    <s v="Todo bien"/>
    <x v="1"/>
    <x v="1"/>
    <n v="491.36292321451202"/>
    <x v="0"/>
    <x v="2"/>
    <s v="Pequeña"/>
    <x v="1"/>
    <n v="1128.0134072450689"/>
  </r>
  <r>
    <s v="Shapoorji Pallonji Joyville Gurugram"/>
    <x v="56"/>
    <n v="14563"/>
    <n v="2"/>
    <x v="2"/>
    <x v="0"/>
    <s v=" Sector 102 Gurgaon"/>
    <n v="0"/>
    <n v="0"/>
    <n v="2"/>
    <n v="0"/>
    <n v="3"/>
    <x v="0"/>
    <n v="18"/>
    <n v="0"/>
    <n v="0"/>
    <n v="0"/>
    <n v="0"/>
    <n v="4848.0651025885209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2400604271097994E-3"/>
    <n v="12000000"/>
    <n v="0.14563000000000001"/>
    <x v="2"/>
    <s v="Todo bien"/>
    <x v="1"/>
    <x v="1"/>
    <n v="358.937238948019"/>
    <x v="0"/>
    <x v="3"/>
    <s v="Pequeña"/>
    <x v="1"/>
    <n v="824.00604271097984"/>
  </r>
  <r>
    <s v="Emaar Gurgaon Greens"/>
    <x v="203"/>
    <n v="9212"/>
    <n v="3"/>
    <x v="7"/>
    <x v="0"/>
    <s v=" Sector 102 Gurgaon"/>
    <n v="0"/>
    <n v="0"/>
    <n v="3"/>
    <n v="7"/>
    <n v="3"/>
    <x v="1"/>
    <n v="14"/>
    <n v="1"/>
    <n v="0"/>
    <n v="0"/>
    <n v="0"/>
    <n v="2792.1657494334736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217108119799E-2"/>
    <n v="15200000"/>
    <n v="9.2119999999999994E-2"/>
    <x v="3"/>
    <s v="Todo bien"/>
    <x v="1"/>
    <x v="5"/>
    <n v="718.74987122014568"/>
    <x v="1"/>
    <x v="3"/>
    <s v="Pequeña"/>
    <x v="1"/>
    <n v="1650.0217108119846"/>
  </r>
  <r>
    <s v="Kiran Residency"/>
    <x v="46"/>
    <n v="6888"/>
    <n v="3"/>
    <x v="5"/>
    <x v="5"/>
    <s v=" Sector 56 Gurgaon"/>
    <n v="0"/>
    <n v="0"/>
    <n v="3"/>
    <n v="5"/>
    <n v="3"/>
    <x v="1"/>
    <n v="8"/>
    <n v="1"/>
    <n v="0"/>
    <n v="1"/>
    <n v="0"/>
    <n v="2753.0707327403643"/>
    <n v="1900"/>
    <n v="225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502903600464499E-2"/>
    <n v="15500000"/>
    <n v="6.8879999999999997E-2"/>
    <x v="3"/>
    <s v="Todo bien"/>
    <x v="1"/>
    <x v="1"/>
    <n v="980.22704543408497"/>
    <x v="1"/>
    <x v="3"/>
    <s v="Grande"/>
    <x v="2"/>
    <n v="2250.2903600464579"/>
  </r>
  <r>
    <s v="DLF The Ultima"/>
    <x v="92"/>
    <n v="11412"/>
    <n v="3"/>
    <x v="2"/>
    <x v="0"/>
    <s v=" Sector 81 Gurgaon"/>
    <n v="0"/>
    <n v="0"/>
    <n v="3"/>
    <n v="12"/>
    <n v="3"/>
    <x v="1"/>
    <n v="29"/>
    <n v="1"/>
    <n v="0"/>
    <n v="0"/>
    <n v="0"/>
    <n v="1269.1237830319888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494216614001E-2"/>
    <n v="24000000"/>
    <n v="0.11412"/>
    <x v="3"/>
    <s v="Todo bien"/>
    <x v="2"/>
    <x v="1"/>
    <n v="916.0888557308059"/>
    <x v="1"/>
    <x v="2"/>
    <s v="Mediana"/>
    <x v="2"/>
    <n v="2103.0494216614093"/>
  </r>
  <r>
    <s v="DLF The Ultima"/>
    <x v="168"/>
    <n v="11174"/>
    <n v="3"/>
    <x v="8"/>
    <x v="0"/>
    <s v=" Sector 81 Gurgaon"/>
    <n v="0"/>
    <n v="0"/>
    <n v="3"/>
    <n v="14"/>
    <n v="3"/>
    <x v="1"/>
    <n v="29"/>
    <n v="1"/>
    <n v="1"/>
    <n v="1"/>
    <n v="0"/>
    <n v="1210.1485561675847"/>
    <n v="15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964739573998E-2"/>
    <n v="23500000"/>
    <n v="0.11174000000000001"/>
    <x v="3"/>
    <s v="Todo bien"/>
    <x v="2"/>
    <x v="1"/>
    <n v="916.10935172274878"/>
    <x v="1"/>
    <x v="2"/>
    <s v="Mediana"/>
    <x v="2"/>
    <n v="2103.096473957401"/>
  </r>
  <r>
    <s v="DLF The Ultima"/>
    <x v="204"/>
    <n v="10841"/>
    <n v="3"/>
    <x v="4"/>
    <x v="0"/>
    <s v=" Sector 81 Gurgaon"/>
    <n v="0"/>
    <n v="0"/>
    <n v="3"/>
    <n v="14"/>
    <n v="3"/>
    <x v="1"/>
    <n v="29"/>
    <n v="1"/>
    <n v="0"/>
    <n v="0"/>
    <n v="0"/>
    <n v="1210.0415387393896"/>
    <n v="17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270178027799E-2"/>
    <n v="22800000"/>
    <n v="0.10841000000000001"/>
    <x v="3"/>
    <s v="Todo bien"/>
    <x v="2"/>
    <x v="1"/>
    <n v="916.1226566294597"/>
    <x v="1"/>
    <x v="2"/>
    <s v="Mediana"/>
    <x v="2"/>
    <n v="2103.1270178027858"/>
  </r>
  <r>
    <s v="SS The Coralwood"/>
    <x v="8"/>
    <n v="4857"/>
    <n v="3"/>
    <x v="5"/>
    <x v="0"/>
    <s v=" Sector 84 Gurgaon"/>
    <n v="0"/>
    <n v="0"/>
    <n v="3"/>
    <n v="9"/>
    <n v="2"/>
    <x v="1"/>
    <n v="21"/>
    <n v="0"/>
    <n v="0"/>
    <n v="0"/>
    <n v="0"/>
    <n v="2264.7724933086265"/>
    <m/>
    <n v="1750"/>
    <n v="0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477249330862E-2"/>
    <n v="11000000"/>
    <n v="4.8570000000000002E-2"/>
    <x v="2"/>
    <s v="Todo bien"/>
    <x v="0"/>
    <x v="1"/>
    <n v="986.53546631665347"/>
    <x v="1"/>
    <x v="2"/>
    <s v="Pequeña"/>
    <x v="1"/>
    <n v="2264.7724933086265"/>
  </r>
  <r>
    <s v="DLF The Ultima"/>
    <x v="133"/>
    <n v="10936"/>
    <n v="3"/>
    <x v="4"/>
    <x v="0"/>
    <s v=" Sector 81 Gurgaon"/>
    <n v="0"/>
    <n v="0"/>
    <n v="3"/>
    <n v="19"/>
    <n v="3"/>
    <x v="1"/>
    <n v="29"/>
    <n v="1"/>
    <n v="1"/>
    <n v="1"/>
    <n v="0"/>
    <n v="1997.183459224171"/>
    <n v="1617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455742501801E-2"/>
    <n v="23000000"/>
    <n v="0.10936"/>
    <x v="3"/>
    <s v="Todo bien"/>
    <x v="2"/>
    <x v="1"/>
    <n v="916.13073982260312"/>
    <x v="1"/>
    <x v="2"/>
    <s v="Mediana"/>
    <x v="2"/>
    <n v="2103.145574250183"/>
  </r>
  <r>
    <s v="MM Woodshire"/>
    <x v="12"/>
    <n v="5717"/>
    <n v="3"/>
    <x v="8"/>
    <x v="0"/>
    <s v=" Sector 107 Gurgaon"/>
    <n v="0"/>
    <n v="0"/>
    <n v="4"/>
    <n v="8"/>
    <n v="3"/>
    <x v="1"/>
    <n v="14"/>
    <n v="1"/>
    <n v="0"/>
    <n v="0"/>
    <n v="0"/>
    <n v="2361.3783452859893"/>
    <n v="1950"/>
    <n v="2361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613783452859801E-2"/>
    <n v="13500000"/>
    <n v="5.7169999999999999E-2"/>
    <x v="2"/>
    <s v="Todo bien"/>
    <x v="0"/>
    <x v="4"/>
    <n v="1028.6169996763999"/>
    <x v="1"/>
    <x v="2"/>
    <s v="Grande"/>
    <x v="2"/>
    <n v="2361.3783452859893"/>
  </r>
  <r>
    <s v="Puri Emerald Bay"/>
    <x v="158"/>
    <n v="10000"/>
    <n v="3"/>
    <x v="8"/>
    <x v="0"/>
    <s v=" Sector 104 Gurgaon"/>
    <n v="0"/>
    <n v="0"/>
    <n v="4"/>
    <n v="14"/>
    <n v="3"/>
    <x v="1"/>
    <n v="29"/>
    <n v="1"/>
    <n v="0"/>
    <n v="0"/>
    <n v="0"/>
    <n v="3400.0755572346052"/>
    <m/>
    <n v="2450"/>
    <n v="0"/>
    <n v="0"/>
    <n v="0"/>
    <n v="0"/>
    <n v="0"/>
    <n v="0"/>
    <n v="1"/>
    <n v="1"/>
    <n v="1"/>
    <n v="1"/>
    <n v="0"/>
    <n v="1"/>
    <n v="1"/>
    <n v="1"/>
    <n v="0"/>
    <n v="1"/>
    <n v="1"/>
    <n v="23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500000000000001E-2"/>
    <n v="24500000.000000004"/>
    <n v="0.1"/>
    <x v="3"/>
    <s v="Todo bien"/>
    <x v="1"/>
    <x v="1"/>
    <n v="1067.2206147050001"/>
    <x v="1"/>
    <x v="3"/>
    <s v="Pequeña"/>
    <x v="2"/>
    <n v="2450"/>
  </r>
  <r>
    <s v="MM Woodshire"/>
    <x v="15"/>
    <n v="5867"/>
    <n v="2"/>
    <x v="8"/>
    <x v="0"/>
    <s v=" Sector 107 Gurgaon"/>
    <n v="0"/>
    <n v="0"/>
    <n v="2"/>
    <n v="8"/>
    <n v="3"/>
    <x v="0"/>
    <n v="14"/>
    <n v="0"/>
    <n v="1"/>
    <n v="0"/>
    <n v="0"/>
    <n v="1430.0518134715026"/>
    <m/>
    <n v="1534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40037497869399E-2"/>
    <n v="9000000"/>
    <n v="5.867E-2"/>
    <x v="1"/>
    <s v="Todo bien"/>
    <x v="1"/>
    <x v="4"/>
    <n v="668.2124182887319"/>
    <x v="1"/>
    <x v="2"/>
    <s v="Pequeña"/>
    <x v="1"/>
    <n v="1534.0037497869439"/>
  </r>
  <r>
    <s v="Emaar MGF Emerald Floors Premier"/>
    <x v="40"/>
    <n v="14177"/>
    <n v="4"/>
    <x v="8"/>
    <x v="0"/>
    <s v=" Sector 65 Gurgaon"/>
    <n v="0"/>
    <n v="0"/>
    <n v="4"/>
    <n v="2"/>
    <n v="3"/>
    <x v="2"/>
    <n v="5"/>
    <n v="1"/>
    <n v="1"/>
    <n v="0"/>
    <n v="0"/>
    <n v="2095.0385677554518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299781335901E-2"/>
    <n v="28000000"/>
    <n v="0.14177000000000001"/>
    <x v="5"/>
    <s v="Todo bien"/>
    <x v="1"/>
    <x v="4"/>
    <n v="860.32355401001337"/>
    <x v="1"/>
    <x v="2"/>
    <s v="Pequeña"/>
    <x v="0"/>
    <n v="1975.0299781335966"/>
  </r>
  <r>
    <s v="Eros Wembley Estate"/>
    <x v="100"/>
    <n v="10174"/>
    <n v="3"/>
    <x v="4"/>
    <x v="0"/>
    <s v=" Sector 50 Gurgaon"/>
    <n v="0"/>
    <n v="0"/>
    <n v="3"/>
    <n v="9"/>
    <n v="2"/>
    <x v="1"/>
    <n v="13"/>
    <n v="0"/>
    <n v="0"/>
    <n v="0"/>
    <n v="1"/>
    <n v="1376.0566149007275"/>
    <m/>
    <n v="137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3760566149007201E-2"/>
    <n v="14000000"/>
    <n v="0.10174"/>
    <x v="2"/>
    <s v="Todo bien"/>
    <x v="1"/>
    <x v="5"/>
    <n v="599.41060670335844"/>
    <x v="1"/>
    <x v="2"/>
    <s v="Pequeña"/>
    <x v="1"/>
    <n v="1376.0566149007275"/>
  </r>
  <r>
    <s v="Bestech Park View Residency"/>
    <x v="144"/>
    <n v="7646"/>
    <n v="3"/>
    <x v="6"/>
    <x v="5"/>
    <s v=" Palam Vihar"/>
    <n v="0"/>
    <n v="0"/>
    <n v="3"/>
    <n v="5"/>
    <n v="3"/>
    <x v="1"/>
    <n v="14"/>
    <n v="0"/>
    <n v="0"/>
    <n v="0"/>
    <n v="0"/>
    <n v="1778.7078210829193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87078210829099E-2"/>
    <n v="13600000"/>
    <n v="7.646E-2"/>
    <x v="2"/>
    <s v="Todo bien"/>
    <x v="1"/>
    <x v="4"/>
    <n v="774.80557314150792"/>
    <x v="1"/>
    <x v="2"/>
    <s v="Pequeña"/>
    <x v="1"/>
    <n v="1778.7078210829193"/>
  </r>
  <r>
    <s v="Bestech Park View Residency"/>
    <x v="205"/>
    <n v="6961"/>
    <n v="2"/>
    <x v="4"/>
    <x v="5"/>
    <s v=" Palam Vihar"/>
    <n v="0"/>
    <n v="0"/>
    <n v="2"/>
    <n v="0"/>
    <n v="3"/>
    <x v="0"/>
    <n v="14"/>
    <n v="0"/>
    <n v="0"/>
    <n v="0"/>
    <n v="0"/>
    <n v="1415.026576641287"/>
    <m/>
    <n v="1415"/>
    <n v="0"/>
    <n v="1"/>
    <n v="0"/>
    <n v="0"/>
    <n v="1"/>
    <n v="0"/>
    <n v="0"/>
    <n v="1"/>
    <n v="1"/>
    <n v="1"/>
    <n v="1"/>
    <n v="1"/>
    <n v="1"/>
    <n v="0"/>
    <n v="1"/>
    <n v="1"/>
    <n v="1"/>
    <n v="3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2657664128E-2"/>
    <n v="9850000"/>
    <n v="6.9610000000000005E-2"/>
    <x v="1"/>
    <s v="Todo bien"/>
    <x v="1"/>
    <x v="3"/>
    <n v="616.38593181510964"/>
    <x v="1"/>
    <x v="2"/>
    <s v="Pequeña"/>
    <x v="1"/>
    <n v="1415.026576641287"/>
  </r>
  <r>
    <s v="Bestech Park View Residency"/>
    <x v="206"/>
    <n v="8632"/>
    <n v="1"/>
    <x v="8"/>
    <x v="5"/>
    <s v=" Palam Vihar"/>
    <n v="0"/>
    <n v="0"/>
    <n v="1"/>
    <n v="6"/>
    <n v="2"/>
    <x v="3"/>
    <n v="8"/>
    <n v="0"/>
    <n v="0"/>
    <n v="0"/>
    <n v="0"/>
    <n v="2290.1708343649416"/>
    <m/>
    <m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x v="1"/>
    <s v="Todo bien"/>
    <x v="0"/>
    <x v="3"/>
    <n v="283.60442655908196"/>
    <x v="0"/>
    <x v="2"/>
    <s v="Pequeña"/>
    <x v="0"/>
    <n v="651.06580166821141"/>
  </r>
  <r>
    <s v="Alpha Corp GurgaonOne "/>
    <x v="18"/>
    <n v="7586"/>
    <n v="4"/>
    <x v="8"/>
    <x v="0"/>
    <s v=" Sector 84 Gurgaon"/>
    <n v="0"/>
    <n v="0"/>
    <n v="4"/>
    <n v="10"/>
    <n v="3"/>
    <x v="2"/>
    <n v="19"/>
    <n v="1"/>
    <n v="0"/>
    <n v="0"/>
    <n v="0"/>
    <n v="3150.174341709751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790930661699E-2"/>
    <n v="22000000.000000004"/>
    <n v="7.5859999999999997E-2"/>
    <x v="3"/>
    <s v="Todo bien"/>
    <x v="0"/>
    <x v="0"/>
    <n v="1263.2751805694681"/>
    <x v="1"/>
    <x v="3"/>
    <s v="Pequeña"/>
    <x v="0"/>
    <n v="2900.0790930661751"/>
  </r>
  <r>
    <s v="Deepak Minda"/>
    <x v="56"/>
    <n v="4528"/>
    <n v="3"/>
    <x v="7"/>
    <x v="5"/>
    <s v=" Sector 1A IMT Manesar"/>
    <n v="0"/>
    <n v="0"/>
    <n v="3"/>
    <n v="6"/>
    <n v="3"/>
    <x v="1"/>
    <n v="10"/>
    <n v="1"/>
    <n v="0"/>
    <n v="0"/>
    <n v="0"/>
    <n v="1559.02004454343"/>
    <m/>
    <m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01766784452201E-2"/>
    <n v="12000000"/>
    <n v="4.5280000000000001E-2"/>
    <x v="2"/>
    <s v="Todo bien"/>
    <x v="0"/>
    <x v="2"/>
    <n v="1154.4176260600666"/>
    <x v="1"/>
    <x v="2"/>
    <s v="Pequeña"/>
    <x v="0"/>
    <n v="2650.1766784452298"/>
  </r>
  <r>
    <s v="Indiabulls Centrum Park"/>
    <x v="207"/>
    <n v="8580"/>
    <n v="3"/>
    <x v="4"/>
    <x v="0"/>
    <s v=" Sector 103 Gurgaon"/>
    <n v="0"/>
    <n v="0"/>
    <n v="3"/>
    <n v="8"/>
    <n v="3"/>
    <x v="1"/>
    <n v="18"/>
    <n v="0"/>
    <n v="1"/>
    <n v="0"/>
    <n v="0"/>
    <n v="1572.0319099014548"/>
    <m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165501165501E-2"/>
    <n v="13300000"/>
    <n v="8.5800000000000001E-2"/>
    <x v="2"/>
    <s v="Todo bien"/>
    <x v="0"/>
    <x v="5"/>
    <n v="675.23115815501171"/>
    <x v="1"/>
    <x v="2"/>
    <s v="Pequeña"/>
    <x v="1"/>
    <n v="1550.1165501165501"/>
  </r>
  <r>
    <s v="Imperia The Esfera"/>
    <x v="147"/>
    <n v="5513"/>
    <n v="2"/>
    <x v="2"/>
    <x v="2"/>
    <s v=" Sector 37C Gurgaon"/>
    <n v="0"/>
    <n v="0"/>
    <n v="3"/>
    <n v="9"/>
    <n v="3"/>
    <x v="0"/>
    <n v="24"/>
    <n v="0"/>
    <n v="1"/>
    <n v="0"/>
    <n v="0"/>
    <n v="1578.0881552693634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x v="1"/>
    <s v="Todo bien"/>
    <x v="0"/>
    <x v="1"/>
    <n v="687.41559637765135"/>
    <x v="1"/>
    <x v="2"/>
    <s v="Pequeña"/>
    <x v="1"/>
    <n v="1578.0881552693634"/>
  </r>
  <r>
    <s v="SS The Leaf"/>
    <x v="195"/>
    <n v="6666"/>
    <n v="2"/>
    <x v="6"/>
    <x v="0"/>
    <s v=" Sector 85 Gurgaon"/>
    <n v="0"/>
    <n v="0"/>
    <n v="2"/>
    <n v="9"/>
    <n v="3"/>
    <x v="0"/>
    <n v="26"/>
    <n v="0"/>
    <n v="0"/>
    <n v="0"/>
    <n v="1"/>
    <n v="2366.0977045320778"/>
    <n v="1638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51635163516301E-2"/>
    <n v="10900000"/>
    <n v="6.6659999999999997E-2"/>
    <x v="2"/>
    <s v="Todo bien"/>
    <x v="0"/>
    <x v="5"/>
    <n v="712.27763798529634"/>
    <x v="1"/>
    <x v="2"/>
    <s v="Mediana"/>
    <x v="1"/>
    <n v="1635.1635163516353"/>
  </r>
  <r>
    <s v="Emaar MGF The Palm Drive"/>
    <x v="101"/>
    <n v="15384"/>
    <n v="3"/>
    <x v="4"/>
    <x v="0"/>
    <s v=" Sector 66 Gurgaon"/>
    <n v="0"/>
    <n v="0"/>
    <n v="3"/>
    <n v="12"/>
    <n v="2"/>
    <x v="1"/>
    <n v="17"/>
    <n v="1"/>
    <n v="0"/>
    <n v="0"/>
    <n v="0"/>
    <n v="2262.0721987810598"/>
    <n v="1720"/>
    <n v="1950"/>
    <n v="1"/>
    <n v="0"/>
    <n v="1"/>
    <n v="1"/>
    <n v="1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30000000"/>
    <n v="0.15384"/>
    <x v="5"/>
    <s v="Todo bien"/>
    <x v="0"/>
    <x v="4"/>
    <n v="849.4544674336953"/>
    <x v="1"/>
    <x v="2"/>
    <s v="Mediana"/>
    <x v="1"/>
    <n v="1950.0780031201248"/>
  </r>
  <r>
    <s v="Emaar Palm Gardens"/>
    <x v="68"/>
    <n v="9210"/>
    <n v="3"/>
    <x v="4"/>
    <x v="0"/>
    <s v=" Sector 83 Gurgaon"/>
    <n v="0"/>
    <n v="0"/>
    <n v="3"/>
    <n v="11"/>
    <n v="3"/>
    <x v="1"/>
    <n v="16"/>
    <n v="1"/>
    <n v="0"/>
    <n v="0"/>
    <n v="0"/>
    <n v="1505.174035747883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085776330001E-2"/>
    <n v="17500000"/>
    <n v="9.2100000000000001E-2"/>
    <x v="3"/>
    <s v="Todo bien"/>
    <x v="0"/>
    <x v="4"/>
    <n v="827.68777315417708"/>
    <x v="1"/>
    <x v="2"/>
    <s v="Pequeña"/>
    <x v="1"/>
    <n v="1900.1085776330076"/>
  </r>
  <r>
    <s v="Emaar Palm Gardens"/>
    <x v="68"/>
    <n v="9210"/>
    <n v="3"/>
    <x v="7"/>
    <x v="0"/>
    <s v=" Sector 83 Gurgaon"/>
    <n v="0"/>
    <n v="0"/>
    <n v="3"/>
    <n v="6"/>
    <n v="3"/>
    <x v="1"/>
    <n v="16"/>
    <n v="1"/>
    <n v="0"/>
    <n v="0"/>
    <n v="0"/>
    <n v="2244.154623428504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085776330001E-2"/>
    <n v="17500000"/>
    <n v="9.2100000000000001E-2"/>
    <x v="3"/>
    <s v="Todo bien"/>
    <x v="1"/>
    <x v="4"/>
    <n v="827.68777315417708"/>
    <x v="1"/>
    <x v="2"/>
    <s v="Pequeña"/>
    <x v="1"/>
    <n v="1900.1085776330076"/>
  </r>
  <r>
    <s v="Ireo Skyon"/>
    <x v="208"/>
    <n v="13571"/>
    <n v="4"/>
    <x v="4"/>
    <x v="5"/>
    <s v=" Sector 60 Gurgaon"/>
    <n v="0"/>
    <n v="0"/>
    <n v="5"/>
    <n v="15"/>
    <n v="3"/>
    <x v="2"/>
    <n v="39"/>
    <n v="1"/>
    <n v="0"/>
    <n v="0"/>
    <n v="0"/>
    <n v="1572.0319099014548"/>
    <n v="2791"/>
    <n v="28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6"/>
    <n v="1"/>
    <n v="4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2.8000884238449601E-2"/>
    <n v="38000000"/>
    <n v="0.13571"/>
    <x v="5"/>
    <s v="Todo bien"/>
    <x v="1"/>
    <x v="5"/>
    <n v="1219.7192199690503"/>
    <x v="1"/>
    <x v="2"/>
    <s v="Muy grande"/>
    <x v="2"/>
    <n v="2800.0884238449635"/>
  </r>
  <r>
    <s v="DLF The Ultima"/>
    <x v="151"/>
    <n v="11686"/>
    <n v="4"/>
    <x v="2"/>
    <x v="0"/>
    <s v=" Sector 81 Gurgaon"/>
    <n v="0"/>
    <n v="0"/>
    <n v="5"/>
    <n v="7"/>
    <n v="3"/>
    <x v="2"/>
    <n v="12"/>
    <n v="1"/>
    <n v="0"/>
    <n v="0"/>
    <n v="0"/>
    <n v="2325.2858958068614"/>
    <m/>
    <n v="2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4"/>
    <n v="1"/>
    <n v="0"/>
    <n v="0"/>
    <n v="0"/>
    <n v="1"/>
    <n v="5"/>
    <n v="1"/>
    <n v="0"/>
    <n v="0"/>
    <n v="0"/>
    <n v="0"/>
    <n v="0"/>
    <n v="0"/>
    <n v="1"/>
    <n v="2.9950367961663501E-2"/>
    <n v="35000000"/>
    <n v="0.11686000000000001"/>
    <x v="5"/>
    <s v="Todo bien"/>
    <x v="2"/>
    <x v="5"/>
    <n v="1304.6387798647943"/>
    <x v="1"/>
    <x v="2"/>
    <s v="Pequeña"/>
    <x v="2"/>
    <n v="2995.0367961663528"/>
  </r>
  <r>
    <s v="DLF Regal Gardens"/>
    <x v="186"/>
    <n v="8036"/>
    <n v="4"/>
    <x v="8"/>
    <x v="0"/>
    <s v=" Sector 90 Gurgaon"/>
    <n v="0"/>
    <n v="0"/>
    <n v="4"/>
    <n v="8"/>
    <n v="3"/>
    <x v="2"/>
    <n v="19"/>
    <n v="0"/>
    <n v="0"/>
    <n v="0"/>
    <n v="0"/>
    <n v="2450.0796275878965"/>
    <n v="200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323544051699E-2"/>
    <n v="17800000"/>
    <n v="8.0360000000000001E-2"/>
    <x v="3"/>
    <s v="Todo bien"/>
    <x v="0"/>
    <x v="5"/>
    <n v="964.86864933050981"/>
    <x v="1"/>
    <x v="2"/>
    <s v="Grande"/>
    <x v="2"/>
    <n v="2215.0323544051766"/>
  </r>
  <r>
    <s v="SS The Leaf"/>
    <x v="85"/>
    <n v="6585"/>
    <n v="2"/>
    <x v="2"/>
    <x v="2"/>
    <s v=" Sector 85 Gurgaon"/>
    <n v="0"/>
    <n v="0"/>
    <n v="2"/>
    <n v="8"/>
    <n v="3"/>
    <x v="0"/>
    <n v="26"/>
    <n v="1"/>
    <n v="1"/>
    <n v="1"/>
    <n v="1"/>
    <n v="1875.0483259877831"/>
    <n v="1200"/>
    <n v="164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00911161731199E-2"/>
    <n v="10800000"/>
    <n v="6.5850000000000006E-2"/>
    <x v="2"/>
    <s v="Todo bien"/>
    <x v="1"/>
    <x v="5"/>
    <n v="714.42410170387211"/>
    <x v="1"/>
    <x v="2"/>
    <s v="Mediana"/>
    <x v="1"/>
    <n v="1640.0911161731206"/>
  </r>
  <r>
    <s v="SS The Leaf"/>
    <x v="209"/>
    <n v="7230"/>
    <n v="4"/>
    <x v="2"/>
    <x v="0"/>
    <s v=" Sector 85 Gurgaon"/>
    <n v="0"/>
    <n v="0"/>
    <n v="4"/>
    <n v="3"/>
    <n v="3"/>
    <x v="2"/>
    <n v="26"/>
    <n v="0"/>
    <n v="0"/>
    <n v="0"/>
    <n v="0"/>
    <n v="1875.0000000000002"/>
    <n v="2225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77455048409399E-2"/>
    <n v="20300000"/>
    <n v="7.2300000000000003E-2"/>
    <x v="3"/>
    <s v="Todo bien"/>
    <x v="0"/>
    <x v="1"/>
    <n v="1223.0546463720607"/>
    <x v="1"/>
    <x v="2"/>
    <s v="Grande"/>
    <x v="2"/>
    <n v="2807.7455048409406"/>
  </r>
  <r>
    <s v="SS The Leaf"/>
    <x v="210"/>
    <n v="6453"/>
    <n v="2"/>
    <x v="4"/>
    <x v="0"/>
    <s v=" Sector 85 Gurgaon"/>
    <n v="0"/>
    <n v="0"/>
    <n v="2"/>
    <n v="10"/>
    <n v="3"/>
    <x v="0"/>
    <n v="26"/>
    <n v="0"/>
    <n v="0"/>
    <n v="0"/>
    <n v="0"/>
    <n v="1215.1129675337004"/>
    <n v="1485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6268402293502E-2"/>
    <n v="11200000"/>
    <n v="6.4530000000000004E-2"/>
    <x v="2"/>
    <s v="Todo bien"/>
    <x v="0"/>
    <x v="1"/>
    <n v="756.03948707267921"/>
    <x v="1"/>
    <x v="2"/>
    <s v="Mediana"/>
    <x v="1"/>
    <n v="1735.6268402293506"/>
  </r>
  <r>
    <s v="SS The Leaf"/>
    <x v="6"/>
    <n v="6578"/>
    <n v="4"/>
    <x v="3"/>
    <x v="0"/>
    <s v=" Sector 85 Gurgaon"/>
    <n v="0"/>
    <n v="0"/>
    <n v="5"/>
    <n v="1"/>
    <n v="3"/>
    <x v="2"/>
    <n v="26"/>
    <n v="1"/>
    <n v="0"/>
    <n v="0"/>
    <n v="1"/>
    <n v="3040.4378230465186"/>
    <m/>
    <n v="2812"/>
    <n v="0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04378230465101E-2"/>
    <n v="20000000"/>
    <n v="6.5780000000000005E-2"/>
    <x v="3"/>
    <s v="Todo bien"/>
    <x v="0"/>
    <x v="4"/>
    <n v="1324.4154785649098"/>
    <x v="1"/>
    <x v="3"/>
    <s v="Pequeña"/>
    <x v="2"/>
    <n v="3040.4378230465186"/>
  </r>
  <r>
    <s v="SS The Leaf"/>
    <x v="211"/>
    <n v="5973"/>
    <n v="2"/>
    <x v="0"/>
    <x v="0"/>
    <s v=" Sector 85 Gurgaon"/>
    <n v="0"/>
    <n v="0"/>
    <n v="3"/>
    <n v="4"/>
    <n v="3"/>
    <x v="0"/>
    <n v="26"/>
    <n v="0"/>
    <n v="0"/>
    <n v="0"/>
    <n v="1"/>
    <n v="1741.1685919973213"/>
    <m/>
    <n v="1741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685919973201E-2"/>
    <n v="10400000"/>
    <n v="5.9729999999999998E-2"/>
    <x v="2"/>
    <s v="Todo bien"/>
    <x v="0"/>
    <x v="5"/>
    <n v="758.45347553323245"/>
    <x v="1"/>
    <x v="2"/>
    <s v="Pequeña"/>
    <x v="1"/>
    <n v="1741.1685919973213"/>
  </r>
  <r>
    <s v="Orris Aster Court Premier"/>
    <x v="43"/>
    <n v="5896"/>
    <n v="3"/>
    <x v="5"/>
    <x v="0"/>
    <s v=" Sector 85 Gurgaon"/>
    <n v="0"/>
    <n v="0"/>
    <n v="4"/>
    <n v="5"/>
    <n v="2"/>
    <x v="1"/>
    <n v="12"/>
    <n v="1"/>
    <n v="0"/>
    <n v="0"/>
    <n v="0"/>
    <n v="1368.0023285146017"/>
    <n v="1900"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08141112618E-2"/>
    <n v="12500000"/>
    <n v="5.8959999999999999E-2"/>
    <x v="2"/>
    <s v="Todo bien"/>
    <x v="1"/>
    <x v="5"/>
    <n v="923.50799461499014"/>
    <x v="1"/>
    <x v="2"/>
    <s v="Grande"/>
    <x v="2"/>
    <n v="2120.0814111261875"/>
  </r>
  <r>
    <s v="Ireo Skyon"/>
    <x v="111"/>
    <n v="15185"/>
    <n v="2"/>
    <x v="2"/>
    <x v="0"/>
    <s v=" Sector 60 Gurgaon"/>
    <n v="0"/>
    <n v="0"/>
    <n v="3"/>
    <n v="2"/>
    <n v="2"/>
    <x v="0"/>
    <n v="12"/>
    <n v="0"/>
    <n v="0"/>
    <n v="0"/>
    <n v="1"/>
    <n v="2100.0840033601344"/>
    <n v="1520"/>
    <n v="152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3"/>
    <n v="1"/>
    <n v="3"/>
    <n v="1"/>
    <n v="0"/>
    <n v="0"/>
    <n v="0"/>
    <n v="0"/>
    <n v="5"/>
    <n v="1"/>
    <n v="1"/>
    <n v="0"/>
    <n v="0"/>
    <n v="1"/>
    <n v="2"/>
    <n v="1"/>
    <n v="0"/>
    <n v="0"/>
    <n v="0"/>
    <n v="0"/>
    <n v="0"/>
    <n v="0"/>
    <n v="2"/>
    <n v="1.3500164636154E-2"/>
    <n v="20500000"/>
    <n v="0.15185000000000001"/>
    <x v="3"/>
    <s v="Todo bien"/>
    <x v="1"/>
    <x v="5"/>
    <n v="588.06751026999893"/>
    <x v="1"/>
    <x v="2"/>
    <s v="Mediana"/>
    <x v="1"/>
    <n v="1350.0164636154097"/>
  </r>
  <r>
    <s v="Tata Primanti"/>
    <x v="212"/>
    <n v="12152"/>
    <n v="4"/>
    <x v="5"/>
    <x v="0"/>
    <s v=" Sector 72 Gurgaon"/>
    <n v="0"/>
    <n v="0"/>
    <n v="5"/>
    <n v="20"/>
    <n v="3"/>
    <x v="2"/>
    <n v="40"/>
    <n v="1"/>
    <n v="0"/>
    <n v="0"/>
    <n v="0"/>
    <n v="2625.0822909809085"/>
    <m/>
    <n v="26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250822909808999E-2"/>
    <n v="31900000"/>
    <n v="0.12152"/>
    <x v="5"/>
    <s v="Todo bien"/>
    <x v="1"/>
    <x v="5"/>
    <n v="1143.4865045844269"/>
    <x v="1"/>
    <x v="3"/>
    <s v="Pequeña"/>
    <x v="2"/>
    <n v="2625.0822909809085"/>
  </r>
  <r>
    <s v="Tata Primanti"/>
    <x v="103"/>
    <n v="13253"/>
    <n v="4"/>
    <x v="5"/>
    <x v="0"/>
    <s v=" Sector 72 Gurgaon"/>
    <n v="0"/>
    <n v="0"/>
    <n v="5"/>
    <n v="13"/>
    <n v="3"/>
    <x v="2"/>
    <n v="40"/>
    <n v="1"/>
    <n v="0"/>
    <n v="0"/>
    <n v="0"/>
    <n v="2905.0026409114917"/>
    <m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026409114901E-2"/>
    <n v="38500000"/>
    <n v="0.13253000000000001"/>
    <x v="5"/>
    <s v="Todo bien"/>
    <x v="1"/>
    <x v="5"/>
    <n v="1265.4198792462078"/>
    <x v="1"/>
    <x v="3"/>
    <s v="Pequeña"/>
    <x v="2"/>
    <n v="2905.0026409114917"/>
  </r>
  <r>
    <s v="Tata Primanti"/>
    <x v="34"/>
    <n v="12190"/>
    <n v="4"/>
    <x v="5"/>
    <x v="5"/>
    <s v=" Sector 72 Gurgaon"/>
    <n v="0"/>
    <n v="0"/>
    <n v="4"/>
    <n v="8"/>
    <n v="3"/>
    <x v="2"/>
    <n v="40"/>
    <n v="1"/>
    <n v="0"/>
    <n v="0"/>
    <n v="0"/>
    <n v="2033.0020968183062"/>
    <n v="2600"/>
    <n v="26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251025430680801E-2"/>
    <n v="32000000"/>
    <n v="0.12189999999999999"/>
    <x v="5"/>
    <s v="Todo bien"/>
    <x v="1"/>
    <x v="5"/>
    <n v="1143.4953263986838"/>
    <x v="1"/>
    <x v="2"/>
    <s v="Muy grande"/>
    <x v="2"/>
    <n v="2625.1025430680888"/>
  </r>
  <r>
    <s v="Antriksh Heights"/>
    <x v="213"/>
    <n v="4370"/>
    <n v="3"/>
    <x v="5"/>
    <x v="0"/>
    <s v=" Sector 84 Gurgaon"/>
    <n v="0"/>
    <n v="0"/>
    <n v="3"/>
    <n v="8"/>
    <n v="3"/>
    <x v="1"/>
    <n v="19"/>
    <n v="0"/>
    <n v="0"/>
    <n v="1"/>
    <n v="0"/>
    <n v="2025.1716247139586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1716247139499E-2"/>
    <n v="8850000"/>
    <n v="4.3700000000000003E-2"/>
    <x v="1"/>
    <s v="Todo bien"/>
    <x v="0"/>
    <x v="3"/>
    <n v="882.16526784095731"/>
    <x v="1"/>
    <x v="2"/>
    <s v="Pequeña"/>
    <x v="2"/>
    <n v="2025.1716247139586"/>
  </r>
  <r>
    <s v="Antriksh Heights"/>
    <x v="214"/>
    <n v="4355"/>
    <n v="2"/>
    <x v="4"/>
    <x v="0"/>
    <s v=" Sector 84 Gurgaon"/>
    <n v="0"/>
    <n v="0"/>
    <n v="2"/>
    <n v="16"/>
    <n v="2"/>
    <x v="0"/>
    <n v="19"/>
    <n v="0"/>
    <n v="0"/>
    <n v="0"/>
    <n v="0"/>
    <n v="1125.1435132032148"/>
    <m/>
    <n v="1125"/>
    <n v="0"/>
    <n v="0"/>
    <n v="0"/>
    <n v="0"/>
    <n v="0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1435132032099E-2"/>
    <n v="4900000"/>
    <n v="4.3549999999999998E-2"/>
    <x v="0"/>
    <s v="Todo bien"/>
    <x v="0"/>
    <x v="1"/>
    <n v="490.11279664982573"/>
    <x v="0"/>
    <x v="0"/>
    <s v="Pequeña"/>
    <x v="1"/>
    <n v="1125.1435132032148"/>
  </r>
  <r>
    <s v="Shree Vardhman Victoria"/>
    <x v="71"/>
    <n v="8461"/>
    <n v="3"/>
    <x v="5"/>
    <x v="0"/>
    <s v=" Sector 70 Gurgaon"/>
    <n v="0"/>
    <n v="0"/>
    <n v="4"/>
    <n v="12"/>
    <n v="3"/>
    <x v="1"/>
    <n v="18"/>
    <n v="1"/>
    <n v="0"/>
    <n v="0"/>
    <n v="1"/>
    <n v="1950.1240988062875"/>
    <m/>
    <n v="1950"/>
    <n v="1"/>
    <n v="0"/>
    <n v="1"/>
    <n v="1"/>
    <n v="0"/>
    <n v="0"/>
    <n v="0"/>
    <n v="1"/>
    <n v="1"/>
    <n v="1"/>
    <n v="0"/>
    <n v="1"/>
    <n v="1"/>
    <n v="1"/>
    <n v="0"/>
    <n v="1"/>
    <n v="1"/>
    <n v="41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4"/>
    <n v="849.47454672615208"/>
    <x v="1"/>
    <x v="2"/>
    <s v="Pequeña"/>
    <x v="1"/>
    <n v="1950.1240988062875"/>
  </r>
  <r>
    <s v="Bestech Park View Grand Spa"/>
    <x v="168"/>
    <n v="8834"/>
    <n v="3"/>
    <x v="7"/>
    <x v="0"/>
    <s v=" Sector 81 Gurgaon"/>
    <n v="0"/>
    <n v="0"/>
    <n v="4"/>
    <n v="10"/>
    <n v="3"/>
    <x v="1"/>
    <n v="19"/>
    <n v="1"/>
    <n v="0"/>
    <n v="0"/>
    <n v="0"/>
    <n v="6926.0241674034778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01765904459999E-2"/>
    <n v="23500000"/>
    <n v="8.8340000000000002E-2"/>
    <x v="3"/>
    <s v="Todo bien"/>
    <x v="0"/>
    <x v="5"/>
    <n v="1158.7735902365841"/>
    <x v="1"/>
    <x v="3"/>
    <s v="Pequeña"/>
    <x v="2"/>
    <n v="2660.176590446004"/>
  </r>
  <r>
    <s v="Bestech Park View Ananda"/>
    <x v="100"/>
    <n v="7734"/>
    <n v="3"/>
    <x v="7"/>
    <x v="0"/>
    <s v=" Sector 81 Gurgaon"/>
    <n v="0"/>
    <n v="0"/>
    <n v="3"/>
    <n v="6"/>
    <n v="3"/>
    <x v="1"/>
    <n v="15"/>
    <n v="0"/>
    <n v="0"/>
    <n v="0"/>
    <n v="0"/>
    <n v="1817.8813419269543"/>
    <m/>
    <n v="18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01887768295799E-2"/>
    <n v="14000000"/>
    <n v="7.7340000000000006E-2"/>
    <x v="2"/>
    <s v="Todo bien"/>
    <x v="0"/>
    <x v="5"/>
    <n v="788.51868536332915"/>
    <x v="1"/>
    <x v="2"/>
    <s v="Pequeña"/>
    <x v="1"/>
    <n v="1810.1887768295835"/>
  </r>
  <r>
    <s v="Mapsko Royale Ville"/>
    <x v="115"/>
    <n v="5418"/>
    <n v="3"/>
    <x v="7"/>
    <x v="0"/>
    <s v=" Sector 82 Gurgaon"/>
    <n v="0"/>
    <n v="0"/>
    <n v="4"/>
    <n v="16"/>
    <n v="2"/>
    <x v="1"/>
    <n v="19"/>
    <n v="1"/>
    <n v="0"/>
    <n v="0"/>
    <n v="0"/>
    <n v="1790.328534514581"/>
    <m/>
    <n v="179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3285345145799E-2"/>
    <n v="9700000"/>
    <n v="5.4179999999999999E-2"/>
    <x v="1"/>
    <s v="Todo bien"/>
    <x v="0"/>
    <x v="5"/>
    <n v="779.86755882798036"/>
    <x v="1"/>
    <x v="2"/>
    <s v="Pequeña"/>
    <x v="1"/>
    <n v="1790.328534514581"/>
  </r>
  <r>
    <s v="The Close North"/>
    <x v="168"/>
    <n v="11358"/>
    <n v="3"/>
    <x v="7"/>
    <x v="5"/>
    <s v=" Nirvana Country"/>
    <n v="0"/>
    <n v="0"/>
    <n v="3"/>
    <n v="8"/>
    <n v="3"/>
    <x v="1"/>
    <n v="16"/>
    <n v="0"/>
    <n v="0"/>
    <n v="0"/>
    <n v="0"/>
    <n v="2812.3744475693047"/>
    <n v="1900"/>
    <n v="206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06902623701355E-2"/>
    <n v="23500000"/>
    <n v="0.11358"/>
    <x v="3"/>
    <s v="Todo bien"/>
    <x v="1"/>
    <x v="1"/>
    <n v="901.26834796178525"/>
    <x v="1"/>
    <x v="3"/>
    <s v="Grande"/>
    <x v="2"/>
    <n v="2069.0262370135588"/>
  </r>
  <r>
    <s v="Bestech Park View Spa Next"/>
    <x v="194"/>
    <n v="12599"/>
    <n v="4"/>
    <x v="0"/>
    <x v="5"/>
    <s v=" Sector 67 Gurgaon"/>
    <n v="0"/>
    <n v="0"/>
    <n v="5"/>
    <n v="12"/>
    <n v="3"/>
    <x v="2"/>
    <n v="15"/>
    <n v="1"/>
    <n v="0"/>
    <n v="0"/>
    <n v="0"/>
    <n v="2635.1297722041436"/>
    <m/>
    <n v="26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6351297722041402E-2"/>
    <n v="33200000"/>
    <n v="0.12598999999999999"/>
    <x v="5"/>
    <s v="Todo bien"/>
    <x v="1"/>
    <x v="5"/>
    <n v="1147.8631899261834"/>
    <x v="1"/>
    <x v="3"/>
    <s v="Pequeña"/>
    <x v="2"/>
    <n v="2635.1297722041436"/>
  </r>
  <r>
    <s v="Vatika Gurgaon "/>
    <x v="43"/>
    <n v="6313"/>
    <n v="3"/>
    <x v="5"/>
    <x v="5"/>
    <s v=" Sector 83 Gurgaon"/>
    <n v="0"/>
    <n v="0"/>
    <n v="3"/>
    <n v="12"/>
    <n v="2"/>
    <x v="1"/>
    <n v="18"/>
    <n v="1"/>
    <n v="0"/>
    <n v="0"/>
    <n v="0"/>
    <n v="3198.1578610720226"/>
    <n v="1700"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x v="2"/>
    <s v="Todo bien"/>
    <x v="0"/>
    <x v="5"/>
    <n v="862.50643691588584"/>
    <x v="1"/>
    <x v="3"/>
    <s v="Mediana"/>
    <x v="1"/>
    <n v="1980.0411848566448"/>
  </r>
  <r>
    <s v="MM Merlin"/>
    <x v="40"/>
    <n v="13678"/>
    <n v="3"/>
    <x v="2"/>
    <x v="5"/>
    <s v=" Sector 67 Gurgaon"/>
    <n v="0"/>
    <n v="0"/>
    <n v="3"/>
    <n v="5"/>
    <n v="3"/>
    <x v="1"/>
    <n v="22"/>
    <n v="1"/>
    <n v="0"/>
    <n v="0"/>
    <n v="0"/>
    <n v="2361.1789610812571"/>
    <m/>
    <n v="2047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6"/>
    <n v="1"/>
    <n v="1"/>
    <n v="2"/>
    <n v="1"/>
    <n v="1"/>
    <n v="1"/>
    <n v="1"/>
    <n v="0"/>
    <n v="0"/>
    <n v="0"/>
    <n v="0"/>
    <n v="0"/>
    <n v="0"/>
    <n v="1"/>
    <n v="2.0470829068577199E-2"/>
    <n v="28000000"/>
    <n v="0.13678000000000001"/>
    <x v="5"/>
    <s v="Todo bien"/>
    <x v="2"/>
    <x v="0"/>
    <n v="891.70982784032412"/>
    <x v="1"/>
    <x v="2"/>
    <s v="Pequeña"/>
    <x v="2"/>
    <n v="2047.0829068577275"/>
  </r>
  <r>
    <s v="MM Latitude"/>
    <x v="215"/>
    <n v="19747"/>
    <n v="3"/>
    <x v="2"/>
    <x v="0"/>
    <s v=" Sector 65 Gurgaon"/>
    <n v="0"/>
    <n v="0"/>
    <n v="3"/>
    <n v="9"/>
    <n v="3"/>
    <x v="1"/>
    <n v="42"/>
    <n v="1"/>
    <n v="0"/>
    <n v="1"/>
    <n v="0"/>
    <n v="1930.2152932442466"/>
    <m/>
    <n v="238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0"/>
    <n v="0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8010837089178E-2"/>
    <n v="47000000"/>
    <n v="0.19747000000000001"/>
    <x v="4"/>
    <s v="Todo bien"/>
    <x v="1"/>
    <x v="1"/>
    <n v="1036.7758035296497"/>
    <x v="1"/>
    <x v="2"/>
    <s v="Pequeña"/>
    <x v="2"/>
    <n v="2380.1083708917809"/>
  </r>
  <r>
    <s v="Emaar Gurgaon Greens"/>
    <x v="35"/>
    <n v="7878"/>
    <n v="3"/>
    <x v="2"/>
    <x v="0"/>
    <s v=" Sector 102 Gurgaon"/>
    <n v="0"/>
    <n v="0"/>
    <n v="3"/>
    <n v="7"/>
    <n v="3"/>
    <x v="1"/>
    <n v="14"/>
    <n v="1"/>
    <n v="0"/>
    <n v="0"/>
    <n v="0"/>
    <n v="2579.0239386324561"/>
    <m/>
    <n v="1650"/>
    <n v="1"/>
    <n v="1"/>
    <n v="1"/>
    <n v="1"/>
    <n v="0"/>
    <n v="0"/>
    <n v="0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65016501650165E-2"/>
    <n v="13000000"/>
    <n v="7.8780000000000003E-2"/>
    <x v="2"/>
    <s v="Todo bien"/>
    <x v="0"/>
    <x v="4"/>
    <n v="718.81229521452144"/>
    <x v="1"/>
    <x v="3"/>
    <s v="Pequeña"/>
    <x v="1"/>
    <n v="1650.1650165016501"/>
  </r>
  <r>
    <s v="Umang Monsoon Breeze"/>
    <x v="216"/>
    <n v="5004"/>
    <n v="2"/>
    <x v="8"/>
    <x v="5"/>
    <s v=" Sector 78 Gurgaon"/>
    <n v="0"/>
    <n v="0"/>
    <n v="2"/>
    <n v="7"/>
    <n v="1"/>
    <x v="0"/>
    <n v="12"/>
    <n v="0"/>
    <n v="0"/>
    <n v="0"/>
    <n v="1"/>
    <n v="548.02861927233982"/>
    <n v="1115"/>
    <n v="1239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900879296562E-2"/>
    <n v="6200000"/>
    <n v="5.0040000000000001E-2"/>
    <x v="1"/>
    <s v="Todo bien"/>
    <x v="1"/>
    <x v="5"/>
    <n v="539.7125410831303"/>
    <x v="1"/>
    <x v="1"/>
    <s v="Mediana"/>
    <x v="1"/>
    <n v="1239.0087929656274"/>
  </r>
  <r>
    <s v="Umang Monsoon Breeze"/>
    <x v="42"/>
    <n v="4836"/>
    <n v="3"/>
    <x v="8"/>
    <x v="5"/>
    <s v=" Sector 78 Gurgaon"/>
    <n v="0"/>
    <n v="0"/>
    <n v="2"/>
    <n v="7"/>
    <n v="2"/>
    <x v="1"/>
    <n v="12"/>
    <n v="0"/>
    <n v="0"/>
    <n v="1"/>
    <n v="0"/>
    <n v="548.06695304399352"/>
    <n v="1472"/>
    <n v="16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542597187758398E-2"/>
    <n v="8000000"/>
    <n v="4.836E-2"/>
    <x v="1"/>
    <s v="Todo bien"/>
    <x v="1"/>
    <x v="5"/>
    <n v="720.5959485525193"/>
    <x v="1"/>
    <x v="1"/>
    <s v="Mediana"/>
    <x v="1"/>
    <n v="1654.2597187758479"/>
  </r>
  <r>
    <s v="Emaar Palm Gardens"/>
    <x v="217"/>
    <n v="9105"/>
    <n v="3"/>
    <x v="0"/>
    <x v="0"/>
    <s v=" Sector 83 Gurgaon"/>
    <n v="0"/>
    <n v="0"/>
    <n v="3"/>
    <n v="5"/>
    <n v="3"/>
    <x v="1"/>
    <n v="16"/>
    <n v="1"/>
    <n v="0"/>
    <n v="0"/>
    <n v="0"/>
    <n v="2250.212284177752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549148819299E-2"/>
    <n v="17300000"/>
    <n v="9.1050000000000006E-2"/>
    <x v="3"/>
    <s v="Todo bien"/>
    <x v="1"/>
    <x v="5"/>
    <n v="827.66439764634686"/>
    <x v="1"/>
    <x v="2"/>
    <s v="Mediana"/>
    <x v="1"/>
    <n v="1900.054914881933"/>
  </r>
  <r>
    <s v="Bestech Spa Signature"/>
    <x v="218"/>
    <n v="10595"/>
    <n v="4"/>
    <x v="6"/>
    <x v="0"/>
    <s v=" Sector 81 Gurgaon"/>
    <n v="0"/>
    <n v="0"/>
    <n v="4"/>
    <n v="8"/>
    <n v="3"/>
    <x v="2"/>
    <n v="31"/>
    <n v="1"/>
    <n v="1"/>
    <n v="1"/>
    <n v="0"/>
    <n v="1900.1441488664657"/>
    <n v="385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4.2000943841434601E-2"/>
    <n v="44500000"/>
    <n v="0.10595"/>
    <x v="4"/>
    <s v="Todo bien"/>
    <x v="1"/>
    <x v="1"/>
    <n v="1829.5621675365724"/>
    <x v="3"/>
    <x v="2"/>
    <s v="Muy grande"/>
    <x v="3"/>
    <n v="4200.0943841434637"/>
  </r>
  <r>
    <s v="Bestech Park View Grand Spa"/>
    <x v="133"/>
    <n v="8646"/>
    <n v="3"/>
    <x v="4"/>
    <x v="0"/>
    <s v=" Sector 81 Gurgaon"/>
    <n v="0"/>
    <n v="0"/>
    <n v="4"/>
    <n v="7"/>
    <n v="3"/>
    <x v="1"/>
    <n v="21"/>
    <n v="1"/>
    <n v="0"/>
    <n v="0"/>
    <n v="0"/>
    <n v="1923.3430192334301"/>
    <n v="2280"/>
    <n v="26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7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601896830904401E-2"/>
    <n v="23000000"/>
    <n v="8.6459999999999995E-2"/>
    <x v="3"/>
    <s v="Todo bien"/>
    <x v="1"/>
    <x v="1"/>
    <n v="1158.7792933957874"/>
    <x v="1"/>
    <x v="2"/>
    <s v="Grande"/>
    <x v="2"/>
    <n v="2660.1896830904466"/>
  </r>
  <r>
    <s v="DLF The Ultima"/>
    <x v="18"/>
    <n v="10461"/>
    <n v="3"/>
    <x v="4"/>
    <x v="0"/>
    <s v=" Sector 81 Gurgaon"/>
    <n v="0"/>
    <n v="0"/>
    <n v="3"/>
    <n v="5"/>
    <n v="3"/>
    <x v="1"/>
    <n v="29"/>
    <n v="1"/>
    <n v="1"/>
    <n v="1"/>
    <n v="0"/>
    <n v="2355.1241792749074"/>
    <n v="157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0494216614001E-2"/>
    <n v="22000000.000000004"/>
    <n v="0.10460999999999999"/>
    <x v="3"/>
    <s v="Todo bien"/>
    <x v="2"/>
    <x v="1"/>
    <n v="916.0888557308059"/>
    <x v="1"/>
    <x v="2"/>
    <s v="Mediana"/>
    <x v="2"/>
    <n v="2103.0494216614093"/>
  </r>
  <r>
    <s v="DLF The Ultima"/>
    <x v="134"/>
    <n v="10080"/>
    <n v="3"/>
    <x v="8"/>
    <x v="0"/>
    <s v=" Sector 81 Gurgaon"/>
    <n v="0"/>
    <n v="0"/>
    <n v="3"/>
    <n v="9"/>
    <n v="3"/>
    <x v="1"/>
    <n v="30"/>
    <n v="1"/>
    <n v="1"/>
    <n v="1"/>
    <n v="0"/>
    <n v="1910.0346020761247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1746031745999E-2"/>
    <n v="21200000"/>
    <n v="0.1008"/>
    <x v="3"/>
    <s v="Todo bien"/>
    <x v="2"/>
    <x v="1"/>
    <n v="916.14338482936375"/>
    <x v="1"/>
    <x v="2"/>
    <s v="Mediana"/>
    <x v="2"/>
    <n v="2103.1746031746034"/>
  </r>
  <r>
    <s v="DLF The Ultima"/>
    <x v="39"/>
    <n v="10699"/>
    <n v="3"/>
    <x v="2"/>
    <x v="0"/>
    <s v=" Sector 81 Gurgaon"/>
    <n v="0"/>
    <n v="0"/>
    <n v="3"/>
    <n v="11"/>
    <n v="3"/>
    <x v="1"/>
    <n v="29"/>
    <n v="1"/>
    <n v="1"/>
    <n v="1"/>
    <n v="0"/>
    <n v="2256.317689530686"/>
    <n v="160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002804000299E-2"/>
    <n v="22500000"/>
    <n v="0.10699"/>
    <x v="3"/>
    <s v="Todo bien"/>
    <x v="2"/>
    <x v="1"/>
    <n v="916.06744978502343"/>
    <x v="1"/>
    <x v="2"/>
    <s v="Mediana"/>
    <x v="2"/>
    <n v="2103.0002804000374"/>
  </r>
  <r>
    <s v="Bestech Park View Sanskruti"/>
    <x v="49"/>
    <n v="8172"/>
    <n v="4"/>
    <x v="0"/>
    <x v="0"/>
    <s v=" Sector 92 Gurgaon"/>
    <n v="0"/>
    <n v="0"/>
    <n v="4"/>
    <n v="10"/>
    <n v="3"/>
    <x v="2"/>
    <n v="19"/>
    <n v="1"/>
    <n v="1"/>
    <n v="1"/>
    <n v="0"/>
    <n v="1941.0345189382015"/>
    <n v="1920"/>
    <n v="23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0122369065099E-2"/>
    <n v="19000000"/>
    <n v="8.1720000000000001E-2"/>
    <x v="3"/>
    <s v="Todo bien"/>
    <x v="1"/>
    <x v="1"/>
    <n v="1012.775913742046"/>
    <x v="1"/>
    <x v="2"/>
    <s v="Grande"/>
    <x v="2"/>
    <n v="2325.0122369065102"/>
  </r>
  <r>
    <s v="Bestech Spa Signature"/>
    <x v="219"/>
    <n v="12571"/>
    <n v="4"/>
    <x v="6"/>
    <x v="2"/>
    <s v=" Sector 81 Gurgaon"/>
    <n v="0"/>
    <n v="0"/>
    <n v="4"/>
    <n v="6"/>
    <n v="3"/>
    <x v="2"/>
    <n v="31"/>
    <n v="1"/>
    <n v="1"/>
    <n v="1"/>
    <n v="0"/>
    <n v="2191.1138161898966"/>
    <n v="370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1193222496202E-2"/>
    <n v="44000000.000000007"/>
    <n v="0.12570999999999999"/>
    <x v="4"/>
    <s v="Todo bien"/>
    <x v="2"/>
    <x v="1"/>
    <n v="1524.6528549518725"/>
    <x v="3"/>
    <x v="2"/>
    <s v="Muy grande"/>
    <x v="3"/>
    <n v="3500.1193222496231"/>
  </r>
  <r>
    <s v="Swarn Jayanti CGHS"/>
    <x v="68"/>
    <n v="7608"/>
    <n v="4"/>
    <x v="7"/>
    <x v="1"/>
    <s v=" Suncity"/>
    <n v="0"/>
    <n v="0"/>
    <n v="3"/>
    <n v="3"/>
    <n v="3"/>
    <x v="2"/>
    <n v="9"/>
    <n v="0"/>
    <n v="0"/>
    <n v="0"/>
    <n v="0"/>
    <n v="2191.0388970950271"/>
    <n v="1900"/>
    <n v="23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002103049421602E-2"/>
    <n v="17500000"/>
    <n v="7.6079999999999995E-2"/>
    <x v="3"/>
    <s v="Todo bien"/>
    <x v="0"/>
    <x v="0"/>
    <n v="1001.9721859555706"/>
    <x v="1"/>
    <x v="2"/>
    <s v="Grande"/>
    <x v="2"/>
    <n v="2300.2103049421662"/>
  </r>
  <r>
    <s v="AIPL The Peaceful Homes"/>
    <x v="40"/>
    <n v="11914"/>
    <n v="3"/>
    <x v="2"/>
    <x v="0"/>
    <s v=" Sector 70A Gurgaon"/>
    <n v="0"/>
    <n v="0"/>
    <n v="4"/>
    <n v="22"/>
    <n v="3"/>
    <x v="1"/>
    <n v="30"/>
    <n v="1"/>
    <n v="0"/>
    <n v="0"/>
    <n v="0"/>
    <n v="1811.1708343070811"/>
    <m/>
    <n v="2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28000000"/>
    <n v="0.11914"/>
    <x v="5"/>
    <s v="Todo bien"/>
    <x v="0"/>
    <x v="1"/>
    <n v="1023.7373699177433"/>
    <x v="1"/>
    <x v="2"/>
    <s v="Pequeña"/>
    <x v="2"/>
    <n v="2350.1762632197415"/>
  </r>
  <r>
    <s v="Ambience Creacions"/>
    <x v="220"/>
    <n v="14983"/>
    <n v="3"/>
    <x v="2"/>
    <x v="2"/>
    <s v=" Sector 22 Gurgaon"/>
    <n v="0"/>
    <n v="0"/>
    <n v="5"/>
    <n v="5"/>
    <n v="3"/>
    <x v="1"/>
    <n v="20"/>
    <n v="1"/>
    <n v="0"/>
    <n v="0"/>
    <n v="0"/>
    <n v="3090.168858039111"/>
    <m/>
    <n v="3090"/>
    <n v="1"/>
    <n v="1"/>
    <n v="1"/>
    <n v="1"/>
    <n v="0"/>
    <n v="0"/>
    <n v="1"/>
    <n v="1"/>
    <n v="1"/>
    <n v="0"/>
    <n v="0"/>
    <n v="0"/>
    <n v="1"/>
    <n v="1"/>
    <n v="0"/>
    <n v="1"/>
    <n v="1"/>
    <n v="3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09016885803911E-2"/>
    <n v="46300000"/>
    <n v="0.14982999999999999"/>
    <x v="4"/>
    <s v="Todo bien"/>
    <x v="1"/>
    <x v="3"/>
    <n v="1346.0783298852029"/>
    <x v="1"/>
    <x v="3"/>
    <s v="Pequeña"/>
    <x v="3"/>
    <n v="3090.168858039111"/>
  </r>
  <r>
    <s v="MM The Marina"/>
    <x v="98"/>
    <n v="8759"/>
    <n v="2"/>
    <x v="2"/>
    <x v="0"/>
    <s v=" Sector 68 Gurgaon"/>
    <n v="0"/>
    <n v="0"/>
    <n v="2"/>
    <n v="15"/>
    <n v="3"/>
    <x v="0"/>
    <n v="29"/>
    <n v="0"/>
    <n v="1"/>
    <n v="0"/>
    <n v="0"/>
    <n v="1507.0213494691175"/>
    <m/>
    <n v="1507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702134946911E-2"/>
    <n v="13200000"/>
    <n v="8.7590000000000001E-2"/>
    <x v="2"/>
    <s v="Todo bien"/>
    <x v="0"/>
    <x v="4"/>
    <n v="656.45887794040095"/>
    <x v="1"/>
    <x v="2"/>
    <s v="Pequeña"/>
    <x v="1"/>
    <n v="1507.0213494691175"/>
  </r>
  <r>
    <s v="CHD Avenue "/>
    <x v="201"/>
    <n v="6655"/>
    <n v="3"/>
    <x v="6"/>
    <x v="5"/>
    <s v=" Sector 71 Gurgaon"/>
    <n v="0"/>
    <n v="0"/>
    <n v="3"/>
    <n v="5"/>
    <n v="3"/>
    <x v="1"/>
    <n v="14"/>
    <n v="1"/>
    <n v="0"/>
    <n v="0"/>
    <n v="0"/>
    <n v="1743.0503380916605"/>
    <m/>
    <n v="1743"/>
    <n v="1"/>
    <n v="0"/>
    <n v="1"/>
    <n v="1"/>
    <n v="0"/>
    <n v="0"/>
    <n v="0"/>
    <n v="1"/>
    <n v="1"/>
    <n v="1"/>
    <n v="0"/>
    <n v="0"/>
    <n v="1"/>
    <n v="1"/>
    <n v="0"/>
    <n v="1"/>
    <n v="1"/>
    <n v="34"/>
    <x v="0"/>
    <x v="0"/>
    <x v="1"/>
    <x v="1"/>
    <x v="0"/>
    <x v="1"/>
    <x v="1"/>
    <x v="0"/>
    <x v="1"/>
    <n v="0"/>
    <n v="0"/>
    <n v="0"/>
    <n v="3"/>
    <n v="1"/>
    <n v="0"/>
    <n v="0"/>
    <n v="0"/>
    <n v="0"/>
    <n v="3"/>
    <n v="1"/>
    <n v="0"/>
    <n v="0"/>
    <n v="0"/>
    <n v="1"/>
    <n v="3"/>
    <n v="1"/>
    <n v="0"/>
    <n v="0"/>
    <n v="0"/>
    <n v="0"/>
    <n v="0"/>
    <n v="0"/>
    <n v="2"/>
    <n v="1.74305033809166E-2"/>
    <n v="11600000"/>
    <n v="6.6549999999999998E-2"/>
    <x v="2"/>
    <s v="Todo bien"/>
    <x v="1"/>
    <x v="3"/>
    <n v="759.273164604057"/>
    <x v="1"/>
    <x v="2"/>
    <s v="Pequeña"/>
    <x v="1"/>
    <n v="1743.0503380916605"/>
  </r>
  <r>
    <s v="Signature Global Solera"/>
    <x v="96"/>
    <n v="5521"/>
    <n v="2"/>
    <x v="2"/>
    <x v="0"/>
    <s v=" Sector 107 Gurgaon"/>
    <n v="0"/>
    <n v="0"/>
    <n v="2"/>
    <n v="0"/>
    <n v="2"/>
    <x v="0"/>
    <n v="14"/>
    <n v="0"/>
    <n v="0"/>
    <n v="0"/>
    <n v="0"/>
    <n v="3062.6531326566328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4184024633002E-3"/>
    <n v="2700000"/>
    <n v="5.5210000000000002E-2"/>
    <x v="0"/>
    <s v="Todo bien"/>
    <x v="0"/>
    <x v="1"/>
    <n v="213.0267483118991"/>
    <x v="0"/>
    <x v="3"/>
    <s v="Pequeña"/>
    <x v="0"/>
    <n v="489.04184024633219"/>
  </r>
  <r>
    <s v="Signature Global Solera"/>
    <x v="221"/>
    <n v="5674"/>
    <n v="2"/>
    <x v="0"/>
    <x v="0"/>
    <s v=" Sector 107 Gurgaon"/>
    <n v="0"/>
    <n v="0"/>
    <n v="2"/>
    <n v="6"/>
    <n v="2"/>
    <x v="0"/>
    <n v="14"/>
    <n v="0"/>
    <n v="0"/>
    <n v="0"/>
    <n v="0"/>
    <n v="2905.076621395889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x v="0"/>
    <s v="Todo bien"/>
    <x v="0"/>
    <x v="1"/>
    <n v="213.04030600061554"/>
    <x v="0"/>
    <x v="3"/>
    <s v="Pequeña"/>
    <x v="0"/>
    <n v="489.07296439901307"/>
  </r>
  <r>
    <s v="Emaar Palm Heights"/>
    <x v="87"/>
    <n v="8839"/>
    <n v="3"/>
    <x v="2"/>
    <x v="2"/>
    <s v=" Sector 77 Gurgaon"/>
    <n v="0"/>
    <n v="0"/>
    <n v="3"/>
    <n v="1"/>
    <n v="3"/>
    <x v="1"/>
    <n v="24"/>
    <n v="1"/>
    <n v="0"/>
    <n v="0"/>
    <n v="0"/>
    <n v="6240.3993855606759"/>
    <n v="1600"/>
    <n v="20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251159633442699E-2"/>
    <n v="17900000"/>
    <n v="8.8389999999999996E-2"/>
    <x v="3"/>
    <s v="Todo bien"/>
    <x v="1"/>
    <x v="1"/>
    <n v="882.14102173435924"/>
    <x v="1"/>
    <x v="3"/>
    <s v="Mediana"/>
    <x v="2"/>
    <n v="2025.1159633442699"/>
  </r>
  <r>
    <s v="Emaar MGF Palm Hills"/>
    <x v="46"/>
    <n v="7948"/>
    <n v="4"/>
    <x v="2"/>
    <x v="0"/>
    <s v=" Sector 77 Gurgaon"/>
    <n v="0"/>
    <n v="0"/>
    <n v="4"/>
    <n v="2"/>
    <n v="3"/>
    <x v="2"/>
    <n v="8"/>
    <n v="1"/>
    <n v="1"/>
    <n v="0"/>
    <n v="0"/>
    <n v="2185.0899742930592"/>
    <n v="1800"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501761449421201E-2"/>
    <n v="15500000"/>
    <n v="7.9479999999999995E-2"/>
    <x v="3"/>
    <s v="Todo bien"/>
    <x v="2"/>
    <x v="1"/>
    <n v="849.49721803598231"/>
    <x v="1"/>
    <x v="2"/>
    <s v="Mediana"/>
    <x v="1"/>
    <n v="1950.176144942124"/>
  </r>
  <r>
    <s v="DLF The Skycourt"/>
    <x v="46"/>
    <n v="8035"/>
    <n v="3"/>
    <x v="2"/>
    <x v="0"/>
    <s v=" Sector 86 Gurgaon"/>
    <n v="0"/>
    <n v="0"/>
    <n v="3"/>
    <n v="12"/>
    <n v="3"/>
    <x v="1"/>
    <n v="19"/>
    <n v="0"/>
    <n v="0"/>
    <n v="0"/>
    <n v="0"/>
    <n v="3062.6531326566328"/>
    <n v="15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0"/>
    <n v="1"/>
    <n v="1"/>
    <n v="1"/>
    <n v="1"/>
    <n v="1"/>
    <n v="1"/>
    <n v="0"/>
    <n v="0"/>
    <n v="0"/>
    <n v="0"/>
    <n v="0"/>
    <n v="1"/>
    <n v="1.92906036092097E-2"/>
    <n v="15500000"/>
    <n v="8.0350000000000005E-2"/>
    <x v="3"/>
    <s v="Todo bien"/>
    <x v="2"/>
    <x v="5"/>
    <n v="840.29917721841912"/>
    <x v="1"/>
    <x v="3"/>
    <s v="Mediana"/>
    <x v="1"/>
    <n v="1929.0603609209707"/>
  </r>
  <r>
    <s v="La Vida by Tata Housing"/>
    <x v="84"/>
    <n v="16750"/>
    <n v="3"/>
    <x v="2"/>
    <x v="2"/>
    <s v=" Sector 113 Gurgaon"/>
    <n v="0"/>
    <n v="0"/>
    <n v="4"/>
    <n v="12"/>
    <n v="3"/>
    <x v="1"/>
    <n v="25"/>
    <n v="1"/>
    <n v="1"/>
    <n v="0"/>
    <n v="0"/>
    <n v="3193.9096954847741"/>
    <n v="2200"/>
    <n v="26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.02"/>
    <n v="33500000"/>
    <n v="0.16750000000000001"/>
    <x v="5"/>
    <s v="Todo bien"/>
    <x v="0"/>
    <x v="5"/>
    <n v="871.2005018000001"/>
    <x v="1"/>
    <x v="3"/>
    <s v="Grande"/>
    <x v="2"/>
    <n v="1999.9999999999998"/>
  </r>
  <r>
    <s v="Emaar MGF The Palm Drive"/>
    <x v="151"/>
    <n v="16470"/>
    <n v="3"/>
    <x v="5"/>
    <x v="0"/>
    <s v=" Sector 66 Gurgaon"/>
    <n v="0"/>
    <n v="0"/>
    <n v="4"/>
    <n v="6"/>
    <n v="3"/>
    <x v="1"/>
    <n v="17"/>
    <n v="1"/>
    <n v="0"/>
    <n v="0"/>
    <n v="0"/>
    <n v="767.1232876712329"/>
    <n v="2150"/>
    <n v="2200"/>
    <n v="1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07589556769E-2"/>
    <n v="35000000"/>
    <n v="0.16470000000000001"/>
    <x v="5"/>
    <s v="Todo bien"/>
    <x v="1"/>
    <x v="3"/>
    <n v="925.68359329082807"/>
    <x v="1"/>
    <x v="0"/>
    <s v="Grande"/>
    <x v="2"/>
    <n v="2125.0758955676988"/>
  </r>
  <r>
    <s v="Parsvnath Exotica"/>
    <x v="152"/>
    <n v="16580"/>
    <n v="3"/>
    <x v="2"/>
    <x v="0"/>
    <s v=" Sector 53 Gurgaon"/>
    <n v="0"/>
    <n v="0"/>
    <n v="4"/>
    <n v="8"/>
    <n v="3"/>
    <x v="1"/>
    <n v="18"/>
    <n v="1"/>
    <n v="0"/>
    <n v="1"/>
    <n v="0"/>
    <n v="1350.2285002077274"/>
    <n v="2500"/>
    <n v="28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7"/>
    <n v="1"/>
    <n v="9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950542822677901E-2"/>
    <n v="48000000"/>
    <n v="0.1658"/>
    <x v="4"/>
    <s v="Todo bien"/>
    <x v="1"/>
    <x v="5"/>
    <n v="1261.0863717249688"/>
    <x v="1"/>
    <x v="2"/>
    <s v="Grande"/>
    <x v="2"/>
    <n v="2895.0542822677926"/>
  </r>
  <r>
    <s v="Shree Arihant Apartment"/>
    <x v="78"/>
    <n v="8108"/>
    <n v="3"/>
    <x v="0"/>
    <x v="5"/>
    <s v=" Sector 54 Gurgaon"/>
    <n v="0"/>
    <n v="0"/>
    <n v="3"/>
    <n v="4"/>
    <n v="3"/>
    <x v="1"/>
    <n v="5"/>
    <n v="0"/>
    <n v="0"/>
    <n v="1"/>
    <n v="0"/>
    <n v="1818.1818181818182"/>
    <n v="1700"/>
    <n v="1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8500246669955599E-2"/>
    <n v="15000000"/>
    <n v="8.1079999999999999E-2"/>
    <x v="2"/>
    <s v="Todo bien"/>
    <x v="1"/>
    <x v="1"/>
    <n v="805.87120911445493"/>
    <x v="1"/>
    <x v="2"/>
    <s v="Mediana"/>
    <x v="1"/>
    <n v="1850.02466699556"/>
  </r>
  <r>
    <s v="La Vida by Tata Housing"/>
    <x v="222"/>
    <n v="10334"/>
    <n v="3"/>
    <x v="2"/>
    <x v="0"/>
    <s v=" Sector 113 Gurgaon"/>
    <n v="0"/>
    <n v="0"/>
    <n v="4"/>
    <n v="5"/>
    <n v="3"/>
    <x v="1"/>
    <n v="25"/>
    <n v="1"/>
    <n v="0"/>
    <n v="0"/>
    <n v="0"/>
    <n v="1930.1779120510239"/>
    <n v="23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6901490226437001E-2"/>
    <n v="27800000"/>
    <n v="0.10334"/>
    <x v="5"/>
    <s v="Todo bien"/>
    <x v="0"/>
    <x v="5"/>
    <n v="1171.8295892219855"/>
    <x v="1"/>
    <x v="2"/>
    <s v="Grande"/>
    <x v="2"/>
    <n v="2690.1490226437004"/>
  </r>
  <r>
    <s v="Mahindra Aura"/>
    <x v="39"/>
    <n v="9266"/>
    <n v="4"/>
    <x v="6"/>
    <x v="0"/>
    <s v=" Sector 110 A Gurgaon"/>
    <n v="0"/>
    <n v="0"/>
    <n v="4"/>
    <n v="2"/>
    <n v="3"/>
    <x v="2"/>
    <n v="19"/>
    <n v="1"/>
    <n v="0"/>
    <n v="0"/>
    <n v="0"/>
    <n v="2364.0661938534276"/>
    <n v="2350"/>
    <n v="242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823224692423E-2"/>
    <n v="22500000"/>
    <n v="9.2660000000000006E-2"/>
    <x v="3"/>
    <s v="Todo bien"/>
    <x v="0"/>
    <x v="5"/>
    <n v="1057.7385760036655"/>
    <x v="1"/>
    <x v="2"/>
    <s v="Grande"/>
    <x v="2"/>
    <n v="2428.232246924239"/>
  </r>
  <r>
    <s v="AIPL The Peaceful Homes"/>
    <x v="161"/>
    <n v="11860"/>
    <n v="3"/>
    <x v="2"/>
    <x v="2"/>
    <s v=" Sector 70A Gurgaon"/>
    <n v="0"/>
    <n v="0"/>
    <n v="3"/>
    <n v="20"/>
    <n v="3"/>
    <x v="1"/>
    <n v="30"/>
    <n v="1"/>
    <n v="0"/>
    <n v="1"/>
    <n v="0"/>
    <n v="2150.0843170320404"/>
    <n v="2000"/>
    <n v="2150"/>
    <n v="1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1"/>
    <x v="1"/>
    <x v="1"/>
    <x v="1"/>
    <x v="0"/>
    <x v="0"/>
    <x v="0"/>
    <x v="1"/>
    <n v="0"/>
    <n v="0"/>
    <n v="0"/>
    <n v="5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500843170320399E-2"/>
    <n v="25500000"/>
    <n v="0.1186"/>
    <x v="5"/>
    <s v="Todo bien"/>
    <x v="1"/>
    <x v="5"/>
    <n v="936.57726795531175"/>
    <x v="1"/>
    <x v="2"/>
    <s v="Grande"/>
    <x v="2"/>
    <n v="2150.0843170320404"/>
  </r>
  <r>
    <s v="Vatika Gurgaon "/>
    <x v="43"/>
    <n v="7812"/>
    <n v="4"/>
    <x v="6"/>
    <x v="5"/>
    <s v=" Sector 83 Gurgaon"/>
    <n v="0"/>
    <n v="0"/>
    <n v="4"/>
    <n v="12"/>
    <n v="3"/>
    <x v="2"/>
    <n v="14"/>
    <n v="1"/>
    <n v="0"/>
    <n v="0"/>
    <n v="0"/>
    <n v="2364.2258848959741"/>
    <m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0240655401E-2"/>
    <n v="12500000"/>
    <n v="7.8119999999999995E-2"/>
    <x v="2"/>
    <s v="Todo bien"/>
    <x v="0"/>
    <x v="5"/>
    <n v="697.00500976062062"/>
    <x v="1"/>
    <x v="2"/>
    <s v="Pequeña"/>
    <x v="2"/>
    <n v="1600.1024065540196"/>
  </r>
  <r>
    <s v="Vatika Gurgaon "/>
    <x v="28"/>
    <n v="8947"/>
    <n v="2"/>
    <x v="0"/>
    <x v="5"/>
    <s v=" Sector 83 Gurgaon"/>
    <n v="0"/>
    <n v="0"/>
    <n v="2"/>
    <n v="18"/>
    <n v="2"/>
    <x v="0"/>
    <n v="19"/>
    <n v="0"/>
    <n v="0"/>
    <n v="1"/>
    <n v="0"/>
    <n v="2215.1634205466858"/>
    <n v="110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5003911925785004E-3"/>
    <n v="8500000"/>
    <n v="8.9469999999999994E-2"/>
    <x v="1"/>
    <s v="Todo bien"/>
    <x v="1"/>
    <x v="5"/>
    <n v="413.83727871353454"/>
    <x v="0"/>
    <x v="2"/>
    <s v="Mediana"/>
    <x v="1"/>
    <n v="950.03911925785189"/>
  </r>
  <r>
    <s v="Krrish Provence Estate"/>
    <x v="223"/>
    <n v="9051"/>
    <n v="4"/>
    <x v="2"/>
    <x v="2"/>
    <s v=" Gwal Pahari"/>
    <n v="0"/>
    <n v="0"/>
    <n v="5"/>
    <n v="2"/>
    <n v="3"/>
    <x v="2"/>
    <n v="26"/>
    <n v="1"/>
    <n v="1"/>
    <n v="1"/>
    <n v="0"/>
    <n v="5800.4640371229707"/>
    <m/>
    <n v="5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2500000"/>
    <n v="9.0509999999999993E-2"/>
    <x v="4"/>
    <s v="Todo bien"/>
    <x v="0"/>
    <x v="1"/>
    <n v="2526.6835899071884"/>
    <x v="2"/>
    <x v="3"/>
    <s v="Pequeña"/>
    <x v="3"/>
    <n v="5800.4640371229707"/>
  </r>
  <r>
    <s v="Godrej Aria"/>
    <x v="35"/>
    <n v="9622"/>
    <n v="2"/>
    <x v="4"/>
    <x v="0"/>
    <s v=" Sector 79 Gurgaon"/>
    <n v="0"/>
    <n v="0"/>
    <n v="4"/>
    <n v="3"/>
    <n v="2"/>
    <x v="0"/>
    <n v="15"/>
    <n v="0"/>
    <n v="0"/>
    <n v="0"/>
    <n v="0"/>
    <n v="1351.0704635210975"/>
    <m/>
    <n v="1351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107046352109E-2"/>
    <n v="13000000"/>
    <n v="9.622E-2"/>
    <x v="2"/>
    <s v="Todo bien"/>
    <x v="0"/>
    <x v="1"/>
    <n v="588.52663289336613"/>
    <x v="1"/>
    <x v="2"/>
    <s v="Pequeña"/>
    <x v="1"/>
    <n v="1351.0704635210975"/>
  </r>
  <r>
    <s v="Sare Green ParC Phase "/>
    <x v="29"/>
    <n v="7142"/>
    <n v="3"/>
    <x v="4"/>
    <x v="2"/>
    <s v=" Sector 92 Gurgaon"/>
    <n v="0"/>
    <n v="0"/>
    <n v="2"/>
    <n v="3"/>
    <n v="2"/>
    <x v="1"/>
    <n v="19"/>
    <n v="0"/>
    <n v="0"/>
    <n v="0"/>
    <n v="0"/>
    <n v="2875.2493838751325"/>
    <n v="1298"/>
    <n v="132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260151218101E-2"/>
    <n v="7500000"/>
    <n v="7.1419999999999997E-2"/>
    <x v="1"/>
    <s v="Todo bien"/>
    <x v="0"/>
    <x v="5"/>
    <n v="457.43515566367768"/>
    <x v="0"/>
    <x v="3"/>
    <s v="Mediana"/>
    <x v="1"/>
    <n v="1050.1260151218146"/>
  </r>
  <r>
    <s v="Ireo Victory Valley"/>
    <x v="141"/>
    <n v="13528"/>
    <n v="3"/>
    <x v="5"/>
    <x v="0"/>
    <s v=" Sector 67 Gurgaon"/>
    <n v="0"/>
    <n v="0"/>
    <n v="4"/>
    <n v="18"/>
    <n v="3"/>
    <x v="1"/>
    <n v="51"/>
    <n v="1"/>
    <n v="0"/>
    <n v="1"/>
    <n v="0"/>
    <n v="2698.1076286221169"/>
    <n v="2490"/>
    <n v="2698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981076286221099E-2"/>
    <n v="36500000"/>
    <n v="0.13528000000000001"/>
    <x v="5"/>
    <s v="Todo bien"/>
    <x v="1"/>
    <x v="3"/>
    <n v="1175.2963599829952"/>
    <x v="1"/>
    <x v="3"/>
    <s v="Grande"/>
    <x v="2"/>
    <n v="2698.1076286221169"/>
  </r>
  <r>
    <s v="DLF New Town Heights "/>
    <x v="71"/>
    <n v="5683"/>
    <n v="4"/>
    <x v="8"/>
    <x v="5"/>
    <s v=" Sector 90 Gurgaon"/>
    <n v="0"/>
    <n v="0"/>
    <n v="4"/>
    <n v="7"/>
    <n v="3"/>
    <x v="2"/>
    <n v="27"/>
    <n v="0"/>
    <n v="0"/>
    <n v="0"/>
    <n v="0"/>
    <n v="2903.3960936125286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33960936125199E-2"/>
    <n v="16500000"/>
    <n v="5.6829999999999999E-2"/>
    <x v="3"/>
    <s v="Todo bien"/>
    <x v="0"/>
    <x v="5"/>
    <n v="1264.7200668396936"/>
    <x v="1"/>
    <x v="3"/>
    <s v="Pequeña"/>
    <x v="2"/>
    <n v="2903.3960936125286"/>
  </r>
  <r>
    <s v="DLF New Town Heights "/>
    <x v="43"/>
    <n v="6476"/>
    <n v="3"/>
    <x v="3"/>
    <x v="0"/>
    <s v=" Sector 90 Gurgaon"/>
    <n v="0"/>
    <n v="0"/>
    <n v="3"/>
    <n v="17"/>
    <n v="3"/>
    <x v="1"/>
    <n v="19"/>
    <n v="1"/>
    <n v="0"/>
    <n v="1"/>
    <n v="0"/>
    <n v="3343.3045926447298"/>
    <n v="1700"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3"/>
    <n v="840.79727242896513"/>
    <x v="1"/>
    <x v="3"/>
    <s v="Mediana"/>
    <x v="1"/>
    <n v="1930.2038295243979"/>
  </r>
  <r>
    <s v="DLF New Town Heights "/>
    <x v="113"/>
    <n v="4864"/>
    <n v="4"/>
    <x v="4"/>
    <x v="5"/>
    <s v=" Sector 90 Gurgaon"/>
    <n v="0"/>
    <n v="0"/>
    <n v="4"/>
    <n v="8"/>
    <n v="3"/>
    <x v="2"/>
    <n v="14"/>
    <n v="1"/>
    <n v="0"/>
    <n v="0"/>
    <n v="1"/>
    <n v="2919.4078947368421"/>
    <m/>
    <n v="2364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194078947368401E-2"/>
    <n v="14200000"/>
    <n v="4.8640000000000003E-2"/>
    <x v="2"/>
    <s v="Todo bien"/>
    <x v="0"/>
    <x v="0"/>
    <n v="1271.6948114268084"/>
    <x v="1"/>
    <x v="3"/>
    <s v="Pequeña"/>
    <x v="2"/>
    <n v="2919.4078947368421"/>
  </r>
  <r>
    <s v="DLF Regal Gardens"/>
    <x v="143"/>
    <n v="5499"/>
    <n v="3"/>
    <x v="6"/>
    <x v="0"/>
    <s v=" Sector 90 Gurgaon"/>
    <n v="0"/>
    <n v="0"/>
    <n v="3"/>
    <n v="2"/>
    <n v="3"/>
    <x v="1"/>
    <n v="19"/>
    <n v="0"/>
    <n v="0"/>
    <n v="0"/>
    <n v="0"/>
    <n v="1700.0150443809237"/>
    <n v="15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95108201491101E-2"/>
    <n v="12700000"/>
    <n v="5.4989999999999997E-2"/>
    <x v="2"/>
    <s v="Todo bien"/>
    <x v="0"/>
    <x v="3"/>
    <n v="1006.0234927132173"/>
    <x v="1"/>
    <x v="2"/>
    <s v="Mediana"/>
    <x v="1"/>
    <n v="2309.510820149118"/>
  </r>
  <r>
    <s v="DLF Regal Gardens"/>
    <x v="71"/>
    <n v="7449"/>
    <n v="4"/>
    <x v="4"/>
    <x v="0"/>
    <s v=" Sector 90 Gurgaon"/>
    <n v="0"/>
    <n v="0"/>
    <n v="4"/>
    <n v="8"/>
    <n v="3"/>
    <x v="2"/>
    <n v="19"/>
    <n v="0"/>
    <n v="0"/>
    <n v="0"/>
    <n v="0"/>
    <n v="2251.5991471215352"/>
    <n v="1900"/>
    <n v="221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624244865001E-2"/>
    <n v="16500000"/>
    <n v="7.4490000000000001E-2"/>
    <x v="3"/>
    <s v="Todo bien"/>
    <x v="0"/>
    <x v="3"/>
    <n v="964.88174786548177"/>
    <x v="1"/>
    <x v="2"/>
    <s v="Grande"/>
    <x v="2"/>
    <n v="2215.0624244865085"/>
  </r>
  <r>
    <s v="DLF Regal Gardens"/>
    <x v="224"/>
    <n v="7065"/>
    <n v="3"/>
    <x v="8"/>
    <x v="0"/>
    <s v=" Sector 90 Gurgaon"/>
    <n v="0"/>
    <n v="0"/>
    <n v="3"/>
    <n v="9"/>
    <n v="3"/>
    <x v="1"/>
    <n v="30"/>
    <n v="0"/>
    <n v="0"/>
    <n v="0"/>
    <n v="0"/>
    <n v="2015.7419850259168"/>
    <n v="16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309271054399E-2"/>
    <n v="12400000"/>
    <n v="7.0650000000000004E-2"/>
    <x v="2"/>
    <s v="Todo bien"/>
    <x v="0"/>
    <x v="3"/>
    <n v="764.53547220947928"/>
    <x v="1"/>
    <x v="2"/>
    <s v="Mediana"/>
    <x v="1"/>
    <n v="1755.1309271054492"/>
  </r>
  <r>
    <s v="The Close North"/>
    <x v="58"/>
    <n v="9980"/>
    <n v="3"/>
    <x v="8"/>
    <x v="5"/>
    <s v=" Nirvana Country"/>
    <n v="0"/>
    <n v="0"/>
    <n v="3"/>
    <n v="3"/>
    <n v="3"/>
    <x v="1"/>
    <n v="18"/>
    <n v="1"/>
    <n v="0"/>
    <n v="0"/>
    <n v="0"/>
    <n v="2705.4108216432865"/>
    <m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54108216432799E-2"/>
    <n v="27000000"/>
    <n v="9.98E-2"/>
    <x v="5"/>
    <s v="Todo bien"/>
    <x v="0"/>
    <x v="5"/>
    <n v="1178.4776326953879"/>
    <x v="1"/>
    <x v="3"/>
    <s v="Pequeña"/>
    <x v="2"/>
    <n v="2705.4108216432865"/>
  </r>
  <r>
    <s v="BPTP Terra"/>
    <x v="138"/>
    <n v="9036"/>
    <n v="3"/>
    <x v="2"/>
    <x v="2"/>
    <s v=" Sector 37D Gurgaon"/>
    <n v="0"/>
    <n v="0"/>
    <n v="3"/>
    <n v="12"/>
    <n v="3"/>
    <x v="1"/>
    <n v="23"/>
    <n v="0"/>
    <n v="1"/>
    <n v="0"/>
    <n v="0"/>
    <n v="2191.2350597609561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2350597609501E-2"/>
    <n v="19800000"/>
    <n v="9.0359999999999996E-2"/>
    <x v="3"/>
    <s v="Todo bien"/>
    <x v="1"/>
    <x v="1"/>
    <n v="954.50254181274636"/>
    <x v="1"/>
    <x v="2"/>
    <s v="Pequeña"/>
    <x v="2"/>
    <n v="2191.2350597609561"/>
  </r>
  <r>
    <s v="Experion Windchants"/>
    <x v="51"/>
    <n v="13888"/>
    <n v="2"/>
    <x v="4"/>
    <x v="0"/>
    <s v=" Sector 112 Gurgaon"/>
    <n v="0"/>
    <n v="0"/>
    <n v="2"/>
    <n v="10"/>
    <n v="3"/>
    <x v="0"/>
    <n v="28"/>
    <n v="0"/>
    <n v="1"/>
    <n v="1"/>
    <n v="0"/>
    <n v="1458.3142254425388"/>
    <n v="1939.03"/>
    <n v="24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0011520737327E-2"/>
    <n v="25000000"/>
    <n v="0.13888"/>
    <x v="3"/>
    <s v="Todo bien"/>
    <x v="1"/>
    <x v="5"/>
    <n v="784.13063598070198"/>
    <x v="1"/>
    <x v="2"/>
    <s v="Grande"/>
    <x v="2"/>
    <n v="1800.1152073732719"/>
  </r>
  <r>
    <s v="Emaar MGF Emerald Floors Premier"/>
    <x v="114"/>
    <n v="13878"/>
    <n v="3"/>
    <x v="0"/>
    <x v="0"/>
    <s v=" Sector 65 Gurgaon"/>
    <n v="0"/>
    <n v="0"/>
    <n v="4"/>
    <n v="2"/>
    <n v="3"/>
    <x v="1"/>
    <n v="5"/>
    <n v="1"/>
    <n v="1"/>
    <n v="0"/>
    <n v="0"/>
    <n v="4500.257157551860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936734399702E-2"/>
    <n v="22900000"/>
    <n v="0.13877999999999999"/>
    <x v="3"/>
    <s v="Todo bien"/>
    <x v="2"/>
    <x v="5"/>
    <n v="718.78121815895372"/>
    <x v="1"/>
    <x v="3"/>
    <s v="Pequeña"/>
    <x v="0"/>
    <n v="1650.093673439977"/>
  </r>
  <r>
    <s v="MM Merlin"/>
    <x v="225"/>
    <n v="14557"/>
    <n v="3"/>
    <x v="5"/>
    <x v="0"/>
    <s v=" Sector 67 Gurgaon"/>
    <n v="0"/>
    <n v="0"/>
    <n v="3"/>
    <n v="0"/>
    <n v="3"/>
    <x v="1"/>
    <n v="21"/>
    <n v="0"/>
    <n v="0"/>
    <n v="0"/>
    <n v="0"/>
    <n v="2047.1250944562753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5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0471250944562699E-2"/>
    <n v="29800000"/>
    <n v="0.14557"/>
    <x v="5"/>
    <s v="Todo bien"/>
    <x v="1"/>
    <x v="1"/>
    <n v="891.72820476883737"/>
    <x v="1"/>
    <x v="2"/>
    <s v="Pequeña"/>
    <x v="2"/>
    <n v="2047.1250944562753"/>
  </r>
  <r>
    <s v="Emaar Palm Gardens"/>
    <x v="12"/>
    <n v="12325"/>
    <n v="3"/>
    <x v="6"/>
    <x v="0"/>
    <s v=" Sector 83 Gurgaon"/>
    <n v="0"/>
    <n v="0"/>
    <n v="3"/>
    <n v="7"/>
    <n v="3"/>
    <x v="1"/>
    <n v="16"/>
    <n v="1"/>
    <n v="0"/>
    <n v="0"/>
    <n v="0"/>
    <n v="2802.1463248445616"/>
    <m/>
    <n v="17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33468559837E-2"/>
    <n v="13500000"/>
    <n v="0.12325"/>
    <x v="2"/>
    <s v="Todo bien"/>
    <x v="0"/>
    <x v="2"/>
    <n v="477.1280638661226"/>
    <x v="0"/>
    <x v="3"/>
    <s v="Pequeña"/>
    <x v="1"/>
    <n v="1095.3346855983773"/>
  </r>
  <r>
    <s v="Shri Banke Bihari Society"/>
    <x v="226"/>
    <n v="9133"/>
    <n v="3"/>
    <x v="2"/>
    <x v="1"/>
    <s v=" Sector 56 Gurgaon"/>
    <n v="0"/>
    <n v="0"/>
    <n v="3"/>
    <n v="2"/>
    <n v="3"/>
    <x v="1"/>
    <n v="9"/>
    <n v="0"/>
    <n v="0"/>
    <n v="0"/>
    <n v="0"/>
    <n v="2450.0639574928664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474652359E-2"/>
    <n v="13700000"/>
    <n v="9.1329999999999995E-2"/>
    <x v="2"/>
    <s v="Todo bien"/>
    <x v="0"/>
    <x v="5"/>
    <n v="653.42422394941173"/>
    <x v="1"/>
    <x v="2"/>
    <s v="Mediana"/>
    <x v="1"/>
    <n v="1500.0547465235959"/>
  </r>
  <r>
    <s v="Kiran Residency"/>
    <x v="46"/>
    <n v="7750"/>
    <n v="3"/>
    <x v="5"/>
    <x v="1"/>
    <s v=" Sector 56 Gurgaon"/>
    <n v="0"/>
    <n v="0"/>
    <n v="3"/>
    <n v="5"/>
    <n v="3"/>
    <x v="1"/>
    <n v="9"/>
    <n v="1"/>
    <n v="0"/>
    <n v="1"/>
    <n v="0"/>
    <n v="1931.1410284705362"/>
    <n v="18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500000"/>
    <n v="7.7499999999999999E-2"/>
    <x v="3"/>
    <s v="Todo bien"/>
    <x v="0"/>
    <x v="5"/>
    <n v="871.2005018000001"/>
    <x v="1"/>
    <x v="2"/>
    <s v="Mediana"/>
    <x v="1"/>
    <n v="2000"/>
  </r>
  <r>
    <s v="Ambience Lagoon"/>
    <x v="117"/>
    <n v="13281"/>
    <n v="3"/>
    <x v="2"/>
    <x v="1"/>
    <s v=" DLF Phase 3"/>
    <n v="0"/>
    <n v="0"/>
    <n v="4"/>
    <n v="3"/>
    <n v="3"/>
    <x v="1"/>
    <n v="9"/>
    <n v="1"/>
    <n v="0"/>
    <n v="1"/>
    <n v="0"/>
    <n v="2779.1262135922329"/>
    <m/>
    <n v="3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2000602364279797E-2"/>
    <n v="42500000"/>
    <n v="0.13281000000000001"/>
    <x v="4"/>
    <s v="Todo bien"/>
    <x v="1"/>
    <x v="5"/>
    <n v="1393.9470418831413"/>
    <x v="1"/>
    <x v="3"/>
    <s v="Pequeña"/>
    <x v="3"/>
    <n v="3200.0602364279794"/>
  </r>
  <r>
    <s v="Vatika The Seven Lamps"/>
    <x v="154"/>
    <n v="6819"/>
    <n v="3"/>
    <x v="5"/>
    <x v="0"/>
    <s v=" Sector 82 Gurgaon"/>
    <n v="0"/>
    <n v="0"/>
    <n v="3"/>
    <n v="3"/>
    <n v="3"/>
    <x v="1"/>
    <n v="16"/>
    <n v="0"/>
    <n v="1"/>
    <n v="0"/>
    <n v="0"/>
    <n v="2149.1403438624548"/>
    <n v="1800"/>
    <n v="1877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771080803636798E-2"/>
    <n v="12800000"/>
    <n v="6.8190000000000001E-2"/>
    <x v="2"/>
    <s v="Todo bien"/>
    <x v="1"/>
    <x v="5"/>
    <n v="817.66875077283635"/>
    <x v="1"/>
    <x v="2"/>
    <s v="Mediana"/>
    <x v="1"/>
    <n v="1877.1080803636896"/>
  </r>
  <r>
    <s v="Shapoorji Pallonji Joyville Gurugram"/>
    <x v="82"/>
    <n v="17285"/>
    <n v="3"/>
    <x v="2"/>
    <x v="2"/>
    <s v=" Sector 102 Gurgaon"/>
    <n v="0"/>
    <n v="0"/>
    <n v="3"/>
    <n v="12"/>
    <n v="3"/>
    <x v="1"/>
    <n v="26"/>
    <n v="0"/>
    <n v="0"/>
    <n v="0"/>
    <n v="1"/>
    <n v="1428.0969777482562"/>
    <m/>
    <n v="18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14579114839E-2"/>
    <n v="19500000"/>
    <n v="0.17285"/>
    <x v="3"/>
    <s v="Todo bien"/>
    <x v="0"/>
    <x v="4"/>
    <n v="491.42058967601776"/>
    <x v="0"/>
    <x v="2"/>
    <s v="Pequeña"/>
    <x v="1"/>
    <n v="1128.1457911483944"/>
  </r>
  <r>
    <s v="Bestech Park View Grand Spa"/>
    <x v="168"/>
    <n v="8834"/>
    <n v="3"/>
    <x v="2"/>
    <x v="0"/>
    <s v=" Sector 81 Gurgaon"/>
    <n v="0"/>
    <n v="0"/>
    <n v="4"/>
    <n v="6"/>
    <n v="3"/>
    <x v="1"/>
    <n v="19"/>
    <n v="1"/>
    <n v="0"/>
    <n v="0"/>
    <n v="0"/>
    <n v="1505.0167224080267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601765904459999E-2"/>
    <n v="23500000"/>
    <n v="8.8340000000000002E-2"/>
    <x v="3"/>
    <s v="Todo bien"/>
    <x v="1"/>
    <x v="5"/>
    <n v="1158.7735902365841"/>
    <x v="1"/>
    <x v="2"/>
    <s v="Pequeña"/>
    <x v="2"/>
    <n v="2660.176590446004"/>
  </r>
  <r>
    <s v="MM Golfestate"/>
    <x v="227"/>
    <n v="18518"/>
    <n v="3"/>
    <x v="2"/>
    <x v="0"/>
    <s v=" Sector 65 Gurgaon"/>
    <n v="0"/>
    <n v="0"/>
    <n v="3"/>
    <n v="28"/>
    <n v="3"/>
    <x v="1"/>
    <n v="30"/>
    <n v="1"/>
    <n v="0"/>
    <n v="1"/>
    <n v="0"/>
    <n v="1983.1025580849564"/>
    <n v="2800"/>
    <n v="29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7000756021168502E-2"/>
    <n v="50000000"/>
    <n v="0.18518000000000001"/>
    <x v="4"/>
    <s v="Todo bien"/>
    <x v="1"/>
    <x v="5"/>
    <n v="1176.1536097310686"/>
    <x v="1"/>
    <x v="2"/>
    <s v="Muy grande"/>
    <x v="2"/>
    <n v="2700.075602116859"/>
  </r>
  <r>
    <s v="Imperia The Esfera"/>
    <x v="48"/>
    <n v="5500"/>
    <n v="3"/>
    <x v="2"/>
    <x v="2"/>
    <s v=" Sector 37C Gurgaon"/>
    <n v="0"/>
    <n v="0"/>
    <n v="3"/>
    <n v="10"/>
    <n v="1"/>
    <x v="1"/>
    <n v="24"/>
    <n v="1"/>
    <n v="0"/>
    <n v="0"/>
    <n v="0"/>
    <n v="180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9900000"/>
    <n v="5.5E-2"/>
    <x v="1"/>
    <s v="Todo bien"/>
    <x v="0"/>
    <x v="1"/>
    <n v="784.08045161999996"/>
    <x v="1"/>
    <x v="2"/>
    <s v="Pequeña"/>
    <x v="1"/>
    <n v="1800"/>
  </r>
  <r>
    <s v="DLF New Town Heights "/>
    <x v="82"/>
    <n v="7150"/>
    <n v="4"/>
    <x v="2"/>
    <x v="0"/>
    <s v=" Sector 90 Gurgaon"/>
    <n v="0"/>
    <n v="0"/>
    <n v="4"/>
    <n v="24"/>
    <n v="3"/>
    <x v="2"/>
    <n v="27"/>
    <n v="1"/>
    <n v="0"/>
    <n v="0"/>
    <n v="1"/>
    <n v="2010.102051334914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9500000"/>
    <n v="7.1499999999999994E-2"/>
    <x v="3"/>
    <s v="Todo bien"/>
    <x v="0"/>
    <x v="5"/>
    <n v="1188.0006842727241"/>
    <x v="1"/>
    <x v="2"/>
    <s v="Pequeña"/>
    <x v="2"/>
    <n v="2727.2727272727275"/>
  </r>
  <r>
    <s v="Bestech Park View Grand Spa"/>
    <x v="178"/>
    <n v="12222"/>
    <n v="4"/>
    <x v="2"/>
    <x v="0"/>
    <s v=" Sector 81 Gurgaon"/>
    <n v="0"/>
    <n v="0"/>
    <n v="5"/>
    <n v="4"/>
    <n v="3"/>
    <x v="2"/>
    <n v="20"/>
    <n v="1"/>
    <n v="1"/>
    <n v="0"/>
    <n v="0"/>
    <n v="1538.1234893430014"/>
    <m/>
    <n v="34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7000490918016599E-2"/>
    <n v="33000000"/>
    <n v="0.12222"/>
    <x v="5"/>
    <s v="Todo bien"/>
    <x v="1"/>
    <x v="5"/>
    <n v="1176.1420618311201"/>
    <x v="1"/>
    <x v="2"/>
    <s v="Pequeña"/>
    <x v="3"/>
    <n v="2700.0490918016694"/>
  </r>
  <r>
    <s v="Ireo Victory Valley"/>
    <x v="9"/>
    <n v="13929"/>
    <n v="4"/>
    <x v="0"/>
    <x v="0"/>
    <s v=" Sector 67 Gurgaon"/>
    <n v="0"/>
    <n v="0"/>
    <n v="4"/>
    <n v="0"/>
    <n v="3"/>
    <x v="2"/>
    <n v="51"/>
    <n v="1"/>
    <n v="1"/>
    <n v="1"/>
    <n v="1"/>
    <n v="1725.1877410188756"/>
    <n v="3200"/>
    <n v="34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3.4101514825184802E-2"/>
    <n v="47500000"/>
    <n v="0.13929"/>
    <x v="4"/>
    <s v="Todo bien"/>
    <x v="1"/>
    <x v="5"/>
    <n v="1485.462841392057"/>
    <x v="1"/>
    <x v="2"/>
    <s v="Muy grande"/>
    <x v="3"/>
    <n v="3410.1514825184868"/>
  </r>
  <r>
    <s v="MM Skywalk"/>
    <x v="78"/>
    <n v="12500"/>
    <n v="2"/>
    <x v="2"/>
    <x v="0"/>
    <s v=" Sector 74 Gurgaon"/>
    <n v="0"/>
    <n v="0"/>
    <n v="2"/>
    <n v="17"/>
    <n v="3"/>
    <x v="0"/>
    <n v="30"/>
    <n v="0"/>
    <n v="0"/>
    <n v="0"/>
    <n v="1"/>
    <n v="1825.3474382908109"/>
    <n v="130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5"/>
    <n v="522.72030108000001"/>
    <x v="1"/>
    <x v="2"/>
    <s v="Mediana"/>
    <x v="1"/>
    <n v="1200"/>
  </r>
  <r>
    <s v="DLF New Town Heights "/>
    <x v="150"/>
    <n v="6514"/>
    <n v="4"/>
    <x v="6"/>
    <x v="5"/>
    <s v=" Sector 90 Gurgaon"/>
    <n v="0"/>
    <n v="0"/>
    <n v="4"/>
    <n v="12"/>
    <n v="3"/>
    <x v="2"/>
    <n v="19"/>
    <n v="1"/>
    <n v="0"/>
    <n v="1"/>
    <n v="0"/>
    <n v="2025.2025202520251"/>
    <n v="2200"/>
    <n v="236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3641387780165699E-2"/>
    <n v="15400000"/>
    <n v="6.5140000000000003E-2"/>
    <x v="3"/>
    <s v="Todo bien"/>
    <x v="1"/>
    <x v="5"/>
    <n v="1029.8194448664374"/>
    <x v="1"/>
    <x v="2"/>
    <s v="Grande"/>
    <x v="2"/>
    <n v="2364.1387780165796"/>
  </r>
  <r>
    <s v="DLF New Town Heights "/>
    <x v="143"/>
    <n v="6580"/>
    <n v="3"/>
    <x v="6"/>
    <x v="0"/>
    <s v=" Sector 86 Gurgaon"/>
    <n v="0"/>
    <n v="0"/>
    <n v="4"/>
    <n v="19"/>
    <n v="3"/>
    <x v="1"/>
    <n v="22"/>
    <n v="1"/>
    <n v="0"/>
    <n v="1"/>
    <n v="0"/>
    <n v="2087.0291140561412"/>
    <n v="1800"/>
    <n v="193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911854103299E-2"/>
    <n v="12700000"/>
    <n v="6.5799999999999997E-2"/>
    <x v="2"/>
    <s v="Todo bien"/>
    <x v="0"/>
    <x v="5"/>
    <n v="840.74820462461821"/>
    <x v="1"/>
    <x v="2"/>
    <s v="Mediana"/>
    <x v="1"/>
    <n v="1930.0911854103344"/>
  </r>
  <r>
    <s v="DLF Regal Gardens"/>
    <x v="228"/>
    <n v="6708"/>
    <n v="3"/>
    <x v="5"/>
    <x v="0"/>
    <s v=" Sector 90 Gurgaon"/>
    <n v="0"/>
    <n v="0"/>
    <n v="3"/>
    <n v="15"/>
    <n v="3"/>
    <x v="1"/>
    <n v="19"/>
    <n v="0"/>
    <n v="0"/>
    <n v="0"/>
    <n v="0"/>
    <n v="1608.0506276584708"/>
    <n v="1630"/>
    <n v="174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441860465116199E-2"/>
    <n v="11700000"/>
    <n v="6.7080000000000001E-2"/>
    <x v="2"/>
    <s v="Todo bien"/>
    <x v="1"/>
    <x v="5"/>
    <n v="759.76787947674075"/>
    <x v="1"/>
    <x v="2"/>
    <s v="Mediana"/>
    <x v="1"/>
    <n v="1744.1860465116279"/>
  </r>
  <r>
    <s v="DLF The Primus"/>
    <x v="7"/>
    <n v="13846"/>
    <n v="3"/>
    <x v="2"/>
    <x v="0"/>
    <s v=" Sector 82A Gurgaon"/>
    <n v="0"/>
    <n v="0"/>
    <n v="3"/>
    <n v="10"/>
    <n v="3"/>
    <x v="1"/>
    <n v="32"/>
    <n v="1"/>
    <n v="0"/>
    <n v="0"/>
    <n v="0"/>
    <n v="1578.0371811500215"/>
    <m/>
    <n v="181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4"/>
    <n v="1"/>
    <n v="3"/>
    <n v="1"/>
    <n v="1"/>
    <n v="1"/>
    <n v="1"/>
    <n v="1"/>
    <n v="0"/>
    <n v="0"/>
    <n v="1"/>
    <n v="1"/>
    <n v="1"/>
    <n v="1"/>
    <n v="1"/>
    <n v="1"/>
    <n v="1"/>
    <n v="0"/>
    <n v="0"/>
    <n v="0"/>
    <n v="0"/>
    <n v="0"/>
    <n v="1"/>
    <n v="1.30001444460494E-2"/>
    <n v="18000000"/>
    <n v="0.13846"/>
    <x v="3"/>
    <s v="Todo bien"/>
    <x v="2"/>
    <x v="5"/>
    <n v="566.28661824353605"/>
    <x v="1"/>
    <x v="2"/>
    <s v="Pequeña"/>
    <x v="1"/>
    <n v="1300.0144446049401"/>
  </r>
  <r>
    <s v="Ansal Housing Highland Park"/>
    <x v="42"/>
    <n v="5878"/>
    <n v="2"/>
    <x v="4"/>
    <x v="2"/>
    <s v=" Sector 103 Gurgaon"/>
    <n v="0"/>
    <n v="0"/>
    <n v="2"/>
    <n v="3"/>
    <n v="3"/>
    <x v="0"/>
    <n v="19"/>
    <n v="0"/>
    <n v="0"/>
    <n v="1"/>
    <n v="0"/>
    <n v="1668.1560917485851"/>
    <n v="1089"/>
    <n v="1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100714528751E-2"/>
    <n v="8000000"/>
    <n v="5.8779999999999999E-2"/>
    <x v="1"/>
    <s v="Todo bien"/>
    <x v="0"/>
    <x v="5"/>
    <n v="592.85505396393216"/>
    <x v="1"/>
    <x v="2"/>
    <s v="Mediana"/>
    <x v="1"/>
    <n v="1361.0071452875127"/>
  </r>
  <r>
    <s v="Bestech Park View City"/>
    <x v="184"/>
    <n v="9909"/>
    <n v="3"/>
    <x v="8"/>
    <x v="5"/>
    <s v=" Sector 48 Gurgaon"/>
    <n v="0"/>
    <n v="0"/>
    <n v="3"/>
    <n v="9"/>
    <n v="3"/>
    <x v="1"/>
    <n v="14"/>
    <n v="1"/>
    <n v="0"/>
    <n v="1"/>
    <n v="0"/>
    <n v="1350.1350135013502"/>
    <n v="1576"/>
    <n v="1776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761630840649901E-2"/>
    <n v="17600000"/>
    <n v="9.9089999999999998E-2"/>
    <x v="3"/>
    <s v="Todo bien"/>
    <x v="1"/>
    <x v="5"/>
    <n v="773.69708505802748"/>
    <x v="1"/>
    <x v="2"/>
    <s v="Mediana"/>
    <x v="1"/>
    <n v="1776.1630840649914"/>
  </r>
  <r>
    <s v="Conscient Heritage Max"/>
    <x v="229"/>
    <n v="13875"/>
    <n v="3"/>
    <x v="4"/>
    <x v="0"/>
    <s v=" Sector 102 Gurgaon"/>
    <n v="0"/>
    <n v="0"/>
    <n v="4"/>
    <n v="15"/>
    <n v="3"/>
    <x v="1"/>
    <n v="25"/>
    <n v="1"/>
    <n v="1"/>
    <n v="0"/>
    <n v="0"/>
    <n v="1638.0501282810342"/>
    <n v="2000"/>
    <n v="2149"/>
    <n v="0"/>
    <n v="0"/>
    <n v="0"/>
    <n v="1"/>
    <n v="0"/>
    <n v="0"/>
    <n v="0"/>
    <n v="1"/>
    <n v="1"/>
    <n v="1"/>
    <n v="1"/>
    <n v="1"/>
    <n v="1"/>
    <n v="0"/>
    <n v="0"/>
    <n v="1"/>
    <n v="1"/>
    <n v="37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E-2"/>
    <n v="22200000.000000004"/>
    <n v="0.13875000000000001"/>
    <x v="3"/>
    <s v="Todo bien"/>
    <x v="1"/>
    <x v="3"/>
    <n v="696.96040144000006"/>
    <x v="1"/>
    <x v="2"/>
    <s v="Grande"/>
    <x v="2"/>
    <n v="1600"/>
  </r>
  <r>
    <s v="DLF Regency Park "/>
    <x v="224"/>
    <n v="12400"/>
    <n v="2"/>
    <x v="8"/>
    <x v="5"/>
    <s v=" DLF Phase 4"/>
    <n v="0"/>
    <n v="0"/>
    <n v="2"/>
    <n v="19"/>
    <n v="3"/>
    <x v="0"/>
    <n v="26"/>
    <n v="0"/>
    <n v="0"/>
    <n v="1"/>
    <n v="0"/>
    <n v="1578.064897918927"/>
    <n v="1050"/>
    <n v="1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1"/>
    <x v="1"/>
    <x v="1"/>
    <x v="0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1"/>
    <n v="12400000"/>
    <n v="0.124"/>
    <x v="2"/>
    <s v="Todo bien"/>
    <x v="1"/>
    <x v="5"/>
    <n v="435.60025090000005"/>
    <x v="0"/>
    <x v="2"/>
    <s v="Mediana"/>
    <x v="1"/>
    <n v="1000"/>
  </r>
  <r>
    <s v="Godrej "/>
    <x v="210"/>
    <n v="7146"/>
    <n v="2"/>
    <x v="2"/>
    <x v="0"/>
    <s v=" Sector 79 Gurgaon"/>
    <n v="0"/>
    <n v="0"/>
    <n v="2"/>
    <n v="6"/>
    <n v="3"/>
    <x v="0"/>
    <n v="15"/>
    <n v="0"/>
    <n v="1"/>
    <n v="0"/>
    <n v="0"/>
    <n v="1850.0998633448964"/>
    <n v="1325"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73103834312901E-2"/>
    <n v="11200000"/>
    <n v="7.1459999999999996E-2"/>
    <x v="2"/>
    <s v="Todo bien"/>
    <x v="0"/>
    <x v="1"/>
    <n v="682.72079626084519"/>
    <x v="1"/>
    <x v="2"/>
    <s v="Mediana"/>
    <x v="1"/>
    <n v="1567.3103834312903"/>
  </r>
  <r>
    <s v="Adani MK Oyster Grande"/>
    <x v="49"/>
    <n v="14074"/>
    <n v="3"/>
    <x v="1"/>
    <x v="0"/>
    <s v=" Sector 102 Gurgaon"/>
    <n v="0"/>
    <n v="0"/>
    <n v="4"/>
    <n v="21"/>
    <n v="3"/>
    <x v="1"/>
    <n v="24"/>
    <n v="1"/>
    <n v="0"/>
    <n v="0"/>
    <n v="0"/>
    <n v="1200"/>
    <m/>
    <n v="1889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0710530055E-2"/>
    <n v="19000000"/>
    <n v="0.14074"/>
    <x v="3"/>
    <s v="Todo bien"/>
    <x v="0"/>
    <x v="3"/>
    <n v="588.06343378570239"/>
    <x v="1"/>
    <x v="0"/>
    <s v="Pequeña"/>
    <x v="1"/>
    <n v="1350.0071053005543"/>
  </r>
  <r>
    <s v="DLF Regency Park "/>
    <x v="12"/>
    <n v="11739"/>
    <n v="2"/>
    <x v="4"/>
    <x v="1"/>
    <s v=" DLF Phase 4"/>
    <n v="0"/>
    <n v="0"/>
    <n v="2"/>
    <n v="14"/>
    <n v="2"/>
    <x v="0"/>
    <n v="26"/>
    <n v="0"/>
    <n v="0"/>
    <n v="0"/>
    <n v="1"/>
    <n v="1825.0347153342589"/>
    <n v="1120"/>
    <n v="1150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27779197501E-2"/>
    <n v="13500000"/>
    <n v="0.11738999999999999"/>
    <x v="2"/>
    <s v="Todo bien"/>
    <x v="0"/>
    <x v="3"/>
    <n v="500.94585460004913"/>
    <x v="1"/>
    <x v="2"/>
    <s v="Mediana"/>
    <x v="1"/>
    <n v="1150.0127779197546"/>
  </r>
  <r>
    <s v="ATS Kocoon"/>
    <x v="229"/>
    <n v="10596"/>
    <n v="3"/>
    <x v="4"/>
    <x v="0"/>
    <s v=" Sector 109 Gurgaon"/>
    <n v="0"/>
    <n v="0"/>
    <n v="3"/>
    <n v="20"/>
    <n v="3"/>
    <x v="1"/>
    <n v="26"/>
    <n v="1"/>
    <n v="0"/>
    <n v="0"/>
    <n v="0"/>
    <n v="2095.130237825595"/>
    <m/>
    <n v="2095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3023782559E-2"/>
    <n v="22200000.000000004"/>
    <n v="0.10596"/>
    <x v="3"/>
    <s v="Todo bien"/>
    <x v="0"/>
    <x v="4"/>
    <n v="912.63925726500372"/>
    <x v="1"/>
    <x v="2"/>
    <s v="Pequeña"/>
    <x v="2"/>
    <n v="2095.130237825595"/>
  </r>
  <r>
    <s v="Experion The Heartsong"/>
    <x v="15"/>
    <n v="7014"/>
    <n v="2"/>
    <x v="4"/>
    <x v="0"/>
    <s v=" Sector 108 Gurgaon"/>
    <n v="0"/>
    <n v="0"/>
    <n v="3"/>
    <n v="7"/>
    <n v="3"/>
    <x v="0"/>
    <n v="14"/>
    <n v="1"/>
    <n v="0"/>
    <n v="0"/>
    <n v="0"/>
    <n v="1283.1479897348163"/>
    <m/>
    <n v="1283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8314798973481E-2"/>
    <n v="9000000"/>
    <n v="7.0139999999999994E-2"/>
    <x v="1"/>
    <s v="Todo bien"/>
    <x v="0"/>
    <x v="3"/>
    <n v="558.93958627031395"/>
    <x v="1"/>
    <x v="2"/>
    <s v="Pequeña"/>
    <x v="1"/>
    <n v="1283.1479897348163"/>
  </r>
  <r>
    <s v="ATS Tourmaline"/>
    <x v="68"/>
    <n v="8139"/>
    <n v="3"/>
    <x v="5"/>
    <x v="0"/>
    <s v=" Sector 109 Gurgaon"/>
    <n v="0"/>
    <n v="0"/>
    <n v="4"/>
    <n v="2"/>
    <n v="3"/>
    <x v="1"/>
    <n v="27"/>
    <n v="1"/>
    <n v="0"/>
    <n v="0"/>
    <n v="0"/>
    <n v="2150.1412949993855"/>
    <m/>
    <n v="21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3"/>
    <n v="936.60208757218095"/>
    <x v="1"/>
    <x v="2"/>
    <s v="Pequeña"/>
    <x v="2"/>
    <n v="2150.1412949993855"/>
  </r>
  <r>
    <s v="Orris Aster Court"/>
    <x v="230"/>
    <n v="5825"/>
    <n v="2"/>
    <x v="7"/>
    <x v="0"/>
    <s v=" Sector 85 Gurgaon"/>
    <n v="0"/>
    <n v="0"/>
    <n v="2"/>
    <n v="5"/>
    <n v="2"/>
    <x v="0"/>
    <n v="12"/>
    <n v="0"/>
    <n v="0"/>
    <n v="0"/>
    <n v="0"/>
    <n v="2661.596958174905"/>
    <n v="1250"/>
    <n v="13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1500429184549301E-2"/>
    <n v="6698999.9999999991"/>
    <n v="5.8250000000000003E-2"/>
    <x v="1"/>
    <s v="Todo bien"/>
    <x v="1"/>
    <x v="5"/>
    <n v="500.95898382473581"/>
    <x v="1"/>
    <x v="3"/>
    <s v="Mediana"/>
    <x v="1"/>
    <n v="1150.0429184549355"/>
  </r>
  <r>
    <s v="Ireo Victory Valley"/>
    <x v="193"/>
    <n v="12110"/>
    <n v="3"/>
    <x v="8"/>
    <x v="5"/>
    <s v=" Sector 67 Gurgaon"/>
    <n v="0"/>
    <n v="0"/>
    <n v="3"/>
    <n v="14"/>
    <n v="3"/>
    <x v="1"/>
    <n v="51"/>
    <n v="1"/>
    <n v="0"/>
    <n v="1"/>
    <n v="0"/>
    <n v="1747.0401386081433"/>
    <n v="2236"/>
    <n v="243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360033030553199E-2"/>
    <n v="29500000"/>
    <n v="0.1211"/>
    <x v="5"/>
    <s v="Todo bien"/>
    <x v="1"/>
    <x v="5"/>
    <n v="1061.1236500041261"/>
    <x v="1"/>
    <x v="2"/>
    <s v="Grande"/>
    <x v="2"/>
    <n v="2436.0033030553263"/>
  </r>
  <r>
    <s v="Pioneer Park"/>
    <x v="231"/>
    <n v="14623"/>
    <n v="3"/>
    <x v="8"/>
    <x v="5"/>
    <s v=" Sector 61 Gurgaon"/>
    <n v="0"/>
    <n v="0"/>
    <n v="3"/>
    <n v="16"/>
    <n v="3"/>
    <x v="1"/>
    <n v="32"/>
    <n v="1"/>
    <n v="0"/>
    <n v="0"/>
    <n v="0"/>
    <n v="1966.0411081322611"/>
    <n v="1595"/>
    <n v="17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3950625726595001E-2"/>
    <n v="20400000"/>
    <n v="0.14623"/>
    <x v="3"/>
    <s v="Todo bien"/>
    <x v="1"/>
    <x v="5"/>
    <n v="607.68960667167778"/>
    <x v="1"/>
    <x v="2"/>
    <s v="Mediana"/>
    <x v="1"/>
    <n v="1395.062572659509"/>
  </r>
  <r>
    <s v="Alpha Corp GurgaonOne "/>
    <x v="232"/>
    <n v="6523"/>
    <n v="4"/>
    <x v="0"/>
    <x v="0"/>
    <s v=" Sector 84 Gurgaon"/>
    <n v="0"/>
    <n v="0"/>
    <n v="4"/>
    <n v="12"/>
    <n v="3"/>
    <x v="2"/>
    <n v="26"/>
    <n v="1"/>
    <n v="0"/>
    <n v="0"/>
    <n v="0"/>
    <n v="1825.1875887243966"/>
    <m/>
    <n v="34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0027594665E-2"/>
    <n v="22400000.000000004"/>
    <n v="6.5229999999999996E-2"/>
    <x v="3"/>
    <s v="Todo bien"/>
    <x v="0"/>
    <x v="1"/>
    <n v="1495.8524636148998"/>
    <x v="1"/>
    <x v="2"/>
    <s v="Pequeña"/>
    <x v="3"/>
    <n v="3434.0027594665039"/>
  </r>
  <r>
    <s v="Godrej Icon"/>
    <x v="233"/>
    <n v="8100"/>
    <n v="2"/>
    <x v="7"/>
    <x v="0"/>
    <s v=" Sector 88A Gurgaon"/>
    <n v="0"/>
    <n v="0"/>
    <n v="2"/>
    <n v="3"/>
    <n v="3"/>
    <x v="0"/>
    <n v="32"/>
    <n v="0"/>
    <n v="1"/>
    <n v="0"/>
    <n v="0"/>
    <n v="1617.2839506172838"/>
    <m/>
    <n v="1617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72839506172799E-2"/>
    <n v="13100000"/>
    <n v="8.1000000000000003E-2"/>
    <x v="2"/>
    <s v="Todo bien"/>
    <x v="0"/>
    <x v="4"/>
    <n v="704.48929466543041"/>
    <x v="1"/>
    <x v="2"/>
    <s v="Pequeña"/>
    <x v="1"/>
    <n v="1617.2839506172838"/>
  </r>
  <r>
    <s v="Emaar MGF Emerald Estate"/>
    <x v="74"/>
    <n v="21013"/>
    <n v="3"/>
    <x v="3"/>
    <x v="0"/>
    <s v=" Sector 65 Gurgaon"/>
    <n v="0"/>
    <n v="0"/>
    <n v="3"/>
    <n v="7"/>
    <n v="3"/>
    <x v="1"/>
    <n v="12"/>
    <n v="0"/>
    <n v="1"/>
    <n v="0"/>
    <n v="0"/>
    <n v="2095.3163516844697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8.0902298577071007E-3"/>
    <n v="17000000"/>
    <n v="0.21013000000000001"/>
    <x v="3"/>
    <s v="Todo bien"/>
    <x v="1"/>
    <x v="5"/>
    <n v="352.41061558558846"/>
    <x v="0"/>
    <x v="2"/>
    <s v="Pequeña"/>
    <x v="1"/>
    <n v="809.02298577071338"/>
  </r>
  <r>
    <s v="Vatika Gurgaon "/>
    <x v="190"/>
    <n v="7437"/>
    <n v="3"/>
    <x v="8"/>
    <x v="0"/>
    <s v=" Sector 83 Gurgaon"/>
    <n v="0"/>
    <n v="0"/>
    <n v="3"/>
    <n v="10"/>
    <n v="2"/>
    <x v="1"/>
    <n v="18"/>
    <n v="1"/>
    <n v="0"/>
    <n v="0"/>
    <n v="0"/>
    <n v="2213.9303482587065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01075702568202E-2"/>
    <n v="11900000"/>
    <n v="7.4370000000000006E-2"/>
    <x v="2"/>
    <s v="Todo bien"/>
    <x v="1"/>
    <x v="0"/>
    <n v="697.0072590708603"/>
    <x v="1"/>
    <x v="2"/>
    <s v="Pequeña"/>
    <x v="0"/>
    <n v="1600.1075702568239"/>
  </r>
  <r>
    <s v="Emaar Palm Heights"/>
    <x v="68"/>
    <n v="11666"/>
    <n v="3"/>
    <x v="6"/>
    <x v="0"/>
    <s v=" Sector 77 Gurgaon"/>
    <n v="0"/>
    <n v="0"/>
    <n v="3"/>
    <n v="11"/>
    <n v="3"/>
    <x v="1"/>
    <n v="24"/>
    <n v="1"/>
    <n v="0"/>
    <n v="0"/>
    <n v="0"/>
    <n v="2107.5703928511211"/>
    <n v="1900"/>
    <n v="2025"/>
    <n v="0"/>
    <n v="1"/>
    <n v="1"/>
    <n v="1"/>
    <n v="0"/>
    <n v="1"/>
    <n v="0"/>
    <n v="1"/>
    <n v="1"/>
    <n v="1"/>
    <n v="0"/>
    <n v="1"/>
    <n v="1"/>
    <n v="0"/>
    <n v="1"/>
    <n v="1"/>
    <n v="1"/>
    <n v="56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8571918395E-2"/>
    <n v="17500000"/>
    <n v="0.11666"/>
    <x v="3"/>
    <s v="Todo bien"/>
    <x v="0"/>
    <x v="5"/>
    <n v="653.43771564803558"/>
    <x v="1"/>
    <x v="2"/>
    <s v="Grande"/>
    <x v="2"/>
    <n v="1500.0857191839534"/>
  </r>
  <r>
    <s v="Vatika Gurgaon "/>
    <x v="210"/>
    <n v="6455"/>
    <n v="3"/>
    <x v="8"/>
    <x v="5"/>
    <s v=" Sector 83 Gurgaon"/>
    <n v="0"/>
    <n v="0"/>
    <n v="3"/>
    <n v="17"/>
    <n v="2"/>
    <x v="1"/>
    <n v="18"/>
    <n v="0"/>
    <n v="0"/>
    <n v="0"/>
    <n v="0"/>
    <n v="2350.0885946097173"/>
    <n v="1500"/>
    <n v="1735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350890782339201E-2"/>
    <n v="11200000"/>
    <n v="6.4549999999999996E-2"/>
    <x v="2"/>
    <s v="Todo bien"/>
    <x v="1"/>
    <x v="5"/>
    <n v="755.80523781254533"/>
    <x v="1"/>
    <x v="2"/>
    <s v="Mediana"/>
    <x v="1"/>
    <n v="1735.0890782339272"/>
  </r>
  <r>
    <s v="Green Campus CHS"/>
    <x v="119"/>
    <n v="4022"/>
    <n v="3"/>
    <x v="4"/>
    <x v="5"/>
    <s v=" Sector 1A IMT Manesar"/>
    <n v="0"/>
    <n v="0"/>
    <n v="3"/>
    <n v="8"/>
    <n v="3"/>
    <x v="1"/>
    <n v="12"/>
    <n v="1"/>
    <n v="0"/>
    <n v="0"/>
    <n v="0"/>
    <n v="1930.1914106482225"/>
    <m/>
    <n v="2287"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4191944306298E-2"/>
    <n v="9200000"/>
    <n v="4.0219999999999999E-2"/>
    <x v="1"/>
    <s v="Todo bien"/>
    <x v="0"/>
    <x v="2"/>
    <n v="996.40037500745825"/>
    <x v="1"/>
    <x v="2"/>
    <s v="Pequeña"/>
    <x v="2"/>
    <n v="2287.4191944306317"/>
  </r>
  <r>
    <s v="Green Campus CHS"/>
    <x v="15"/>
    <n v="3935"/>
    <n v="3"/>
    <x v="2"/>
    <x v="5"/>
    <s v=" Sector 1A IMT Manesar"/>
    <n v="0"/>
    <n v="0"/>
    <n v="3"/>
    <n v="6"/>
    <n v="3"/>
    <x v="1"/>
    <n v="12"/>
    <n v="1"/>
    <n v="0"/>
    <n v="0"/>
    <n v="0"/>
    <n v="2287.1664548919948"/>
    <m/>
    <n v="2287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1664548919899E-2"/>
    <n v="9000000"/>
    <n v="3.9350000000000003E-2"/>
    <x v="1"/>
    <s v="Todo bien"/>
    <x v="0"/>
    <x v="2"/>
    <n v="996.29028160101439"/>
    <x v="1"/>
    <x v="2"/>
    <s v="Pequeña"/>
    <x v="2"/>
    <n v="2287.1664548919948"/>
  </r>
  <r>
    <s v="Puri Emerald Bay"/>
    <x v="133"/>
    <n v="9387"/>
    <n v="3"/>
    <x v="2"/>
    <x v="5"/>
    <s v=" Sector 104 Gurgaon"/>
    <n v="0"/>
    <n v="0"/>
    <n v="4"/>
    <n v="10"/>
    <n v="3"/>
    <x v="1"/>
    <n v="29"/>
    <n v="1"/>
    <n v="0"/>
    <n v="0"/>
    <n v="0"/>
    <n v="2450.1970810695643"/>
    <m/>
    <n v="24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1970810695599E-2"/>
    <n v="23000000"/>
    <n v="9.3869999999999995E-2"/>
    <x v="3"/>
    <s v="Todo bien"/>
    <x v="0"/>
    <x v="4"/>
    <n v="1067.3064632683479"/>
    <x v="1"/>
    <x v="2"/>
    <s v="Pequeña"/>
    <x v="2"/>
    <n v="2450.1970810695643"/>
  </r>
  <r>
    <s v="Puri Emerald Bay"/>
    <x v="234"/>
    <n v="9117"/>
    <n v="2"/>
    <x v="2"/>
    <x v="0"/>
    <s v=" Sector 104 Gurgaon"/>
    <n v="0"/>
    <n v="0"/>
    <n v="3"/>
    <n v="11"/>
    <n v="3"/>
    <x v="0"/>
    <n v="29"/>
    <n v="1"/>
    <n v="0"/>
    <n v="0"/>
    <n v="0"/>
    <n v="1733.0262147636283"/>
    <m/>
    <n v="170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30262147636201E-2"/>
    <n v="15800000"/>
    <n v="9.1170000000000001E-2"/>
    <x v="3"/>
    <s v="Todo bien"/>
    <x v="0"/>
    <x v="4"/>
    <n v="754.90665396731026"/>
    <x v="1"/>
    <x v="2"/>
    <s v="Pequeña"/>
    <x v="1"/>
    <n v="1733.0262147636283"/>
  </r>
  <r>
    <s v="Indiabulls Enigma"/>
    <x v="117"/>
    <n v="10953"/>
    <n v="5"/>
    <x v="4"/>
    <x v="0"/>
    <s v=" Sector 110 Gurgaon"/>
    <n v="0"/>
    <n v="0"/>
    <n v="5"/>
    <n v="4"/>
    <n v="3"/>
    <x v="4"/>
    <n v="15"/>
    <n v="1"/>
    <n v="0"/>
    <n v="0"/>
    <n v="0"/>
    <n v="3880.2154660823517"/>
    <m/>
    <n v="3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2154660823499E-2"/>
    <n v="42500000"/>
    <n v="0.10953"/>
    <x v="4"/>
    <s v="Todo bien"/>
    <x v="0"/>
    <x v="4"/>
    <n v="1690.2228305715321"/>
    <x v="3"/>
    <x v="3"/>
    <s v="Pequeña"/>
    <x v="3"/>
    <n v="3880.2154660823517"/>
  </r>
  <r>
    <s v="Bestech Park View Sanskruti"/>
    <x v="235"/>
    <n v="11052"/>
    <n v="3"/>
    <x v="4"/>
    <x v="0"/>
    <s v=" Sector 92 Gurgaon"/>
    <n v="0"/>
    <n v="0"/>
    <n v="4"/>
    <n v="15"/>
    <n v="3"/>
    <x v="1"/>
    <n v="20"/>
    <n v="1"/>
    <n v="0"/>
    <n v="0"/>
    <n v="0"/>
    <n v="1538.100270048139"/>
    <m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200868621064E-2"/>
    <n v="16800000"/>
    <n v="0.11051999999999999"/>
    <x v="3"/>
    <s v="Todo bien"/>
    <x v="1"/>
    <x v="5"/>
    <n v="662.15021852334155"/>
    <x v="1"/>
    <x v="2"/>
    <s v="Pequeña"/>
    <x v="2"/>
    <n v="1520.0868621064062"/>
  </r>
  <r>
    <s v="Ireo Victory Valley"/>
    <x v="236"/>
    <n v="14536"/>
    <n v="4"/>
    <x v="8"/>
    <x v="0"/>
    <s v=" Sector 67 Gurgaon"/>
    <n v="0"/>
    <n v="0"/>
    <n v="4"/>
    <n v="19"/>
    <n v="3"/>
    <x v="2"/>
    <n v="39"/>
    <n v="1"/>
    <n v="0"/>
    <n v="0"/>
    <n v="0"/>
    <n v="3130.1596037424329"/>
    <m/>
    <n v="31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1301596037424301E-2"/>
    <n v="45500000"/>
    <n v="0.14535999999999999"/>
    <x v="4"/>
    <s v="Todo bien"/>
    <x v="1"/>
    <x v="5"/>
    <n v="1363.4983087472472"/>
    <x v="1"/>
    <x v="3"/>
    <s v="Pequeña"/>
    <x v="3"/>
    <n v="3130.1596037424329"/>
  </r>
  <r>
    <s v="Bestech Park View Spa Next"/>
    <x v="22"/>
    <n v="12127"/>
    <n v="4"/>
    <x v="8"/>
    <x v="5"/>
    <s v=" Sector 67 Gurgaon"/>
    <n v="0"/>
    <n v="0"/>
    <n v="4"/>
    <n v="5"/>
    <n v="3"/>
    <x v="2"/>
    <n v="14"/>
    <n v="1"/>
    <n v="0"/>
    <n v="1"/>
    <n v="0"/>
    <n v="2350.1278139688297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12781396883E-2"/>
    <n v="28500000"/>
    <n v="0.12127"/>
    <x v="5"/>
    <s v="Todo bien"/>
    <x v="1"/>
    <x v="5"/>
    <n v="1023.716265411891"/>
    <x v="1"/>
    <x v="2"/>
    <s v="Pequeña"/>
    <x v="2"/>
    <n v="2350.1278139688297"/>
  </r>
  <r>
    <s v="Bestech Park View Spa Next"/>
    <x v="168"/>
    <n v="12144"/>
    <n v="3"/>
    <x v="6"/>
    <x v="5"/>
    <s v=" Sector 67 Gurgaon"/>
    <n v="0"/>
    <n v="0"/>
    <n v="4"/>
    <n v="14"/>
    <n v="3"/>
    <x v="1"/>
    <n v="14"/>
    <n v="1"/>
    <n v="0"/>
    <n v="0"/>
    <n v="0"/>
    <n v="1935.1119894598155"/>
    <m/>
    <n v="19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1.93511198945981E-2"/>
    <n v="23500000"/>
    <n v="0.12144000000000001"/>
    <x v="3"/>
    <s v="Todo bien"/>
    <x v="1"/>
    <x v="5"/>
    <n v="842.93526812829145"/>
    <x v="1"/>
    <x v="2"/>
    <s v="Pequeña"/>
    <x v="1"/>
    <n v="1935.1119894598155"/>
  </r>
  <r>
    <s v="DLF The Ultima"/>
    <x v="133"/>
    <n v="10994"/>
    <n v="3"/>
    <x v="4"/>
    <x v="2"/>
    <s v=" Sector 81 Gurgaon"/>
    <n v="0"/>
    <n v="0"/>
    <n v="4"/>
    <n v="6"/>
    <n v="3"/>
    <x v="1"/>
    <n v="30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7"/>
    <n v="1"/>
    <n v="0"/>
    <n v="0"/>
    <n v="0"/>
    <n v="0"/>
    <n v="0"/>
    <n v="0"/>
    <n v="1"/>
    <n v="2.0920502092050201E-2"/>
    <n v="23000000"/>
    <n v="0.10994"/>
    <x v="3"/>
    <s v="Todo bien"/>
    <x v="2"/>
    <x v="5"/>
    <n v="911.29759602510433"/>
    <x v="1"/>
    <x v="2"/>
    <s v="Pequeña"/>
    <x v="2"/>
    <n v="2092.050209205021"/>
  </r>
  <r>
    <s v="DLF The Ultima"/>
    <x v="164"/>
    <n v="10761"/>
    <n v="3"/>
    <x v="0"/>
    <x v="2"/>
    <s v=" Sector 81 Gurgaon"/>
    <n v="0"/>
    <n v="0"/>
    <n v="4"/>
    <n v="17"/>
    <n v="3"/>
    <x v="1"/>
    <n v="29"/>
    <n v="1"/>
    <n v="0"/>
    <n v="0"/>
    <n v="0"/>
    <n v="2100.176563516402"/>
    <m/>
    <n v="21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4"/>
    <n v="1"/>
    <n v="0"/>
    <n v="0"/>
    <n v="0"/>
    <n v="0"/>
    <n v="0"/>
    <n v="0"/>
    <n v="1"/>
    <n v="2.1001765635164E-2"/>
    <n v="22600000"/>
    <n v="0.10761"/>
    <x v="3"/>
    <s v="Todo bien"/>
    <x v="2"/>
    <x v="5"/>
    <n v="914.83743800204365"/>
    <x v="1"/>
    <x v="2"/>
    <s v="Pequeña"/>
    <x v="2"/>
    <n v="2100.176563516402"/>
  </r>
  <r>
    <s v="Ambience Creacions"/>
    <x v="237"/>
    <n v="15469"/>
    <n v="3"/>
    <x v="0"/>
    <x v="0"/>
    <s v=" Sector 22 Gurgaon"/>
    <n v="0"/>
    <n v="0"/>
    <n v="4"/>
    <n v="7"/>
    <n v="3"/>
    <x v="1"/>
    <n v="18"/>
    <n v="1"/>
    <n v="0"/>
    <n v="0"/>
    <n v="0"/>
    <n v="1578.092364817823"/>
    <n v="25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3.0900510698816899E-2"/>
    <n v="47800000"/>
    <n v="0.15468999999999999"/>
    <x v="4"/>
    <s v="Todo bien"/>
    <x v="2"/>
    <x v="4"/>
    <n v="1346.0270213342776"/>
    <x v="1"/>
    <x v="2"/>
    <s v="Grande"/>
    <x v="3"/>
    <n v="3090.0510698816988"/>
  </r>
  <r>
    <s v="Tulip Ivory"/>
    <x v="6"/>
    <n v="8333"/>
    <n v="4"/>
    <x v="2"/>
    <x v="5"/>
    <s v=" Sector 70 Gurgaon"/>
    <n v="0"/>
    <n v="0"/>
    <n v="5"/>
    <n v="7"/>
    <n v="3"/>
    <x v="2"/>
    <n v="12"/>
    <n v="1"/>
    <n v="0"/>
    <n v="0"/>
    <n v="0"/>
    <n v="1538.118591172537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x v="3"/>
    <s v="Todo bien"/>
    <x v="1"/>
    <x v="5"/>
    <n v="1045.4824214568566"/>
    <x v="1"/>
    <x v="2"/>
    <s v="Pequeña"/>
    <x v="2"/>
    <n v="2400.0960038401536"/>
  </r>
  <r>
    <s v="Ireo Skyon"/>
    <x v="162"/>
    <n v="13392"/>
    <n v="4"/>
    <x v="5"/>
    <x v="0"/>
    <s v=" Sector 60 Gurgaon"/>
    <n v="0"/>
    <n v="0"/>
    <n v="4"/>
    <n v="12"/>
    <n v="3"/>
    <x v="2"/>
    <n v="39"/>
    <n v="1"/>
    <n v="0"/>
    <n v="0"/>
    <n v="0"/>
    <n v="1568.1003584229391"/>
    <n v="2650"/>
    <n v="2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8001792114695299E-2"/>
    <n v="37500000"/>
    <n v="0.13392000000000001"/>
    <x v="5"/>
    <s v="Todo bien"/>
    <x v="1"/>
    <x v="1"/>
    <n v="1219.7587670810915"/>
    <x v="1"/>
    <x v="2"/>
    <s v="Muy grande"/>
    <x v="2"/>
    <n v="2800.179211469534"/>
  </r>
  <r>
    <s v="Ambience Creacions"/>
    <x v="238"/>
    <n v="20533"/>
    <n v="4"/>
    <x v="3"/>
    <x v="2"/>
    <s v=" Sector 22 Gurgaon"/>
    <n v="0"/>
    <n v="0"/>
    <n v="5"/>
    <n v="10"/>
    <n v="3"/>
    <x v="2"/>
    <n v="20"/>
    <n v="1"/>
    <n v="0"/>
    <n v="1"/>
    <n v="0"/>
    <n v="1538.116088469742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000487020893099E-2"/>
    <n v="61600000"/>
    <n v="0.20533000000000001"/>
    <x v="6"/>
    <s v="Todo bien"/>
    <x v="1"/>
    <x v="1"/>
    <n v="1306.8219673423228"/>
    <x v="1"/>
    <x v="2"/>
    <s v="Pequeña"/>
    <x v="0"/>
    <n v="3000.0487020893192"/>
  </r>
  <r>
    <s v="MM Golfestate"/>
    <x v="239"/>
    <n v="24211"/>
    <n v="3"/>
    <x v="2"/>
    <x v="5"/>
    <s v=" Sector 65 Gurgaon"/>
    <n v="0"/>
    <n v="0"/>
    <n v="3"/>
    <n v="38"/>
    <n v="3"/>
    <x v="1"/>
    <n v="40"/>
    <n v="1"/>
    <n v="0"/>
    <n v="0"/>
    <n v="0"/>
    <n v="1569.5067264573991"/>
    <m/>
    <n v="2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6"/>
    <n v="1"/>
    <n v="3"/>
    <n v="1"/>
    <n v="1"/>
    <n v="1"/>
    <n v="1"/>
    <n v="1"/>
    <n v="7"/>
    <n v="1"/>
    <n v="0"/>
    <n v="0"/>
    <n v="0"/>
    <n v="1"/>
    <n v="4"/>
    <n v="1"/>
    <n v="0"/>
    <n v="0"/>
    <n v="0"/>
    <n v="0"/>
    <n v="0"/>
    <n v="0"/>
    <n v="1"/>
    <n v="2.1890876048077299E-2"/>
    <n v="53000000"/>
    <n v="0.24210999999999999"/>
    <x v="4"/>
    <s v="Todo bien"/>
    <x v="2"/>
    <x v="1"/>
    <n v="953.56710989632722"/>
    <x v="1"/>
    <x v="2"/>
    <s v="Pequeña"/>
    <x v="2"/>
    <n v="2189.0876048077321"/>
  </r>
  <r>
    <s v="Umang Winter Hills"/>
    <x v="29"/>
    <n v="5588"/>
    <n v="2"/>
    <x v="8"/>
    <x v="0"/>
    <s v=" Sector 77 Gurgaon"/>
    <n v="0"/>
    <n v="0"/>
    <n v="2"/>
    <n v="8"/>
    <n v="2"/>
    <x v="0"/>
    <n v="18"/>
    <n v="0"/>
    <n v="0"/>
    <n v="0"/>
    <n v="1"/>
    <n v="2061.181089481433"/>
    <n v="1140"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x v="1"/>
    <s v="Todo bien"/>
    <x v="1"/>
    <x v="5"/>
    <n v="584.64600603972735"/>
    <x v="1"/>
    <x v="2"/>
    <s v="Mediana"/>
    <x v="1"/>
    <n v="1342.1617752326415"/>
  </r>
  <r>
    <s v="Mapsko Mount Ville"/>
    <x v="43"/>
    <n v="8389"/>
    <n v="3"/>
    <x v="8"/>
    <x v="0"/>
    <s v=" Sector 79 Gurgaon"/>
    <n v="0"/>
    <n v="0"/>
    <n v="3"/>
    <n v="18"/>
    <n v="3"/>
    <x v="1"/>
    <n v="30"/>
    <n v="0"/>
    <n v="1"/>
    <n v="0"/>
    <n v="0"/>
    <n v="1725.2002464571781"/>
    <n v="1058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04648945047E-2"/>
    <n v="12500000"/>
    <n v="8.3890000000000006E-2"/>
    <x v="2"/>
    <s v="Todo bien"/>
    <x v="1"/>
    <x v="5"/>
    <n v="649.06462465728896"/>
    <x v="1"/>
    <x v="2"/>
    <s v="Mediana"/>
    <x v="1"/>
    <n v="1490.0464894504707"/>
  </r>
  <r>
    <s v="Godrej "/>
    <x v="6"/>
    <n v="8474"/>
    <n v="3"/>
    <x v="4"/>
    <x v="0"/>
    <s v=" Sector 79 Gurgaon"/>
    <n v="0"/>
    <n v="0"/>
    <n v="4"/>
    <n v="9"/>
    <n v="3"/>
    <x v="1"/>
    <n v="15"/>
    <n v="1"/>
    <n v="0"/>
    <n v="0"/>
    <n v="0"/>
    <n v="1725.2675256606246"/>
    <n v="1963"/>
    <n v="236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01604909133801E-2"/>
    <n v="20000000"/>
    <n v="8.4739999999999996E-2"/>
    <x v="3"/>
    <s v="Todo bien"/>
    <x v="0"/>
    <x v="5"/>
    <n v="1028.0865020061356"/>
    <x v="1"/>
    <x v="2"/>
    <s v="Grande"/>
    <x v="2"/>
    <n v="2360.1604909133821"/>
  </r>
  <r>
    <s v="Mapsko Mount Ville"/>
    <x v="35"/>
    <n v="8724"/>
    <n v="3"/>
    <x v="4"/>
    <x v="0"/>
    <s v=" Sector 79 Gurgaon"/>
    <n v="0"/>
    <n v="0"/>
    <n v="3"/>
    <n v="19"/>
    <n v="3"/>
    <x v="1"/>
    <n v="30"/>
    <n v="0"/>
    <n v="0"/>
    <n v="0"/>
    <n v="1"/>
    <n v="2535.3665258129708"/>
    <n v="1176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14213663457E-2"/>
    <n v="13000000"/>
    <n v="8.7239999999999998E-2"/>
    <x v="2"/>
    <s v="Todo bien"/>
    <x v="1"/>
    <x v="5"/>
    <n v="649.10628859468079"/>
    <x v="1"/>
    <x v="3"/>
    <s v="Mediana"/>
    <x v="1"/>
    <n v="1490.1421366345714"/>
  </r>
  <r>
    <s v="City Heights"/>
    <x v="68"/>
    <n v="8750"/>
    <n v="3"/>
    <x v="1"/>
    <x v="1"/>
    <s v=" Sector 39 Gurgaon"/>
    <n v="0"/>
    <n v="0"/>
    <n v="4"/>
    <n v="3"/>
    <n v="3"/>
    <x v="1"/>
    <n v="12"/>
    <n v="1"/>
    <n v="0"/>
    <n v="0"/>
    <n v="0"/>
    <n v="1711.0891740704178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1"/>
    <n v="1"/>
    <n v="1"/>
    <n v="3"/>
    <n v="1"/>
    <n v="1"/>
    <n v="1"/>
    <n v="1"/>
    <n v="1"/>
    <n v="5"/>
    <n v="1"/>
    <n v="1"/>
    <n v="1"/>
    <n v="1"/>
    <n v="1"/>
    <n v="3"/>
    <n v="1"/>
    <n v="1"/>
    <n v="0"/>
    <n v="0"/>
    <n v="0"/>
    <n v="0"/>
    <n v="0"/>
    <n v="1"/>
    <n v="0.02"/>
    <n v="17500000"/>
    <n v="8.7499999999999994E-2"/>
    <x v="3"/>
    <s v="Todo bien"/>
    <x v="2"/>
    <x v="0"/>
    <n v="871.2005018000001"/>
    <x v="1"/>
    <x v="2"/>
    <s v="Pequeña"/>
    <x v="0"/>
    <n v="2000.0000000000002"/>
  </r>
  <r>
    <s v="KW Royal Court"/>
    <x v="6"/>
    <n v="6250"/>
    <n v="5"/>
    <x v="4"/>
    <x v="1"/>
    <s v=" Sector 39 Gurgaon"/>
    <n v="0"/>
    <n v="0"/>
    <n v="4"/>
    <n v="9"/>
    <n v="3"/>
    <x v="4"/>
    <n v="12"/>
    <n v="1"/>
    <n v="0"/>
    <n v="0"/>
    <n v="0"/>
    <n v="2013.025458851391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6"/>
    <n v="1"/>
    <n v="5"/>
    <n v="1"/>
    <n v="1"/>
    <n v="1"/>
    <n v="1"/>
    <n v="1"/>
    <n v="9"/>
    <n v="1"/>
    <n v="1"/>
    <n v="1"/>
    <n v="1"/>
    <n v="1"/>
    <n v="5"/>
    <n v="1"/>
    <n v="1"/>
    <n v="0"/>
    <n v="0"/>
    <n v="0"/>
    <n v="0"/>
    <n v="0"/>
    <n v="1"/>
    <n v="3.2000000000000001E-2"/>
    <n v="20000000"/>
    <n v="6.25E-2"/>
    <x v="3"/>
    <s v="Todo bien"/>
    <x v="2"/>
    <x v="1"/>
    <n v="1393.9208028800001"/>
    <x v="1"/>
    <x v="2"/>
    <s v="Pequeña"/>
    <x v="0"/>
    <n v="3200"/>
  </r>
  <r>
    <s v="Shree Vardhman Victoria"/>
    <x v="186"/>
    <n v="9128"/>
    <n v="3"/>
    <x v="2"/>
    <x v="0"/>
    <s v=" Sector 70 Gurgaon"/>
    <n v="0"/>
    <n v="0"/>
    <n v="3"/>
    <n v="7"/>
    <n v="3"/>
    <x v="1"/>
    <n v="13"/>
    <n v="1"/>
    <n v="0"/>
    <n v="0"/>
    <n v="0"/>
    <n v="1950.043821209465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438212094601E-2"/>
    <n v="17800000"/>
    <n v="9.128E-2"/>
    <x v="3"/>
    <s v="Todo bien"/>
    <x v="0"/>
    <x v="1"/>
    <n v="849.43957778483559"/>
    <x v="1"/>
    <x v="2"/>
    <s v="Pequeña"/>
    <x v="1"/>
    <n v="1950.0438212094655"/>
  </r>
  <r>
    <s v="Alpha Corp GurgaonOne "/>
    <x v="81"/>
    <n v="7496"/>
    <n v="2"/>
    <x v="3"/>
    <x v="0"/>
    <s v=" Sector 84 Gurgaon"/>
    <n v="0"/>
    <n v="0"/>
    <n v="2"/>
    <n v="14"/>
    <n v="3"/>
    <x v="0"/>
    <n v="26"/>
    <n v="0"/>
    <n v="1"/>
    <n v="0"/>
    <n v="0"/>
    <n v="1580.8491418247515"/>
    <m/>
    <n v="15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x v="2"/>
    <s v="Todo bien"/>
    <x v="0"/>
    <x v="1"/>
    <n v="668.27679900613418"/>
    <x v="1"/>
    <x v="2"/>
    <s v="Pequeña"/>
    <x v="1"/>
    <n v="1534.1515474919956"/>
  </r>
  <r>
    <s v="CGHS Airport Apartment"/>
    <x v="71"/>
    <n v="7857"/>
    <n v="3"/>
    <x v="2"/>
    <x v="1"/>
    <s v=" Sector 47 Gurgaon"/>
    <n v="0"/>
    <n v="0"/>
    <n v="3"/>
    <n v="1"/>
    <n v="3"/>
    <x v="1"/>
    <n v="10"/>
    <n v="0"/>
    <n v="0"/>
    <n v="0"/>
    <n v="0"/>
    <n v="2010.0502512562814"/>
    <m/>
    <n v="2100"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0381825123999E-2"/>
    <n v="16500000"/>
    <n v="7.8570000000000001E-2"/>
    <x v="3"/>
    <s v="Todo bien"/>
    <x v="1"/>
    <x v="3"/>
    <n v="914.77715920198148"/>
    <x v="1"/>
    <x v="2"/>
    <s v="Pequeña"/>
    <x v="2"/>
    <n v="2100.0381825124091"/>
  </r>
  <r>
    <s v="GLS Avenue "/>
    <x v="240"/>
    <n v="6953"/>
    <n v="1"/>
    <x v="3"/>
    <x v="0"/>
    <s v=" Sector 92 Gurgaon"/>
    <n v="0"/>
    <n v="0"/>
    <n v="1"/>
    <n v="0"/>
    <n v="1"/>
    <x v="3"/>
    <n v="12"/>
    <n v="0"/>
    <n v="0"/>
    <n v="0"/>
    <n v="0"/>
    <n v="2010.1690906940994"/>
    <m/>
    <m/>
    <n v="0"/>
    <n v="0"/>
    <n v="1"/>
    <n v="1"/>
    <n v="1"/>
    <n v="0"/>
    <n v="0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202790162518998E-3"/>
    <n v="2100000"/>
    <n v="6.9529999999999995E-2"/>
    <x v="0"/>
    <s v="Todo bien"/>
    <x v="0"/>
    <x v="4"/>
    <n v="131.56342972673329"/>
    <x v="0"/>
    <x v="2"/>
    <s v="Pequeña"/>
    <x v="0"/>
    <n v="302.02790162519779"/>
  </r>
  <r>
    <s v="Kamroon Court"/>
    <x v="76"/>
    <n v="13750"/>
    <n v="3"/>
    <x v="2"/>
    <x v="5"/>
    <s v=" Sector 43 Gurgaon"/>
    <n v="0"/>
    <n v="0"/>
    <n v="4"/>
    <n v="5"/>
    <n v="3"/>
    <x v="1"/>
    <n v="12"/>
    <n v="1"/>
    <n v="0"/>
    <n v="0"/>
    <n v="0"/>
    <n v="1583.71040723981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1"/>
    <x v="1"/>
    <x v="0"/>
    <n v="1"/>
    <n v="3"/>
    <n v="1"/>
    <n v="3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0.02"/>
    <n v="27500000"/>
    <n v="0.13750000000000001"/>
    <x v="5"/>
    <s v="Todo bien"/>
    <x v="2"/>
    <x v="1"/>
    <n v="871.2005018000001"/>
    <x v="1"/>
    <x v="2"/>
    <s v="Pequeña"/>
    <x v="0"/>
    <n v="1999.9999999999998"/>
  </r>
  <r>
    <s v="Bestech Park View Spa Next"/>
    <x v="241"/>
    <n v="11574"/>
    <n v="4"/>
    <x v="6"/>
    <x v="0"/>
    <s v=" Sector 67 Gurgaon"/>
    <n v="0"/>
    <n v="0"/>
    <n v="4"/>
    <n v="0"/>
    <n v="3"/>
    <x v="2"/>
    <n v="14"/>
    <n v="1"/>
    <n v="0"/>
    <n v="1"/>
    <n v="0"/>
    <n v="2285.1053753255983"/>
    <n v="2250"/>
    <n v="2350"/>
    <n v="1"/>
    <n v="1"/>
    <n v="1"/>
    <n v="1"/>
    <n v="0"/>
    <n v="1"/>
    <n v="1"/>
    <n v="1"/>
    <n v="1"/>
    <n v="0"/>
    <n v="0"/>
    <n v="1"/>
    <n v="1"/>
    <n v="1"/>
    <n v="1"/>
    <n v="1"/>
    <n v="1"/>
    <n v="49"/>
    <x v="0"/>
    <x v="1"/>
    <x v="1"/>
    <x v="1"/>
    <x v="1"/>
    <x v="0"/>
    <x v="0"/>
    <x v="0"/>
    <x v="1"/>
    <n v="1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3500950406082501E-2"/>
    <n v="27200000"/>
    <n v="0.11574"/>
    <x v="5"/>
    <s v="Todo bien"/>
    <x v="1"/>
    <x v="4"/>
    <n v="1023.7019893277994"/>
    <x v="1"/>
    <x v="2"/>
    <s v="Grande"/>
    <x v="2"/>
    <n v="2350.0950406082602"/>
  </r>
  <r>
    <s v="Unitech Uniworld Gardens"/>
    <x v="92"/>
    <n v="11505"/>
    <n v="3"/>
    <x v="4"/>
    <x v="5"/>
    <s v=" Sector 47 Gurgaon"/>
    <n v="0"/>
    <n v="0"/>
    <n v="4"/>
    <n v="10"/>
    <n v="3"/>
    <x v="1"/>
    <n v="19"/>
    <n v="1"/>
    <n v="0"/>
    <n v="0"/>
    <n v="0"/>
    <n v="1829.8969072164948"/>
    <m/>
    <n v="2086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860495436766598E-2"/>
    <n v="24000000"/>
    <n v="0.11505"/>
    <x v="3"/>
    <s v="Todo bien"/>
    <x v="1"/>
    <x v="3"/>
    <n v="908.68370461538359"/>
    <x v="1"/>
    <x v="2"/>
    <s v="Pequeña"/>
    <x v="2"/>
    <n v="2086.0495436766623"/>
  </r>
  <r>
    <s v="Tata Primanti"/>
    <x v="118"/>
    <n v="13725"/>
    <n v="3"/>
    <x v="1"/>
    <x v="5"/>
    <s v=" Sector 72 Gurgaon"/>
    <n v="0"/>
    <n v="0"/>
    <n v="3"/>
    <n v="8"/>
    <n v="3"/>
    <x v="1"/>
    <n v="40"/>
    <n v="1"/>
    <n v="0"/>
    <n v="0"/>
    <n v="0"/>
    <n v="2987.2495446265934"/>
    <m/>
    <n v="2550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872495446265902E-2"/>
    <n v="41000000"/>
    <n v="0.13725000000000001"/>
    <x v="4"/>
    <s v="Todo bien"/>
    <x v="0"/>
    <x v="1"/>
    <n v="1301.2466511402536"/>
    <x v="1"/>
    <x v="3"/>
    <s v="Pequeña"/>
    <x v="2"/>
    <n v="2987.2495446265934"/>
  </r>
  <r>
    <s v="CHD Avenue "/>
    <x v="210"/>
    <n v="6215"/>
    <n v="3"/>
    <x v="3"/>
    <x v="5"/>
    <s v=" Sector 71 Gurgaon"/>
    <n v="0"/>
    <n v="0"/>
    <n v="4"/>
    <n v="0"/>
    <n v="3"/>
    <x v="1"/>
    <n v="14"/>
    <n v="1"/>
    <n v="0"/>
    <n v="0"/>
    <n v="0"/>
    <n v="1802.0917135961386"/>
    <m/>
    <n v="1802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17135961299E-2"/>
    <n v="11200000"/>
    <n v="6.2149999999999997E-2"/>
    <x v="2"/>
    <s v="Todo bien"/>
    <x v="0"/>
    <x v="1"/>
    <n v="784.99160258728512"/>
    <x v="1"/>
    <x v="2"/>
    <s v="Pequeña"/>
    <x v="1"/>
    <n v="1802.0917135961386"/>
  </r>
  <r>
    <s v="Shree Vardhman Flora"/>
    <x v="53"/>
    <n v="4814"/>
    <n v="2"/>
    <x v="5"/>
    <x v="5"/>
    <s v=" Sector 90 Gurgaon"/>
    <n v="0"/>
    <n v="0"/>
    <n v="2"/>
    <n v="10"/>
    <n v="3"/>
    <x v="0"/>
    <n v="13"/>
    <n v="0"/>
    <n v="1"/>
    <n v="0"/>
    <n v="0"/>
    <n v="1350.2285002077274"/>
    <m/>
    <n v="1350"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502285002077201E-2"/>
    <n v="6500000"/>
    <n v="4.8140000000000002E-2"/>
    <x v="1"/>
    <s v="Todo bien"/>
    <x v="1"/>
    <x v="4"/>
    <n v="588.15987346281361"/>
    <x v="1"/>
    <x v="2"/>
    <s v="Pequeña"/>
    <x v="1"/>
    <n v="1350.2285002077274"/>
  </r>
  <r>
    <s v="Krrish Provence Estate"/>
    <x v="242"/>
    <n v="7500"/>
    <n v="5"/>
    <x v="2"/>
    <x v="0"/>
    <s v=" Gwal Pahari"/>
    <n v="0"/>
    <n v="0"/>
    <n v="6"/>
    <n v="23"/>
    <n v="3"/>
    <x v="4"/>
    <n v="26"/>
    <n v="1"/>
    <n v="0"/>
    <n v="1"/>
    <n v="0"/>
    <n v="10000"/>
    <m/>
    <n v="10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75000000"/>
    <n v="7.4999999999999997E-2"/>
    <x v="6"/>
    <s v="Todo bien"/>
    <x v="0"/>
    <x v="1"/>
    <n v="4356.0025090000008"/>
    <x v="2"/>
    <x v="3"/>
    <s v="Pequeña"/>
    <x v="3"/>
    <n v="10000"/>
  </r>
  <r>
    <s v="DLF The Crest"/>
    <x v="243"/>
    <n v="35483"/>
    <n v="4"/>
    <x v="2"/>
    <x v="0"/>
    <s v=" Sector 54 Gurgaon"/>
    <n v="0"/>
    <n v="0"/>
    <n v="5"/>
    <n v="7"/>
    <n v="3"/>
    <x v="2"/>
    <n v="36"/>
    <n v="1"/>
    <n v="1"/>
    <n v="1"/>
    <n v="0"/>
    <n v="1997.07744763760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2"/>
    <n v="1"/>
    <n v="2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3.1000760927768201E-2"/>
    <n v="110000000"/>
    <n v="0.35482999999999998"/>
    <x v="6"/>
    <s v="Todo bien"/>
    <x v="2"/>
    <x v="1"/>
    <n v="1350.3939238226747"/>
    <x v="1"/>
    <x v="2"/>
    <s v="Pequeña"/>
    <x v="0"/>
    <n v="3100.0760927768229"/>
  </r>
  <r>
    <s v="DLF Regal Gardens"/>
    <x v="192"/>
    <n v="7403"/>
    <n v="3"/>
    <x v="2"/>
    <x v="0"/>
    <s v=" Sector 90 Gurgaon"/>
    <n v="0"/>
    <n v="0"/>
    <n v="3"/>
    <n v="6"/>
    <n v="3"/>
    <x v="1"/>
    <n v="29"/>
    <n v="0"/>
    <n v="0"/>
    <n v="0"/>
    <n v="0"/>
    <n v="1920.1228878648235"/>
    <m/>
    <n v="170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020126975550401E-2"/>
    <n v="12600000"/>
    <n v="7.4029999999999999E-2"/>
    <x v="2"/>
    <s v="Todo bien"/>
    <x v="1"/>
    <x v="1"/>
    <n v="741.39715808996129"/>
    <x v="1"/>
    <x v="2"/>
    <s v="Pequeña"/>
    <x v="1"/>
    <n v="1702.0126975550452"/>
  </r>
  <r>
    <s v="DLF Regal Gardens"/>
    <x v="7"/>
    <n v="7223"/>
    <n v="4"/>
    <x v="6"/>
    <x v="5"/>
    <s v=" Sector 90 Gurgaon"/>
    <n v="0"/>
    <n v="0"/>
    <n v="4"/>
    <n v="7"/>
    <n v="3"/>
    <x v="2"/>
    <n v="19"/>
    <n v="0"/>
    <n v="0"/>
    <n v="0"/>
    <n v="0"/>
    <n v="2492.039318842586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920393188425798E-2"/>
    <n v="18000000"/>
    <n v="7.2230000000000003E-2"/>
    <x v="3"/>
    <s v="Todo bien"/>
    <x v="0"/>
    <x v="0"/>
    <n v="1085.5329525404929"/>
    <x v="1"/>
    <x v="2"/>
    <s v="Pequeña"/>
    <x v="2"/>
    <n v="2492.039318842586"/>
  </r>
  <r>
    <s v="MM Golfestate"/>
    <x v="159"/>
    <n v="17484"/>
    <n v="3"/>
    <x v="5"/>
    <x v="0"/>
    <s v=" Sector 65 Gurgaon"/>
    <n v="0"/>
    <n v="0"/>
    <n v="3"/>
    <n v="18"/>
    <n v="3"/>
    <x v="1"/>
    <n v="40"/>
    <n v="1"/>
    <n v="1"/>
    <n v="0"/>
    <n v="0"/>
    <n v="3374.513841226264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37451384122626E-2"/>
    <n v="59000000"/>
    <n v="0.17484"/>
    <x v="4"/>
    <s v="Todo bien"/>
    <x v="1"/>
    <x v="3"/>
    <n v="1469.9390759036817"/>
    <x v="1"/>
    <x v="3"/>
    <s v="Pequeña"/>
    <x v="3"/>
    <n v="3374.513841226264"/>
  </r>
  <r>
    <s v="Bestech Park View City "/>
    <x v="90"/>
    <n v="12169"/>
    <n v="4"/>
    <x v="6"/>
    <x v="5"/>
    <s v=" Sector 49 Gurgaon"/>
    <n v="0"/>
    <n v="0"/>
    <n v="4"/>
    <n v="5"/>
    <n v="3"/>
    <x v="2"/>
    <n v="14"/>
    <n v="1"/>
    <n v="0"/>
    <n v="0"/>
    <n v="0"/>
    <n v="2383.1046100747799"/>
    <m/>
    <n v="238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831046100747801E-2"/>
    <n v="29000000"/>
    <n v="0.12169000000000001"/>
    <x v="5"/>
    <s v="Todo bien"/>
    <x v="0"/>
    <x v="5"/>
    <n v="1038.0809660695209"/>
    <x v="1"/>
    <x v="2"/>
    <s v="Pequeña"/>
    <x v="2"/>
    <n v="2383.1046100747799"/>
  </r>
  <r>
    <s v="DLF The Skycourt"/>
    <x v="244"/>
    <n v="8242"/>
    <n v="3"/>
    <x v="4"/>
    <x v="0"/>
    <s v=" Sector 86 Gurgaon"/>
    <n v="0"/>
    <n v="0"/>
    <n v="3"/>
    <n v="17"/>
    <n v="3"/>
    <x v="1"/>
    <n v="20"/>
    <n v="0"/>
    <n v="0"/>
    <n v="0"/>
    <n v="0"/>
    <n v="1811.1416437671744"/>
    <n v="17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2914341179325E-2"/>
    <n v="15900000"/>
    <n v="8.2419999999999993E-2"/>
    <x v="3"/>
    <s v="Todo bien"/>
    <x v="1"/>
    <x v="5"/>
    <n v="840.3353541992218"/>
    <x v="1"/>
    <x v="2"/>
    <s v="Mediana"/>
    <x v="1"/>
    <n v="1929.1434117932542"/>
  </r>
  <r>
    <s v="DLF The Ultima"/>
    <x v="245"/>
    <n v="10365"/>
    <n v="3"/>
    <x v="8"/>
    <x v="0"/>
    <s v=" Sector 81 Gurgaon"/>
    <n v="0"/>
    <n v="0"/>
    <n v="3"/>
    <n v="3"/>
    <n v="3"/>
    <x v="1"/>
    <n v="29"/>
    <n v="1"/>
    <n v="0"/>
    <n v="0"/>
    <n v="0"/>
    <n v="1995.1087656068994"/>
    <m/>
    <n v="213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0"/>
    <n v="0"/>
    <n v="1"/>
    <n v="1"/>
    <n v="1"/>
    <n v="1"/>
    <n v="1"/>
    <n v="1"/>
    <n v="0"/>
    <n v="0"/>
    <n v="0"/>
    <n v="1"/>
    <n v="3"/>
    <n v="1"/>
    <n v="0"/>
    <n v="0"/>
    <n v="0"/>
    <n v="0"/>
    <n v="0"/>
    <n v="0"/>
    <n v="1"/>
    <n v="2.1321755909310101E-2"/>
    <n v="22100000"/>
    <n v="0.10365000000000001"/>
    <x v="3"/>
    <s v="Todo bien"/>
    <x v="2"/>
    <x v="4"/>
    <n v="928.77622237240382"/>
    <x v="1"/>
    <x v="2"/>
    <s v="Pequeña"/>
    <x v="2"/>
    <n v="2132.1755909310177"/>
  </r>
  <r>
    <s v="Emaar Palm Gardens"/>
    <x v="130"/>
    <n v="7789"/>
    <n v="3"/>
    <x v="4"/>
    <x v="0"/>
    <s v=" Sector 83 Gurgaon"/>
    <n v="0"/>
    <n v="0"/>
    <n v="3"/>
    <n v="7"/>
    <n v="3"/>
    <x v="1"/>
    <n v="16"/>
    <n v="1"/>
    <n v="0"/>
    <n v="0"/>
    <n v="0"/>
    <n v="1480.1657785671996"/>
    <m/>
    <n v="1900"/>
    <n v="0"/>
    <n v="0"/>
    <n v="1"/>
    <n v="1"/>
    <n v="0"/>
    <n v="0"/>
    <n v="0"/>
    <n v="1"/>
    <n v="1"/>
    <n v="0"/>
    <n v="1"/>
    <n v="1"/>
    <n v="1"/>
    <n v="1"/>
    <n v="1"/>
    <n v="1"/>
    <n v="1"/>
    <n v="4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1554756708E-2"/>
    <n v="14800000"/>
    <n v="7.7890000000000001E-2"/>
    <x v="2"/>
    <s v="Todo bien"/>
    <x v="0"/>
    <x v="3"/>
    <n v="827.69080925921094"/>
    <x v="1"/>
    <x v="2"/>
    <s v="Pequeña"/>
    <x v="1"/>
    <n v="1900.1155475670816"/>
  </r>
  <r>
    <s v="Experion The Heartsong"/>
    <x v="187"/>
    <n v="13343"/>
    <n v="2"/>
    <x v="4"/>
    <x v="0"/>
    <s v=" Sector 108 Gurgaon"/>
    <n v="0"/>
    <n v="0"/>
    <n v="3"/>
    <n v="4"/>
    <n v="3"/>
    <x v="0"/>
    <n v="14"/>
    <n v="0"/>
    <n v="1"/>
    <n v="0"/>
    <n v="0"/>
    <n v="1748.912837965589"/>
    <n v="978.23"/>
    <n v="128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7.3446751105448E-3"/>
    <n v="9800000"/>
    <n v="0.13342999999999999"/>
    <x v="1"/>
    <s v="Todo bien"/>
    <x v="0"/>
    <x v="4"/>
    <n v="319.93423209323004"/>
    <x v="0"/>
    <x v="2"/>
    <s v="Mediana"/>
    <x v="1"/>
    <n v="734.4675110544855"/>
  </r>
  <r>
    <s v="Shapoorji Pallonji Joyville Gurugram"/>
    <x v="231"/>
    <n v="14068"/>
    <n v="3"/>
    <x v="8"/>
    <x v="0"/>
    <s v=" Sector 102 Gurgaon"/>
    <n v="0"/>
    <n v="0"/>
    <n v="3"/>
    <n v="1"/>
    <n v="3"/>
    <x v="1"/>
    <n v="26"/>
    <n v="0"/>
    <n v="0"/>
    <n v="0"/>
    <n v="0"/>
    <n v="2430.1019074993469"/>
    <m/>
    <n v="1852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09951663349E-2"/>
    <n v="20400000"/>
    <n v="0.14068"/>
    <x v="3"/>
    <s v="Todo bien"/>
    <x v="0"/>
    <x v="3"/>
    <n v="631.66371327551701"/>
    <x v="1"/>
    <x v="2"/>
    <s v="Pequeña"/>
    <x v="1"/>
    <n v="1450.0995166334944"/>
  </r>
  <r>
    <s v="Orris Aster Court Premier"/>
    <x v="78"/>
    <n v="5859"/>
    <n v="4"/>
    <x v="0"/>
    <x v="2"/>
    <s v=" Sector 85 Gurgaon"/>
    <n v="0"/>
    <n v="0"/>
    <n v="5"/>
    <n v="6"/>
    <n v="3"/>
    <x v="2"/>
    <n v="12"/>
    <n v="1"/>
    <n v="0"/>
    <n v="0"/>
    <n v="0"/>
    <n v="2338.0874444704232"/>
    <n v="2017"/>
    <n v="256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5601638504864299E-2"/>
    <n v="15000000"/>
    <n v="5.8590000000000003E-2"/>
    <x v="2"/>
    <s v="Todo bien"/>
    <x v="1"/>
    <x v="0"/>
    <n v="1115.2080156169991"/>
    <x v="1"/>
    <x v="2"/>
    <s v="Grande"/>
    <x v="2"/>
    <n v="2560.1638504864309"/>
  </r>
  <r>
    <s v="Orris Aster Court Premier"/>
    <x v="131"/>
    <n v="5820"/>
    <n v="4"/>
    <x v="4"/>
    <x v="0"/>
    <s v=" Sector 85 Gurgaon"/>
    <n v="0"/>
    <n v="0"/>
    <n v="5"/>
    <n v="10"/>
    <n v="3"/>
    <x v="2"/>
    <n v="12"/>
    <n v="1"/>
    <n v="0"/>
    <n v="0"/>
    <n v="0"/>
    <n v="1844.2018294482145"/>
    <n v="2017"/>
    <n v="256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1"/>
    <x v="1"/>
    <n v="0"/>
    <n v="5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6013745704467E-2"/>
    <n v="14900000"/>
    <n v="5.8200000000000002E-2"/>
    <x v="2"/>
    <s v="Todo bien"/>
    <x v="1"/>
    <x v="4"/>
    <n v="1115.1965186271464"/>
    <x v="1"/>
    <x v="2"/>
    <s v="Grande"/>
    <x v="2"/>
    <n v="2560.1374570446733"/>
  </r>
  <r>
    <s v="Orris Aster Court Premier"/>
    <x v="56"/>
    <n v="5660"/>
    <n v="3"/>
    <x v="2"/>
    <x v="0"/>
    <s v=" Sector 85 Gurgaon"/>
    <n v="0"/>
    <n v="0"/>
    <n v="4"/>
    <n v="6"/>
    <n v="2"/>
    <x v="1"/>
    <n v="12"/>
    <n v="1"/>
    <n v="0"/>
    <n v="0"/>
    <n v="0"/>
    <n v="1647.0588235294119"/>
    <n v="1650"/>
    <n v="212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1413427561801E-2"/>
    <n v="12000000"/>
    <n v="5.6599999999999998E-2"/>
    <x v="2"/>
    <s v="Todo bien"/>
    <x v="1"/>
    <x v="0"/>
    <n v="923.534100848055"/>
    <x v="1"/>
    <x v="2"/>
    <s v="Mediana"/>
    <x v="2"/>
    <n v="2120.1413427561838"/>
  </r>
  <r>
    <s v="Shree Vardhman Flora"/>
    <x v="21"/>
    <n v="6254"/>
    <n v="3"/>
    <x v="5"/>
    <x v="0"/>
    <s v=" Sector 90 Gurgaon"/>
    <n v="0"/>
    <n v="0"/>
    <n v="4"/>
    <n v="0"/>
    <n v="3"/>
    <x v="1"/>
    <n v="13"/>
    <n v="1"/>
    <n v="0"/>
    <n v="0"/>
    <n v="0"/>
    <n v="1269.0355329949239"/>
    <n v="1525"/>
    <n v="19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7511992324912E-2"/>
    <n v="8600000"/>
    <n v="6.2539999999999998E-2"/>
    <x v="1"/>
    <s v="Todo bien"/>
    <x v="1"/>
    <x v="4"/>
    <n v="599.00258358490544"/>
    <x v="1"/>
    <x v="2"/>
    <s v="Mediana"/>
    <x v="1"/>
    <n v="1375.1199232491206"/>
  </r>
  <r>
    <s v="Orris Carnation Residency"/>
    <x v="246"/>
    <n v="4531"/>
    <n v="4"/>
    <x v="4"/>
    <x v="5"/>
    <s v=" Sector 85 Gurgaon"/>
    <n v="0"/>
    <n v="0"/>
    <n v="4"/>
    <n v="8"/>
    <n v="3"/>
    <x v="2"/>
    <n v="12"/>
    <n v="0"/>
    <n v="0"/>
    <n v="0"/>
    <n v="0"/>
    <n v="1745.0215561486348"/>
    <n v="1575"/>
    <n v="197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752813948355701E-2"/>
    <n v="8950000"/>
    <n v="4.5310000000000003E-2"/>
    <x v="1"/>
    <s v="Todo bien"/>
    <x v="1"/>
    <x v="1"/>
    <n v="860.43307118847633"/>
    <x v="1"/>
    <x v="2"/>
    <s v="Mediana"/>
    <x v="1"/>
    <n v="1975.281394835577"/>
  </r>
  <r>
    <s v="Saan Verdante"/>
    <x v="6"/>
    <n v="10178"/>
    <n v="3"/>
    <x v="5"/>
    <x v="2"/>
    <s v=" Sector 95 Gurgaon"/>
    <n v="0"/>
    <n v="0"/>
    <n v="4"/>
    <n v="5"/>
    <n v="3"/>
    <x v="1"/>
    <n v="24"/>
    <n v="1"/>
    <n v="0"/>
    <n v="0"/>
    <n v="0"/>
    <n v="1750"/>
    <m/>
    <n v="196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502259775987E-2"/>
    <n v="20000000"/>
    <n v="0.10178"/>
    <x v="3"/>
    <s v="Todo bien"/>
    <x v="0"/>
    <x v="1"/>
    <n v="855.96433660836919"/>
    <x v="1"/>
    <x v="2"/>
    <s v="Pequeña"/>
    <x v="1"/>
    <n v="1965.0225977598743"/>
  </r>
  <r>
    <s v="Tulip Violet"/>
    <x v="20"/>
    <n v="9203"/>
    <n v="4"/>
    <x v="2"/>
    <x v="0"/>
    <s v=" Sector 69 Gurgaon"/>
    <n v="0"/>
    <n v="0"/>
    <n v="4"/>
    <n v="14"/>
    <n v="2"/>
    <x v="2"/>
    <n v="14"/>
    <n v="0"/>
    <n v="0"/>
    <n v="0"/>
    <n v="0"/>
    <n v="2010.2140606324024"/>
    <m/>
    <n v="20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1"/>
    <n v="0"/>
    <n v="0"/>
    <n v="0"/>
    <n v="0"/>
    <n v="0"/>
    <n v="2"/>
    <n v="2.0102140606323999E-2"/>
    <n v="18500000"/>
    <n v="9.2030000000000001E-2"/>
    <x v="3"/>
    <s v="Todo bien"/>
    <x v="1"/>
    <x v="5"/>
    <n v="875.64974917418124"/>
    <x v="1"/>
    <x v="2"/>
    <s v="Pequeña"/>
    <x v="2"/>
    <n v="2010.2140606324024"/>
  </r>
  <r>
    <s v="Puri Emerald Bay"/>
    <x v="97"/>
    <n v="15007"/>
    <n v="3"/>
    <x v="2"/>
    <x v="0"/>
    <s v=" Sector 104 Gurgaon"/>
    <n v="0"/>
    <n v="0"/>
    <n v="4"/>
    <n v="15"/>
    <n v="3"/>
    <x v="1"/>
    <n v="29"/>
    <n v="1"/>
    <n v="0"/>
    <n v="0"/>
    <n v="0"/>
    <n v="1350.2285002077274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7658426067834999E-2"/>
    <n v="26500000"/>
    <n v="0.15007000000000001"/>
    <x v="5"/>
    <s v="Todo bien"/>
    <x v="1"/>
    <x v="5"/>
    <n v="769.20148256480263"/>
    <x v="1"/>
    <x v="2"/>
    <s v="Pequeña"/>
    <x v="2"/>
    <n v="1765.842606783501"/>
  </r>
  <r>
    <s v="Emaar Gurgaon Greens"/>
    <x v="78"/>
    <n v="9090"/>
    <n v="3"/>
    <x v="0"/>
    <x v="0"/>
    <s v=" Sector 102 Gurgaon"/>
    <n v="0"/>
    <n v="0"/>
    <n v="3"/>
    <n v="7"/>
    <n v="3"/>
    <x v="1"/>
    <n v="14"/>
    <n v="0"/>
    <n v="0"/>
    <n v="1"/>
    <n v="0"/>
    <n v="1950.1625135427953"/>
    <m/>
    <n v="16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65016501650165E-2"/>
    <n v="15000000"/>
    <n v="9.0899999999999995E-2"/>
    <x v="2"/>
    <s v="Todo bien"/>
    <x v="1"/>
    <x v="5"/>
    <n v="718.81229521452144"/>
    <x v="1"/>
    <x v="2"/>
    <s v="Pequeña"/>
    <x v="1"/>
    <n v="1650.1650165016504"/>
  </r>
  <r>
    <s v="ATS Kocoon"/>
    <x v="68"/>
    <n v="10028"/>
    <n v="3"/>
    <x v="2"/>
    <x v="0"/>
    <s v=" Sector 109 Gurgaon"/>
    <n v="0"/>
    <n v="0"/>
    <n v="3"/>
    <n v="10"/>
    <n v="3"/>
    <x v="1"/>
    <n v="25"/>
    <n v="0"/>
    <n v="0"/>
    <n v="1"/>
    <n v="0"/>
    <n v="1350.2285002077274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4"/>
    <n v="1"/>
    <n v="3"/>
    <n v="1"/>
    <n v="0"/>
    <n v="0"/>
    <n v="0"/>
    <n v="1"/>
    <n v="7"/>
    <n v="1"/>
    <n v="1"/>
    <n v="0"/>
    <n v="0"/>
    <n v="1"/>
    <n v="3"/>
    <n v="1"/>
    <n v="0"/>
    <n v="0"/>
    <n v="0"/>
    <n v="0"/>
    <n v="0"/>
    <n v="0"/>
    <n v="2"/>
    <n v="1.7451136816912599E-2"/>
    <n v="17500000"/>
    <n v="0.10027999999999999"/>
    <x v="3"/>
    <s v="Todo bien"/>
    <x v="1"/>
    <x v="1"/>
    <n v="760.17195759373556"/>
    <x v="1"/>
    <x v="2"/>
    <s v="Mediana"/>
    <x v="1"/>
    <n v="1745.1136816912647"/>
  </r>
  <r>
    <s v="Puri Emerald Bay"/>
    <x v="98"/>
    <n v="8516"/>
    <n v="2"/>
    <x v="2"/>
    <x v="0"/>
    <s v=" Sector 104 Gurgaon"/>
    <n v="0"/>
    <n v="0"/>
    <n v="2"/>
    <n v="10"/>
    <n v="2"/>
    <x v="0"/>
    <n v="29"/>
    <n v="0"/>
    <n v="0"/>
    <n v="0"/>
    <n v="0"/>
    <n v="1550.0234852043213"/>
    <m/>
    <n v="15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5002348520432E-2"/>
    <n v="13200000"/>
    <n v="8.516E-2"/>
    <x v="2"/>
    <s v="Todo bien"/>
    <x v="0"/>
    <x v="4"/>
    <n v="675.19061905589422"/>
    <x v="1"/>
    <x v="2"/>
    <s v="Pequeña"/>
    <x v="1"/>
    <n v="1550.0234852043213"/>
  </r>
  <r>
    <s v="Vatika City Homes"/>
    <x v="42"/>
    <n v="6060"/>
    <n v="2"/>
    <x v="4"/>
    <x v="5"/>
    <s v=" Sector 83 Gurgaon"/>
    <n v="0"/>
    <n v="0"/>
    <n v="2"/>
    <n v="8"/>
    <n v="2"/>
    <x v="0"/>
    <n v="8"/>
    <n v="0"/>
    <n v="0"/>
    <n v="0"/>
    <n v="1"/>
    <n v="1320.1320132013202"/>
    <m/>
    <n v="1320"/>
    <n v="0"/>
    <n v="0"/>
    <n v="0"/>
    <n v="0"/>
    <n v="1"/>
    <n v="0"/>
    <n v="0"/>
    <n v="1"/>
    <n v="1"/>
    <n v="1"/>
    <n v="0"/>
    <n v="0"/>
    <n v="1"/>
    <n v="0"/>
    <n v="0"/>
    <n v="0"/>
    <n v="1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013201320132E-2"/>
    <n v="8000000"/>
    <n v="6.0600000000000001E-2"/>
    <x v="1"/>
    <s v="Todo bien"/>
    <x v="0"/>
    <x v="2"/>
    <n v="575.04983617161713"/>
    <x v="1"/>
    <x v="2"/>
    <s v="Pequeña"/>
    <x v="1"/>
    <n v="1320.1320132013202"/>
  </r>
  <r>
    <s v="Experion The Heartsong"/>
    <x v="56"/>
    <n v="6825"/>
    <n v="3"/>
    <x v="2"/>
    <x v="0"/>
    <s v=" Sector 108 Gurgaon"/>
    <n v="0"/>
    <n v="0"/>
    <n v="2"/>
    <n v="11"/>
    <n v="3"/>
    <x v="1"/>
    <n v="14"/>
    <n v="1"/>
    <n v="0"/>
    <n v="1"/>
    <n v="0"/>
    <n v="1975.051975051975"/>
    <n v="1550"/>
    <n v="17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82417582417499E-2"/>
    <n v="12000000"/>
    <n v="6.8250000000000005E-2"/>
    <x v="2"/>
    <s v="Todo bien"/>
    <x v="1"/>
    <x v="5"/>
    <n v="765.89055103296346"/>
    <x v="1"/>
    <x v="2"/>
    <s v="Mediana"/>
    <x v="1"/>
    <n v="1758.2417582417581"/>
  </r>
  <r>
    <s v="Pioneer Urban Presidia"/>
    <x v="156"/>
    <n v="14987"/>
    <n v="4"/>
    <x v="0"/>
    <x v="5"/>
    <s v=" Sector 62 Gurgaon"/>
    <n v="0"/>
    <n v="0"/>
    <n v="4"/>
    <n v="3"/>
    <n v="3"/>
    <x v="2"/>
    <n v="27"/>
    <n v="0"/>
    <n v="1"/>
    <n v="0"/>
    <n v="0"/>
    <n v="4337.0921465269903"/>
    <m/>
    <n v="433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370921465269899E-2"/>
    <n v="65000000"/>
    <n v="0.14987"/>
    <x v="6"/>
    <s v="Todo bien"/>
    <x v="0"/>
    <x v="3"/>
    <n v="1889.2384272035765"/>
    <x v="3"/>
    <x v="3"/>
    <s v="Pequeña"/>
    <x v="3"/>
    <n v="4337.0921465269903"/>
  </r>
  <r>
    <s v="Paras Dews"/>
    <x v="228"/>
    <n v="6647"/>
    <n v="3"/>
    <x v="0"/>
    <x v="0"/>
    <s v=" Sector 106 Gurgaon"/>
    <n v="0"/>
    <n v="0"/>
    <n v="4"/>
    <n v="12"/>
    <n v="3"/>
    <x v="1"/>
    <n v="24"/>
    <n v="1"/>
    <n v="0"/>
    <n v="0"/>
    <n v="0"/>
    <n v="1545.152798443401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925680758201E-2"/>
    <n v="11700000"/>
    <n v="6.6470000000000001E-2"/>
    <x v="2"/>
    <s v="Todo bien"/>
    <x v="0"/>
    <x v="1"/>
    <n v="766.7403242861426"/>
    <x v="1"/>
    <x v="2"/>
    <s v="Mediana"/>
    <x v="1"/>
    <n v="1760.1925680758236"/>
  </r>
  <r>
    <s v="Paras Dews"/>
    <x v="81"/>
    <n v="6052"/>
    <n v="3"/>
    <x v="7"/>
    <x v="0"/>
    <s v=" Sector 106 Gurgaon"/>
    <n v="0"/>
    <n v="0"/>
    <n v="4"/>
    <n v="5"/>
    <n v="3"/>
    <x v="1"/>
    <n v="24"/>
    <n v="1"/>
    <n v="1"/>
    <n v="0"/>
    <n v="0"/>
    <n v="2093.0620413609072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9828155981E-2"/>
    <n v="11500000"/>
    <n v="6.0519999999999997E-2"/>
    <x v="2"/>
    <s v="Todo bien"/>
    <x v="0"/>
    <x v="1"/>
    <n v="827.72684820720212"/>
    <x v="1"/>
    <x v="2"/>
    <s v="Mediana"/>
    <x v="1"/>
    <n v="1900.1982815598151"/>
  </r>
  <r>
    <s v="La Vida by Tata Housing"/>
    <x v="247"/>
    <n v="14090"/>
    <n v="3"/>
    <x v="1"/>
    <x v="2"/>
    <s v=" Sector 113 Gurgaon"/>
    <n v="0"/>
    <n v="0"/>
    <n v="3"/>
    <n v="8"/>
    <n v="3"/>
    <x v="1"/>
    <n v="25"/>
    <n v="1"/>
    <n v="0"/>
    <n v="0"/>
    <n v="0"/>
    <n v="3154.1319128057758"/>
    <n v="1980"/>
    <n v="2217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01135557132701E-2"/>
    <n v="24800000"/>
    <n v="0.1409"/>
    <x v="3"/>
    <s v="Todo bien"/>
    <x v="0"/>
    <x v="3"/>
    <n v="766.70590648119162"/>
    <x v="1"/>
    <x v="3"/>
    <s v="Grande"/>
    <x v="2"/>
    <n v="1760.1135557132718"/>
  </r>
  <r>
    <s v="Shri Banke Bihari Society"/>
    <x v="12"/>
    <n v="9642"/>
    <n v="3"/>
    <x v="1"/>
    <x v="1"/>
    <s v=" Sector 56 Gurgaon"/>
    <n v="0"/>
    <n v="0"/>
    <n v="3"/>
    <n v="4"/>
    <n v="3"/>
    <x v="1"/>
    <n v="8"/>
    <n v="0"/>
    <n v="0"/>
    <n v="0"/>
    <n v="0"/>
    <n v="2093.1011386470195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012445550715E-2"/>
    <n v="13500000"/>
    <n v="9.6420000000000006E-2"/>
    <x v="2"/>
    <s v="Todo bien"/>
    <x v="1"/>
    <x v="5"/>
    <n v="609.89456411014044"/>
    <x v="1"/>
    <x v="2"/>
    <s v="Mediana"/>
    <x v="1"/>
    <n v="1400.1244555071562"/>
  </r>
  <r>
    <s v="Indiabulls Centrum Park"/>
    <x v="81"/>
    <n v="8679"/>
    <n v="2"/>
    <x v="2"/>
    <x v="0"/>
    <s v=" Sector 103 Gurgaon"/>
    <n v="0"/>
    <n v="0"/>
    <n v="2"/>
    <n v="10"/>
    <n v="3"/>
    <x v="0"/>
    <n v="11"/>
    <n v="0"/>
    <n v="1"/>
    <n v="0"/>
    <n v="0"/>
    <n v="1640.0517911091929"/>
    <m/>
    <n v="13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32503744671045E-2"/>
    <n v="11500000"/>
    <n v="8.6790000000000006E-2"/>
    <x v="2"/>
    <s v="Todo bien"/>
    <x v="1"/>
    <x v="5"/>
    <n v="577.18664423896746"/>
    <x v="1"/>
    <x v="2"/>
    <s v="Pequeña"/>
    <x v="1"/>
    <n v="1325.0374467104505"/>
  </r>
  <r>
    <s v="Sobha City"/>
    <x v="193"/>
    <n v="14727"/>
    <n v="3"/>
    <x v="4"/>
    <x v="0"/>
    <s v=" Sector 108 Gurgaon"/>
    <n v="0"/>
    <n v="0"/>
    <n v="4"/>
    <n v="12"/>
    <n v="2"/>
    <x v="1"/>
    <n v="24"/>
    <n v="0"/>
    <n v="0"/>
    <n v="0"/>
    <n v="0"/>
    <n v="2812.4049863180294"/>
    <n v="1600"/>
    <n v="20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12351463298E-2"/>
    <n v="29500000"/>
    <n v="0.14727000000000001"/>
    <x v="5"/>
    <s v="Todo bien"/>
    <x v="0"/>
    <x v="1"/>
    <n v="872.56110555781595"/>
    <x v="1"/>
    <x v="3"/>
    <s v="Mediana"/>
    <x v="2"/>
    <n v="2003.1235146329868"/>
  </r>
  <r>
    <s v="MM Merlin"/>
    <x v="107"/>
    <n v="14418"/>
    <n v="3"/>
    <x v="5"/>
    <x v="0"/>
    <s v=" Sector 67 Gurgaon"/>
    <n v="0"/>
    <n v="0"/>
    <n v="4"/>
    <n v="17"/>
    <n v="3"/>
    <x v="1"/>
    <n v="29"/>
    <n v="1"/>
    <n v="0"/>
    <n v="0"/>
    <n v="0"/>
    <n v="2358.1634068525454"/>
    <m/>
    <n v="23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40"/>
    <n v="13671"/>
    <n v="3"/>
    <x v="4"/>
    <x v="0"/>
    <s v=" Sector 67 Gurgaon"/>
    <n v="0"/>
    <n v="0"/>
    <n v="3"/>
    <n v="2"/>
    <n v="3"/>
    <x v="1"/>
    <n v="21"/>
    <n v="0"/>
    <n v="0"/>
    <n v="0"/>
    <n v="1"/>
    <n v="2048.1310803891452"/>
    <m/>
    <n v="20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4"/>
    <n v="1"/>
    <n v="1"/>
    <n v="3"/>
    <n v="1"/>
    <n v="1"/>
    <n v="0"/>
    <n v="0"/>
    <n v="0"/>
    <n v="0"/>
    <n v="0"/>
    <n v="1"/>
    <n v="2.04813108038914E-2"/>
    <n v="28000000"/>
    <n v="0.13671"/>
    <x v="5"/>
    <s v="Todo bien"/>
    <x v="2"/>
    <x v="5"/>
    <n v="892.16641249359748"/>
    <x v="1"/>
    <x v="2"/>
    <s v="Pequeña"/>
    <x v="2"/>
    <n v="2048.1310803891452"/>
  </r>
  <r>
    <s v="ATS Kocoon"/>
    <x v="86"/>
    <n v="10262"/>
    <n v="3"/>
    <x v="5"/>
    <x v="0"/>
    <s v=" Sector 109 Gurgaon"/>
    <n v="0"/>
    <n v="0"/>
    <n v="4"/>
    <n v="9"/>
    <n v="3"/>
    <x v="1"/>
    <n v="20"/>
    <n v="1"/>
    <n v="0"/>
    <n v="0"/>
    <n v="0"/>
    <n v="2095.1081660495029"/>
    <m/>
    <n v="2095"/>
    <n v="0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081660494999E-2"/>
    <n v="21500000"/>
    <n v="0.10262"/>
    <x v="3"/>
    <s v="Todo bien"/>
    <x v="0"/>
    <x v="5"/>
    <n v="912.62964279380105"/>
    <x v="1"/>
    <x v="2"/>
    <s v="Pequeña"/>
    <x v="2"/>
    <n v="2095.1081660495029"/>
  </r>
  <r>
    <s v="Shapoorji Pallonji Joyville Gurugram"/>
    <x v="184"/>
    <n v="10224"/>
    <n v="3"/>
    <x v="2"/>
    <x v="0"/>
    <s v=" Sector 102 Gurgaon"/>
    <n v="0"/>
    <n v="0"/>
    <n v="3"/>
    <n v="1"/>
    <n v="3"/>
    <x v="1"/>
    <n v="26"/>
    <n v="0"/>
    <n v="0"/>
    <n v="0"/>
    <n v="0"/>
    <n v="1721.4397496087638"/>
    <m/>
    <n v="169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14397496087601E-2"/>
    <n v="17600000"/>
    <n v="0.10224"/>
    <x v="3"/>
    <s v="Todo bien"/>
    <x v="0"/>
    <x v="4"/>
    <n v="749.85958683880915"/>
    <x v="1"/>
    <x v="2"/>
    <s v="Pequeña"/>
    <x v="1"/>
    <n v="1721.4397496087638"/>
  </r>
  <r>
    <s v="Puri Diplomatic Greens"/>
    <x v="129"/>
    <n v="11694"/>
    <n v="4"/>
    <x v="5"/>
    <x v="0"/>
    <s v=" Sector 111 Gurgaon"/>
    <n v="0"/>
    <n v="0"/>
    <n v="5"/>
    <n v="10"/>
    <n v="3"/>
    <x v="2"/>
    <n v="21"/>
    <n v="1"/>
    <n v="0"/>
    <n v="0"/>
    <n v="0"/>
    <n v="2950.2308876346842"/>
    <m/>
    <n v="29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x v="5"/>
    <s v="Todo bien"/>
    <x v="0"/>
    <x v="3"/>
    <n v="1285.1213148665963"/>
    <x v="1"/>
    <x v="3"/>
    <s v="Pequeña"/>
    <x v="2"/>
    <n v="2950.2308876346842"/>
  </r>
  <r>
    <s v="Indiabulls Enigma"/>
    <x v="178"/>
    <n v="9850"/>
    <n v="4"/>
    <x v="4"/>
    <x v="0"/>
    <s v=" Sector 110 Gurgaon"/>
    <n v="0"/>
    <n v="0"/>
    <n v="5"/>
    <n v="7"/>
    <n v="3"/>
    <x v="2"/>
    <n v="15"/>
    <n v="1"/>
    <n v="0"/>
    <n v="0"/>
    <n v="0"/>
    <n v="3350.2538071065987"/>
    <m/>
    <n v="3350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02538071065902E-2"/>
    <n v="33000000"/>
    <n v="9.8500000000000004E-2"/>
    <x v="5"/>
    <s v="Todo bien"/>
    <x v="0"/>
    <x v="3"/>
    <n v="1459.371398954311"/>
    <x v="1"/>
    <x v="3"/>
    <s v="Pequeña"/>
    <x v="3"/>
    <n v="3350.2538071065987"/>
  </r>
  <r>
    <s v="ATS Triumph"/>
    <x v="68"/>
    <n v="7641"/>
    <n v="3"/>
    <x v="3"/>
    <x v="0"/>
    <s v=" Sector 104 Gurgaon"/>
    <n v="0"/>
    <n v="0"/>
    <n v="4"/>
    <n v="11"/>
    <n v="3"/>
    <x v="1"/>
    <n v="27"/>
    <n v="1"/>
    <n v="0"/>
    <n v="0"/>
    <n v="0"/>
    <n v="2290.2761418662476"/>
    <m/>
    <n v="229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2761418662401E-2"/>
    <n v="17500000"/>
    <n v="7.6410000000000006E-2"/>
    <x v="3"/>
    <s v="Todo bien"/>
    <x v="0"/>
    <x v="4"/>
    <n v="997.64486202721821"/>
    <x v="1"/>
    <x v="2"/>
    <s v="Pequeña"/>
    <x v="2"/>
    <n v="2290.2761418662476"/>
  </r>
  <r>
    <s v="ATS Triumph"/>
    <x v="222"/>
    <n v="8825"/>
    <n v="4"/>
    <x v="8"/>
    <x v="0"/>
    <s v=" Sector 104 Gurgaon"/>
    <n v="0"/>
    <n v="0"/>
    <n v="4"/>
    <n v="11"/>
    <n v="3"/>
    <x v="2"/>
    <n v="27"/>
    <n v="1"/>
    <n v="0"/>
    <n v="0"/>
    <n v="0"/>
    <n v="3150.1416430594904"/>
    <m/>
    <n v="315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416430594897E-2"/>
    <n v="27800000"/>
    <n v="8.8249999999999995E-2"/>
    <x v="5"/>
    <s v="Todo bien"/>
    <x v="0"/>
    <x v="4"/>
    <n v="1372.202490087252"/>
    <x v="1"/>
    <x v="3"/>
    <s v="Pequeña"/>
    <x v="3"/>
    <n v="3150.1416430594904"/>
  </r>
  <r>
    <s v="Paras Dews"/>
    <x v="113"/>
    <n v="6029"/>
    <n v="4"/>
    <x v="2"/>
    <x v="0"/>
    <s v=" Sector 106 Gurgaon"/>
    <n v="0"/>
    <n v="0"/>
    <n v="6"/>
    <n v="11"/>
    <n v="3"/>
    <x v="2"/>
    <n v="24"/>
    <n v="1"/>
    <n v="0"/>
    <n v="0"/>
    <n v="0"/>
    <n v="2355.282799800962"/>
    <m/>
    <n v="235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28279980096E-2"/>
    <n v="14200000"/>
    <n v="6.0290000000000003E-2"/>
    <x v="2"/>
    <s v="Todo bien"/>
    <x v="0"/>
    <x v="5"/>
    <n v="1025.9617785337527"/>
    <x v="1"/>
    <x v="2"/>
    <s v="Pequeña"/>
    <x v="2"/>
    <n v="2355.282799800962"/>
  </r>
  <r>
    <s v="Shapoorji Pallonji Joyville Gurugram"/>
    <x v="92"/>
    <n v="10545"/>
    <n v="4"/>
    <x v="2"/>
    <x v="0"/>
    <s v=" Sector 102 Gurgaon"/>
    <n v="0"/>
    <n v="0"/>
    <n v="4"/>
    <n v="15"/>
    <n v="3"/>
    <x v="2"/>
    <n v="26"/>
    <n v="0"/>
    <n v="0"/>
    <n v="0"/>
    <n v="0"/>
    <n v="2275.9601706970129"/>
    <m/>
    <n v="216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59601706970101E-2"/>
    <n v="24000000"/>
    <n v="0.10545"/>
    <x v="3"/>
    <s v="Todo bien"/>
    <x v="0"/>
    <x v="5"/>
    <n v="991.40882139402447"/>
    <x v="1"/>
    <x v="2"/>
    <s v="Pequeña"/>
    <x v="2"/>
    <n v="2275.9601706970129"/>
  </r>
  <r>
    <s v="Experion The Heartsong"/>
    <x v="204"/>
    <n v="8204"/>
    <n v="4"/>
    <x v="5"/>
    <x v="0"/>
    <s v=" Sector 108 Gurgaon"/>
    <n v="0"/>
    <n v="0"/>
    <n v="5"/>
    <n v="8"/>
    <n v="3"/>
    <x v="2"/>
    <n v="14"/>
    <n v="0"/>
    <n v="0"/>
    <n v="0"/>
    <n v="0"/>
    <n v="2779.132130667967"/>
    <m/>
    <n v="277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791321306679599E-2"/>
    <n v="22800000"/>
    <n v="8.2040000000000002E-2"/>
    <x v="3"/>
    <s v="Todo bien"/>
    <x v="0"/>
    <x v="4"/>
    <n v="1210.5906534032149"/>
    <x v="1"/>
    <x v="3"/>
    <s v="Pequeña"/>
    <x v="2"/>
    <n v="2779.132130667967"/>
  </r>
  <r>
    <s v="Sobha City"/>
    <x v="49"/>
    <n v="13758"/>
    <n v="2"/>
    <x v="4"/>
    <x v="0"/>
    <s v=" Sector 108 Gurgaon"/>
    <n v="0"/>
    <n v="0"/>
    <n v="2"/>
    <n v="8"/>
    <n v="2"/>
    <x v="0"/>
    <n v="24"/>
    <n v="0"/>
    <n v="0"/>
    <n v="0"/>
    <n v="0"/>
    <n v="1381.014682366623"/>
    <m/>
    <n v="1381"/>
    <n v="0"/>
    <n v="1"/>
    <n v="1"/>
    <n v="1"/>
    <n v="1"/>
    <n v="0"/>
    <n v="1"/>
    <n v="1"/>
    <n v="1"/>
    <n v="1"/>
    <n v="0"/>
    <n v="0"/>
    <n v="1"/>
    <n v="1"/>
    <n v="0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01468236662E-2"/>
    <n v="19000000"/>
    <n v="0.13758000000000001"/>
    <x v="3"/>
    <s v="Todo bien"/>
    <x v="0"/>
    <x v="3"/>
    <n v="601.57034213548354"/>
    <x v="1"/>
    <x v="2"/>
    <s v="Pequeña"/>
    <x v="1"/>
    <n v="1381.014682366623"/>
  </r>
  <r>
    <s v="Sobha City"/>
    <x v="27"/>
    <n v="15685"/>
    <n v="3"/>
    <x v="5"/>
    <x v="0"/>
    <s v=" Sector 108 Gurgaon"/>
    <n v="0"/>
    <n v="0"/>
    <n v="3"/>
    <n v="12"/>
    <n v="3"/>
    <x v="1"/>
    <n v="24"/>
    <n v="0"/>
    <n v="0"/>
    <n v="0"/>
    <n v="0"/>
    <n v="2072.0433535224738"/>
    <m/>
    <n v="2072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20433535224701E-2"/>
    <n v="32500000"/>
    <n v="0.15684999999999999"/>
    <x v="5"/>
    <s v="Todo bien"/>
    <x v="0"/>
    <x v="4"/>
    <n v="902.58260467006539"/>
    <x v="1"/>
    <x v="2"/>
    <s v="Pequeña"/>
    <x v="2"/>
    <n v="2072.0433535224738"/>
  </r>
  <r>
    <s v="SBTL Caladium"/>
    <x v="26"/>
    <n v="6286"/>
    <n v="3"/>
    <x v="5"/>
    <x v="0"/>
    <s v=" Sector 109 Gurgaon"/>
    <n v="0"/>
    <n v="0"/>
    <n v="3"/>
    <n v="9"/>
    <n v="3"/>
    <x v="1"/>
    <n v="19"/>
    <n v="1"/>
    <n v="0"/>
    <n v="0"/>
    <n v="0"/>
    <n v="2545.3388482341711"/>
    <m/>
    <n v="2545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3388482341702E-2"/>
    <n v="16000000"/>
    <n v="6.2859999999999999E-2"/>
    <x v="3"/>
    <s v="Todo bien"/>
    <x v="0"/>
    <x v="3"/>
    <n v="1108.7502409163217"/>
    <x v="1"/>
    <x v="3"/>
    <s v="Pequeña"/>
    <x v="2"/>
    <n v="2545.3388482341711"/>
  </r>
  <r>
    <s v="ATS Triumph"/>
    <x v="218"/>
    <n v="6846"/>
    <n v="4"/>
    <x v="5"/>
    <x v="0"/>
    <s v=" Sector 104 Gurgaon"/>
    <n v="0"/>
    <n v="0"/>
    <n v="5"/>
    <n v="27"/>
    <n v="3"/>
    <x v="2"/>
    <n v="27"/>
    <n v="0"/>
    <n v="0"/>
    <n v="0"/>
    <n v="0"/>
    <n v="500"/>
    <m/>
    <m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460706982095E-2"/>
    <n v="44500000"/>
    <n v="6.8459999999999993E-2"/>
    <x v="4"/>
    <s v="Todo bien"/>
    <x v="0"/>
    <x v="3"/>
    <n v="2831.4652592827892"/>
    <x v="2"/>
    <x v="1"/>
    <s v="Pequeña"/>
    <x v="0"/>
    <n v="6500.1460706982189"/>
  </r>
  <r>
    <s v="MM Woodshire"/>
    <x v="30"/>
    <n v="6002"/>
    <n v="2"/>
    <x v="2"/>
    <x v="0"/>
    <s v=" Sector 107 Gurgaon"/>
    <n v="0"/>
    <n v="0"/>
    <n v="2"/>
    <n v="7"/>
    <n v="3"/>
    <x v="0"/>
    <n v="14"/>
    <n v="0"/>
    <n v="0"/>
    <n v="0"/>
    <n v="0"/>
    <n v="1366.2112629123626"/>
    <m/>
    <n v="1366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2112629123599E-2"/>
    <n v="8200000"/>
    <n v="6.0019999999999997E-2"/>
    <x v="1"/>
    <s v="Todo bien"/>
    <x v="0"/>
    <x v="5"/>
    <n v="595.1219689070299"/>
    <x v="1"/>
    <x v="2"/>
    <s v="Pequeña"/>
    <x v="1"/>
    <n v="1366.2112629123626"/>
  </r>
  <r>
    <s v="Signature Global Solera"/>
    <x v="1"/>
    <n v="7751"/>
    <n v="3"/>
    <x v="3"/>
    <x v="0"/>
    <s v=" Sector 107 Gurgaon"/>
    <n v="0"/>
    <n v="0"/>
    <n v="2"/>
    <n v="6"/>
    <n v="2"/>
    <x v="1"/>
    <n v="14"/>
    <n v="0"/>
    <n v="0"/>
    <n v="0"/>
    <n v="0"/>
    <n v="1310.043668122270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x v="1"/>
    <s v="Todo bien"/>
    <x v="0"/>
    <x v="2"/>
    <n v="280.99616236614293"/>
    <x v="0"/>
    <x v="2"/>
    <s v="Pequeña"/>
    <x v="0"/>
    <n v="645.07805444458779"/>
  </r>
  <r>
    <s v="Signature Global Solera"/>
    <x v="248"/>
    <n v="8062"/>
    <n v="3"/>
    <x v="4"/>
    <x v="0"/>
    <s v=" Sector 107 Gurgaon"/>
    <n v="0"/>
    <n v="0"/>
    <n v="2"/>
    <n v="5"/>
    <n v="2"/>
    <x v="1"/>
    <n v="14"/>
    <n v="0"/>
    <n v="0"/>
    <n v="0"/>
    <n v="0"/>
    <n v="683.0082719890718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0124038699997E-3"/>
    <n v="5200000"/>
    <n v="8.0619999999999997E-2"/>
    <x v="1"/>
    <s v="Todo bien"/>
    <x v="0"/>
    <x v="2"/>
    <n v="280.96270214338841"/>
    <x v="0"/>
    <x v="0"/>
    <s v="Pequeña"/>
    <x v="0"/>
    <n v="645.00124038700073"/>
  </r>
  <r>
    <s v="Signature Global Solera"/>
    <x v="63"/>
    <n v="5725"/>
    <n v="2"/>
    <x v="0"/>
    <x v="0"/>
    <s v=" Sector 107 Gurgaon"/>
    <n v="0"/>
    <n v="0"/>
    <n v="2"/>
    <n v="6"/>
    <n v="2"/>
    <x v="0"/>
    <n v="14"/>
    <n v="0"/>
    <n v="0"/>
    <n v="0"/>
    <n v="0"/>
    <n v="640.04096262160783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x v="0"/>
    <s v="Todo bien"/>
    <x v="0"/>
    <x v="1"/>
    <n v="213.04466419563127"/>
    <x v="0"/>
    <x v="0"/>
    <s v="Pequeña"/>
    <x v="0"/>
    <n v="489.08296943231437"/>
  </r>
  <r>
    <s v="Signature Global Solera"/>
    <x v="11"/>
    <n v="5930"/>
    <n v="2"/>
    <x v="4"/>
    <x v="0"/>
    <s v=" Sector 107 Gurgaon"/>
    <n v="0"/>
    <n v="0"/>
    <n v="2"/>
    <n v="3"/>
    <n v="2"/>
    <x v="0"/>
    <n v="14"/>
    <n v="0"/>
    <n v="0"/>
    <n v="0"/>
    <n v="0"/>
    <n v="1997.1469329529245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3878583472999E-3"/>
    <n v="2900000"/>
    <n v="5.9299999999999999E-2"/>
    <x v="0"/>
    <s v="Todo bien"/>
    <x v="0"/>
    <x v="1"/>
    <n v="213.02541780943977"/>
    <x v="0"/>
    <x v="2"/>
    <s v="Pequeña"/>
    <x v="0"/>
    <n v="489.03878583473863"/>
  </r>
  <r>
    <s v="Experion The Heartsong"/>
    <x v="115"/>
    <n v="9238"/>
    <n v="2"/>
    <x v="2"/>
    <x v="0"/>
    <s v=" Sector 108 Gurgaon"/>
    <n v="0"/>
    <n v="0"/>
    <n v="2"/>
    <n v="10"/>
    <n v="3"/>
    <x v="0"/>
    <n v="15"/>
    <n v="1"/>
    <n v="0"/>
    <n v="0"/>
    <n v="0"/>
    <n v="2277.7777777777778"/>
    <m/>
    <m/>
    <n v="1"/>
    <n v="1"/>
    <n v="1"/>
    <n v="1"/>
    <n v="0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01082485386E-2"/>
    <n v="9700000"/>
    <n v="9.2380000000000004E-2"/>
    <x v="1"/>
    <s v="Todo bien"/>
    <x v="0"/>
    <x v="5"/>
    <n v="457.38497875405744"/>
    <x v="0"/>
    <x v="2"/>
    <s v="Pequeña"/>
    <x v="0"/>
    <n v="1050.0108248538645"/>
  </r>
  <r>
    <s v="MM Woodshire"/>
    <x v="42"/>
    <n v="5856"/>
    <n v="2"/>
    <x v="2"/>
    <x v="0"/>
    <s v=" Sector 107 Gurgaon"/>
    <n v="0"/>
    <n v="0"/>
    <n v="2"/>
    <n v="7"/>
    <n v="3"/>
    <x v="0"/>
    <n v="14"/>
    <n v="0"/>
    <n v="0"/>
    <n v="0"/>
    <n v="0"/>
    <n v="1366.1202185792349"/>
    <m/>
    <n v="136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61202185792301E-2"/>
    <n v="8000000"/>
    <n v="5.8560000000000001E-2"/>
    <x v="1"/>
    <s v="Todo bien"/>
    <x v="0"/>
    <x v="5"/>
    <n v="595.08230997267549"/>
    <x v="1"/>
    <x v="2"/>
    <s v="Pequeña"/>
    <x v="1"/>
    <n v="1366.1202185792349"/>
  </r>
  <r>
    <s v="Emaar Gurgaon Greens"/>
    <x v="59"/>
    <n v="14179"/>
    <n v="3"/>
    <x v="2"/>
    <x v="0"/>
    <s v=" Sector 102 Gurgaon"/>
    <n v="0"/>
    <n v="0"/>
    <n v="3"/>
    <n v="10"/>
    <n v="3"/>
    <x v="1"/>
    <n v="14"/>
    <n v="1"/>
    <n v="0"/>
    <n v="0"/>
    <n v="0"/>
    <n v="1484.6962083142987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3911418294E-2"/>
    <n v="14500000"/>
    <n v="0.14179"/>
    <x v="2"/>
    <s v="Todo bien"/>
    <x v="0"/>
    <x v="5"/>
    <n v="445.46185471824248"/>
    <x v="0"/>
    <x v="2"/>
    <s v="Pequeña"/>
    <x v="1"/>
    <n v="1022.6391141829466"/>
  </r>
  <r>
    <s v="Laxmi Apartment"/>
    <x v="52"/>
    <n v="6470"/>
    <n v="3"/>
    <x v="5"/>
    <x v="0"/>
    <s v=" Sai Kunj"/>
    <n v="0"/>
    <n v="0"/>
    <n v="2"/>
    <n v="3"/>
    <n v="1"/>
    <x v="1"/>
    <n v="4"/>
    <n v="0"/>
    <n v="0"/>
    <n v="0"/>
    <n v="0"/>
    <n v="1210.063694267515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7727975269995E-3"/>
    <n v="5500000"/>
    <n v="6.4699999999999994E-2"/>
    <x v="1"/>
    <s v="Todo bien"/>
    <x v="0"/>
    <x v="2"/>
    <n v="370.29387634466559"/>
    <x v="0"/>
    <x v="2"/>
    <s v="Pequeña"/>
    <x v="0"/>
    <n v="850.07727975270484"/>
  </r>
  <r>
    <s v="Pareena Coban Residences"/>
    <x v="8"/>
    <n v="7096"/>
    <n v="2"/>
    <x v="2"/>
    <x v="2"/>
    <s v=" Sector 99A Gurgaon"/>
    <n v="0"/>
    <n v="0"/>
    <n v="2"/>
    <n v="9"/>
    <n v="3"/>
    <x v="0"/>
    <n v="20"/>
    <n v="0"/>
    <n v="1"/>
    <n v="0"/>
    <n v="0"/>
    <n v="1485.2150537634409"/>
    <m/>
    <n v="155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1691093573799E-2"/>
    <n v="11000000"/>
    <n v="7.0959999999999995E-2"/>
    <x v="2"/>
    <s v="Todo bien"/>
    <x v="1"/>
    <x v="4"/>
    <n v="675.25405297350426"/>
    <x v="1"/>
    <x v="2"/>
    <s v="Pequeña"/>
    <x v="1"/>
    <n v="1550.1691093573845"/>
  </r>
  <r>
    <s v="Ireo The Corridors"/>
    <x v="100"/>
    <n v="9433"/>
    <n v="2"/>
    <x v="5"/>
    <x v="0"/>
    <s v=" Sector 67A Gurgaon"/>
    <n v="0"/>
    <n v="0"/>
    <n v="2"/>
    <n v="8"/>
    <n v="2"/>
    <x v="0"/>
    <n v="19"/>
    <n v="0"/>
    <n v="1"/>
    <n v="0"/>
    <n v="0"/>
    <n v="2754.0622418066646"/>
    <m/>
    <n v="1484"/>
    <n v="0"/>
    <n v="0"/>
    <n v="1"/>
    <n v="1"/>
    <n v="0"/>
    <n v="0"/>
    <n v="0"/>
    <n v="1"/>
    <n v="0"/>
    <n v="1"/>
    <n v="1"/>
    <n v="1"/>
    <n v="1"/>
    <n v="0"/>
    <n v="1"/>
    <n v="0"/>
    <n v="1"/>
    <n v="38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15138344111E-2"/>
    <n v="14000000"/>
    <n v="9.4329999999999997E-2"/>
    <x v="2"/>
    <s v="Todo bien"/>
    <x v="0"/>
    <x v="3"/>
    <n v="646.49671500052966"/>
    <x v="1"/>
    <x v="3"/>
    <s v="Pequeña"/>
    <x v="1"/>
    <n v="1484.151383441111"/>
  </r>
  <r>
    <s v="Tulip Violet"/>
    <x v="113"/>
    <n v="8998"/>
    <n v="3"/>
    <x v="4"/>
    <x v="0"/>
    <s v=" Sector 69 Gurgaon"/>
    <n v="0"/>
    <n v="0"/>
    <n v="3"/>
    <n v="8"/>
    <n v="2"/>
    <x v="1"/>
    <n v="14"/>
    <n v="0"/>
    <n v="0"/>
    <n v="1"/>
    <n v="0"/>
    <n v="1578.1284729939987"/>
    <m/>
    <n v="1578"/>
    <n v="0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2847299399E-2"/>
    <n v="14200000"/>
    <n v="8.9980000000000004E-2"/>
    <x v="2"/>
    <s v="Todo bien"/>
    <x v="1"/>
    <x v="3"/>
    <n v="687.43315878861597"/>
    <x v="1"/>
    <x v="2"/>
    <s v="Pequeña"/>
    <x v="1"/>
    <n v="1578.1284729939987"/>
  </r>
  <r>
    <s v="DLF The Primus"/>
    <x v="193"/>
    <n v="11451"/>
    <n v="4"/>
    <x v="2"/>
    <x v="0"/>
    <s v=" Sector 82A Gurgaon"/>
    <n v="0"/>
    <n v="0"/>
    <n v="5"/>
    <n v="10"/>
    <n v="3"/>
    <x v="2"/>
    <n v="32"/>
    <n v="1"/>
    <n v="0"/>
    <n v="0"/>
    <n v="0"/>
    <n v="2350.1016260162601"/>
    <m/>
    <n v="25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3"/>
    <n v="1"/>
    <n v="1"/>
    <n v="0"/>
    <n v="0"/>
    <n v="1"/>
    <n v="4"/>
    <n v="1"/>
    <n v="0"/>
    <n v="0"/>
    <n v="0"/>
    <n v="0"/>
    <n v="0"/>
    <n v="0"/>
    <n v="1"/>
    <n v="2.5761942188455102E-2"/>
    <n v="29500000"/>
    <n v="0.11451"/>
    <x v="5"/>
    <s v="Todo bien"/>
    <x v="2"/>
    <x v="5"/>
    <n v="1122.1908480962338"/>
    <x v="1"/>
    <x v="2"/>
    <s v="Pequeña"/>
    <x v="2"/>
    <n v="2576.1942188455155"/>
  </r>
  <r>
    <s v="Experion Windchants"/>
    <x v="153"/>
    <n v="10651"/>
    <n v="2"/>
    <x v="2"/>
    <x v="0"/>
    <s v=" Sector 112 Gurgaon"/>
    <n v="0"/>
    <n v="0"/>
    <n v="2"/>
    <n v="8"/>
    <n v="3"/>
    <x v="0"/>
    <n v="28"/>
    <n v="0"/>
    <n v="0"/>
    <n v="0"/>
    <n v="0"/>
    <n v="2441.0853440991459"/>
    <n v="1939.03"/>
    <n v="244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4410853440991399E-2"/>
    <n v="26000000"/>
    <n v="0.10650999999999999"/>
    <x v="5"/>
    <s v="Todo bien"/>
    <x v="0"/>
    <x v="5"/>
    <n v="1063.3373883578984"/>
    <x v="1"/>
    <x v="2"/>
    <s v="Grande"/>
    <x v="2"/>
    <n v="2441.0853440991459"/>
  </r>
  <r>
    <s v="Ansal Housing Highland Park"/>
    <x v="8"/>
    <n v="6242"/>
    <n v="3"/>
    <x v="2"/>
    <x v="2"/>
    <s v=" Sector 103 Gurgaon"/>
    <n v="0"/>
    <n v="0"/>
    <n v="3"/>
    <n v="7"/>
    <n v="3"/>
    <x v="1"/>
    <n v="18"/>
    <n v="0"/>
    <n v="0"/>
    <n v="0"/>
    <n v="0"/>
    <n v="1610.0898966858983"/>
    <n v="1500"/>
    <n v="176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225568727971E-2"/>
    <n v="11000000"/>
    <n v="6.2420000000000003E-2"/>
    <x v="2"/>
    <s v="Todo bien"/>
    <x v="0"/>
    <x v="4"/>
    <n v="767.63901952899369"/>
    <x v="1"/>
    <x v="2"/>
    <s v="Mediana"/>
    <x v="1"/>
    <n v="1762.2556872797179"/>
  </r>
  <r>
    <s v="MM Woodshire"/>
    <x v="29"/>
    <n v="5490"/>
    <n v="2"/>
    <x v="0"/>
    <x v="0"/>
    <s v=" Sector 107 Gurgaon"/>
    <n v="0"/>
    <n v="0"/>
    <n v="2"/>
    <n v="14"/>
    <n v="3"/>
    <x v="0"/>
    <n v="14"/>
    <n v="0"/>
    <n v="0"/>
    <n v="1"/>
    <n v="0"/>
    <n v="2092.9259104227708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1.3661202185792301E-2"/>
    <n v="7500000"/>
    <n v="5.4899999999999997E-2"/>
    <x v="1"/>
    <s v="Todo bien"/>
    <x v="0"/>
    <x v="5"/>
    <n v="595.08230997267549"/>
    <x v="1"/>
    <x v="2"/>
    <s v="Pequeña"/>
    <x v="1"/>
    <n v="1366.1202185792351"/>
  </r>
  <r>
    <s v="MM Woodshire"/>
    <x v="35"/>
    <n v="8922"/>
    <n v="3"/>
    <x v="0"/>
    <x v="0"/>
    <s v=" Sector 107 Gurgaon"/>
    <n v="0"/>
    <n v="0"/>
    <n v="3"/>
    <n v="4"/>
    <n v="3"/>
    <x v="1"/>
    <n v="14"/>
    <n v="0"/>
    <n v="0"/>
    <n v="1"/>
    <n v="0"/>
    <n v="1773.5082209495658"/>
    <n v="1554"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570724052902899E-2"/>
    <n v="13000000"/>
    <n v="8.9219999999999994E-2"/>
    <x v="2"/>
    <s v="Todo bien"/>
    <x v="1"/>
    <x v="5"/>
    <n v="634.70110532391686"/>
    <x v="1"/>
    <x v="2"/>
    <s v="Mediana"/>
    <x v="1"/>
    <n v="1457.0724052902938"/>
  </r>
  <r>
    <s v="MM Woodshire"/>
    <x v="131"/>
    <n v="6310"/>
    <n v="3"/>
    <x v="4"/>
    <x v="0"/>
    <s v=" Sector 107 Gurgaon"/>
    <n v="0"/>
    <n v="0"/>
    <n v="4"/>
    <n v="5"/>
    <n v="3"/>
    <x v="1"/>
    <n v="14"/>
    <n v="1"/>
    <n v="0"/>
    <n v="0"/>
    <n v="1"/>
    <n v="2361.3312202852612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36133122028526E-2"/>
    <n v="14900000"/>
    <n v="6.3100000000000003E-2"/>
    <x v="2"/>
    <s v="Todo bien"/>
    <x v="1"/>
    <x v="5"/>
    <n v="1028.5964720142624"/>
    <x v="1"/>
    <x v="2"/>
    <s v="Pequeña"/>
    <x v="2"/>
    <n v="2361.3312202852612"/>
  </r>
  <r>
    <s v="Godrej Oasis"/>
    <x v="190"/>
    <n v="10162"/>
    <n v="2"/>
    <x v="3"/>
    <x v="0"/>
    <s v=" Sector 88A Gurgaon"/>
    <n v="0"/>
    <n v="0"/>
    <n v="2"/>
    <n v="15"/>
    <n v="3"/>
    <x v="0"/>
    <n v="17"/>
    <n v="0"/>
    <n v="1"/>
    <n v="1"/>
    <n v="0"/>
    <n v="2862.0492272467086"/>
    <m/>
    <n v="162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4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7102932493603E-2"/>
    <n v="11900000"/>
    <n v="0.10162"/>
    <x v="2"/>
    <s v="Todo bien"/>
    <x v="1"/>
    <x v="5"/>
    <n v="510.10066775339232"/>
    <x v="1"/>
    <x v="3"/>
    <s v="Pequeña"/>
    <x v="1"/>
    <n v="1171.0293249360361"/>
  </r>
  <r>
    <s v="Godrej Oasis"/>
    <x v="81"/>
    <n v="7116"/>
    <n v="2"/>
    <x v="3"/>
    <x v="0"/>
    <s v=" Sector 88A Gurgaon"/>
    <n v="0"/>
    <n v="0"/>
    <n v="2"/>
    <n v="14"/>
    <n v="3"/>
    <x v="0"/>
    <n v="17"/>
    <n v="0"/>
    <n v="1"/>
    <n v="1"/>
    <n v="0"/>
    <n v="2000"/>
    <m/>
    <n v="161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1607644744238E-2"/>
    <n v="11500000"/>
    <n v="7.1160000000000001E-2"/>
    <x v="2"/>
    <s v="Todo bien"/>
    <x v="0"/>
    <x v="5"/>
    <n v="703.96330597948145"/>
    <x v="1"/>
    <x v="2"/>
    <s v="Pequeña"/>
    <x v="1"/>
    <n v="1616.0764474423834"/>
  </r>
  <r>
    <s v="Satya The Hermitage"/>
    <x v="249"/>
    <n v="6655"/>
    <n v="3"/>
    <x v="2"/>
    <x v="0"/>
    <s v=" Sector 103 Gurgaon"/>
    <n v="0"/>
    <n v="0"/>
    <n v="4"/>
    <n v="2"/>
    <n v="3"/>
    <x v="1"/>
    <n v="11"/>
    <n v="1"/>
    <n v="0"/>
    <n v="1"/>
    <n v="0"/>
    <n v="1600.08828073273"/>
    <m/>
    <n v="19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49511645379413E-2"/>
    <n v="9950000"/>
    <n v="6.6549999999999998E-2"/>
    <x v="1"/>
    <s v="Todo bien"/>
    <x v="0"/>
    <x v="5"/>
    <n v="651.27310239744133"/>
    <x v="1"/>
    <x v="2"/>
    <s v="Pequeña"/>
    <x v="1"/>
    <n v="1495.1164537941397"/>
  </r>
  <r>
    <s v="Vatika Gurgaon "/>
    <x v="32"/>
    <n v="6265"/>
    <n v="2"/>
    <x v="3"/>
    <x v="0"/>
    <s v=" Sector 83 Gurgaon"/>
    <n v="0"/>
    <n v="0"/>
    <n v="2"/>
    <n v="3"/>
    <n v="2"/>
    <x v="0"/>
    <n v="18"/>
    <n v="0"/>
    <n v="1"/>
    <n v="1"/>
    <n v="0"/>
    <n v="1672.0936372436856"/>
    <n v="85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24501197126895E-2"/>
    <n v="7800000"/>
    <n v="6.2649999999999997E-2"/>
    <x v="1"/>
    <s v="Todo bien"/>
    <x v="1"/>
    <x v="5"/>
    <n v="542.32752705825828"/>
    <x v="1"/>
    <x v="2"/>
    <s v="Mediana"/>
    <x v="1"/>
    <n v="1245.0119712689545"/>
  </r>
  <r>
    <s v="Vatika Gurgaon "/>
    <x v="81"/>
    <n v="5808"/>
    <n v="3"/>
    <x v="8"/>
    <x v="0"/>
    <s v=" Sector 83 Gurgaon"/>
    <n v="0"/>
    <n v="0"/>
    <n v="3"/>
    <n v="3"/>
    <n v="2"/>
    <x v="1"/>
    <n v="18"/>
    <n v="1"/>
    <n v="1"/>
    <n v="1"/>
    <n v="1"/>
    <n v="1508.0603224128965"/>
    <n v="1350"/>
    <n v="19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8002754820936E-2"/>
    <n v="11500000"/>
    <n v="5.808E-2"/>
    <x v="2"/>
    <s v="Todo bien"/>
    <x v="1"/>
    <x v="5"/>
    <n v="862.50049678890912"/>
    <x v="1"/>
    <x v="2"/>
    <s v="Mediana"/>
    <x v="1"/>
    <n v="1980.0275482093664"/>
  </r>
  <r>
    <s v="Raheja Vedaanta"/>
    <x v="42"/>
    <n v="4080"/>
    <n v="3"/>
    <x v="2"/>
    <x v="0"/>
    <s v=" Sector 108 Gurgaon"/>
    <n v="0"/>
    <n v="0"/>
    <n v="3"/>
    <n v="9"/>
    <n v="3"/>
    <x v="1"/>
    <n v="22"/>
    <n v="0"/>
    <n v="0"/>
    <n v="1"/>
    <n v="0"/>
    <n v="1960.7843137254902"/>
    <m/>
    <n v="18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9607843137254902E-2"/>
    <n v="8000000"/>
    <n v="4.0800000000000003E-2"/>
    <x v="1"/>
    <s v="Todo bien"/>
    <x v="0"/>
    <x v="5"/>
    <n v="854.11813901960784"/>
    <x v="1"/>
    <x v="2"/>
    <s v="Pequeña"/>
    <x v="1"/>
    <n v="1960.7843137254902"/>
  </r>
  <r>
    <s v="Conscient Heritage Max"/>
    <x v="18"/>
    <n v="10237"/>
    <n v="3"/>
    <x v="4"/>
    <x v="0"/>
    <s v=" Sector 102 Gurgaon"/>
    <n v="0"/>
    <n v="0"/>
    <n v="4"/>
    <n v="20"/>
    <n v="3"/>
    <x v="1"/>
    <n v="25"/>
    <n v="1"/>
    <n v="1"/>
    <n v="0"/>
    <n v="0"/>
    <n v="6123.3578267646408"/>
    <n v="1186"/>
    <n v="214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1"/>
    <x v="1"/>
    <x v="1"/>
    <x v="1"/>
    <x v="1"/>
    <x v="0"/>
    <x v="0"/>
    <x v="1"/>
    <x v="1"/>
    <n v="0"/>
    <n v="6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1490671095047299E-2"/>
    <n v="22000000.000000004"/>
    <n v="0.10237"/>
    <x v="3"/>
    <s v="Todo bien"/>
    <x v="1"/>
    <x v="1"/>
    <n v="936.13417210119815"/>
    <x v="1"/>
    <x v="3"/>
    <s v="Mediana"/>
    <x v="2"/>
    <n v="2149.0671095047378"/>
  </r>
  <r>
    <s v="Shree Arihant Apartment"/>
    <x v="46"/>
    <n v="8611"/>
    <n v="3"/>
    <x v="2"/>
    <x v="5"/>
    <s v=" Sector 54 Gurgaon"/>
    <n v="0"/>
    <n v="0"/>
    <n v="3"/>
    <n v="3"/>
    <n v="3"/>
    <x v="1"/>
    <n v="9"/>
    <n v="1"/>
    <n v="0"/>
    <n v="0"/>
    <n v="0"/>
    <n v="2693.2399676811201"/>
    <n v="1900"/>
    <n v="20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80002322610614E-2"/>
    <n v="15500000"/>
    <n v="8.6110000000000006E-2"/>
    <x v="3"/>
    <s v="Todo bien"/>
    <x v="1"/>
    <x v="4"/>
    <n v="784.09056891766204"/>
    <x v="1"/>
    <x v="3"/>
    <s v="Grande"/>
    <x v="1"/>
    <n v="1800.0232261061433"/>
  </r>
  <r>
    <s v="Tulip Violet"/>
    <x v="46"/>
    <n v="9822"/>
    <n v="3"/>
    <x v="0"/>
    <x v="0"/>
    <s v=" Sector 69 Gurgaon"/>
    <n v="0"/>
    <n v="0"/>
    <n v="3"/>
    <n v="0"/>
    <n v="2"/>
    <x v="1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7809000203624E-2"/>
    <n v="15500000"/>
    <n v="9.8220000000000002E-2"/>
    <x v="3"/>
    <s v="Todo bien"/>
    <x v="1"/>
    <x v="3"/>
    <n v="687.41640082976767"/>
    <x v="1"/>
    <x v="2"/>
    <s v="Pequeña"/>
    <x v="1"/>
    <n v="1578.0900020362451"/>
  </r>
  <r>
    <s v="Tulip White"/>
    <x v="15"/>
    <n v="6000"/>
    <n v="3"/>
    <x v="0"/>
    <x v="0"/>
    <s v=" Sector 69 Gurgaon"/>
    <n v="0"/>
    <n v="0"/>
    <n v="2"/>
    <n v="1"/>
    <n v="3"/>
    <x v="1"/>
    <n v="13"/>
    <n v="0"/>
    <n v="0"/>
    <n v="0"/>
    <n v="0"/>
    <n v="1690.1027582477016"/>
    <n v="1326"/>
    <n v="15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999999999999999E-2"/>
    <n v="9000000"/>
    <n v="0.06"/>
    <x v="1"/>
    <s v="Todo bien"/>
    <x v="1"/>
    <x v="5"/>
    <n v="653.40037634999999"/>
    <x v="1"/>
    <x v="2"/>
    <s v="Mediana"/>
    <x v="1"/>
    <n v="1500"/>
  </r>
  <r>
    <s v="Denso Haryana Housing Society"/>
    <x v="15"/>
    <n v="4308"/>
    <n v="3"/>
    <x v="4"/>
    <x v="5"/>
    <s v=" Manesar"/>
    <n v="0"/>
    <n v="0"/>
    <n v="3"/>
    <n v="5"/>
    <n v="3"/>
    <x v="1"/>
    <n v="10"/>
    <n v="1"/>
    <n v="0"/>
    <n v="0"/>
    <n v="0"/>
    <n v="3363.1647950749584"/>
    <m/>
    <m/>
    <n v="1"/>
    <n v="1"/>
    <n v="0"/>
    <n v="0"/>
    <n v="0"/>
    <n v="0"/>
    <n v="0"/>
    <n v="1"/>
    <n v="0"/>
    <n v="0"/>
    <n v="0"/>
    <n v="1"/>
    <n v="0"/>
    <n v="0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91364902506902E-2"/>
    <n v="9000000"/>
    <n v="4.308E-2"/>
    <x v="1"/>
    <s v="Todo bien"/>
    <x v="0"/>
    <x v="0"/>
    <n v="910.02837931754607"/>
    <x v="1"/>
    <x v="3"/>
    <s v="Pequeña"/>
    <x v="0"/>
    <n v="2089.1364902506962"/>
  </r>
  <r>
    <s v="The Nav Manesar Apartment"/>
    <x v="28"/>
    <n v="3953"/>
    <n v="3"/>
    <x v="2"/>
    <x v="5"/>
    <s v=" Sector 1 Gurgaon"/>
    <n v="0"/>
    <n v="0"/>
    <n v="3"/>
    <n v="5"/>
    <n v="3"/>
    <x v="1"/>
    <n v="12"/>
    <n v="1"/>
    <n v="0"/>
    <n v="0"/>
    <n v="0"/>
    <n v="2150.2656210473056"/>
    <m/>
    <n v="215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656210472999E-2"/>
    <n v="8500000"/>
    <n v="3.9530000000000003E-2"/>
    <x v="1"/>
    <s v="Todo bien"/>
    <x v="0"/>
    <x v="2"/>
    <n v="936.65624402984815"/>
    <x v="1"/>
    <x v="2"/>
    <s v="Pequeña"/>
    <x v="2"/>
    <n v="2150.2656210473056"/>
  </r>
  <r>
    <s v="Ireo Skyon"/>
    <x v="101"/>
    <n v="12484"/>
    <n v="3"/>
    <x v="2"/>
    <x v="0"/>
    <s v=" Sector 60 Gurgaon"/>
    <n v="0"/>
    <n v="0"/>
    <n v="3"/>
    <n v="5"/>
    <n v="3"/>
    <x v="1"/>
    <n v="12"/>
    <n v="1"/>
    <n v="0"/>
    <n v="0"/>
    <n v="0"/>
    <n v="570.07125890736347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4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4030759371996099E-2"/>
    <n v="30000000"/>
    <n v="0.12484000000000001"/>
    <x v="5"/>
    <s v="Todo bien"/>
    <x v="1"/>
    <x v="5"/>
    <n v="1046.7804811759029"/>
    <x v="1"/>
    <x v="1"/>
    <s v="Grande"/>
    <x v="2"/>
    <n v="2403.0759371996155"/>
  </r>
  <r>
    <s v="Ireo Skyon"/>
    <x v="134"/>
    <n v="15531"/>
    <n v="2"/>
    <x v="2"/>
    <x v="0"/>
    <s v=" Sector 60 Gurgaon"/>
    <n v="0"/>
    <n v="0"/>
    <n v="2"/>
    <n v="2"/>
    <n v="2"/>
    <x v="0"/>
    <n v="12"/>
    <n v="0"/>
    <n v="0"/>
    <n v="1"/>
    <n v="0"/>
    <n v="2943.0650684931506"/>
    <n v="1350"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3650119116605399E-2"/>
    <n v="21200000"/>
    <n v="0.15531"/>
    <x v="3"/>
    <s v="Todo bien"/>
    <x v="1"/>
    <x v="5"/>
    <n v="594.59953120081991"/>
    <x v="1"/>
    <x v="3"/>
    <s v="Mediana"/>
    <x v="1"/>
    <n v="1365.0119116605499"/>
  </r>
  <r>
    <s v="Umang Winter Hills"/>
    <x v="16"/>
    <n v="5762"/>
    <n v="3"/>
    <x v="4"/>
    <x v="0"/>
    <s v=" Sector 77 Gurgaon"/>
    <n v="0"/>
    <n v="0"/>
    <n v="3"/>
    <n v="7"/>
    <n v="3"/>
    <x v="1"/>
    <n v="18"/>
    <n v="0"/>
    <n v="0"/>
    <n v="0"/>
    <n v="0"/>
    <n v="1929.1053773812394"/>
    <n v="1600"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2839291912499E-2"/>
    <n v="10500000"/>
    <n v="5.7619999999999998E-2"/>
    <x v="2"/>
    <s v="Todo bien"/>
    <x v="0"/>
    <x v="1"/>
    <n v="793.78733676674631"/>
    <x v="1"/>
    <x v="2"/>
    <s v="Mediana"/>
    <x v="1"/>
    <n v="1822.283929191253"/>
  </r>
  <r>
    <s v="SS The Leaf"/>
    <x v="71"/>
    <n v="6852"/>
    <n v="3"/>
    <x v="1"/>
    <x v="2"/>
    <s v=" Sector 85 Gurgaon"/>
    <n v="0"/>
    <n v="0"/>
    <n v="4"/>
    <n v="9"/>
    <n v="3"/>
    <x v="1"/>
    <n v="26"/>
    <n v="0"/>
    <n v="0"/>
    <n v="1"/>
    <n v="0"/>
    <n v="2408.0560420315237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5604203152E-2"/>
    <n v="16500000"/>
    <n v="6.8519999999999998E-2"/>
    <x v="3"/>
    <s v="Todo bien"/>
    <x v="0"/>
    <x v="0"/>
    <n v="1048.9498160901912"/>
    <x v="1"/>
    <x v="2"/>
    <s v="Pequeña"/>
    <x v="2"/>
    <n v="2408.0560420315237"/>
  </r>
  <r>
    <s v="Alpha Corp GurgaonOne "/>
    <x v="78"/>
    <n v="7641"/>
    <n v="3"/>
    <x v="7"/>
    <x v="0"/>
    <s v=" Sector 84 Gurgaon"/>
    <n v="0"/>
    <n v="0"/>
    <n v="3"/>
    <n v="20"/>
    <n v="3"/>
    <x v="1"/>
    <n v="26"/>
    <n v="1"/>
    <n v="0"/>
    <n v="0"/>
    <n v="0"/>
    <n v="654.20560747663558"/>
    <m/>
    <n v="1963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0"/>
    <n v="0"/>
    <n v="3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96309383588535E-2"/>
    <n v="15000000"/>
    <n v="7.6410000000000006E-2"/>
    <x v="2"/>
    <s v="Todo bien"/>
    <x v="1"/>
    <x v="1"/>
    <n v="855.12416745190194"/>
    <x v="1"/>
    <x v="0"/>
    <s v="Pequeña"/>
    <x v="1"/>
    <n v="1963.0938358853552"/>
  </r>
  <r>
    <s v="MM Merlin"/>
    <x v="107"/>
    <n v="14418"/>
    <n v="3"/>
    <x v="0"/>
    <x v="0"/>
    <s v=" Sector 67 Gurgaon"/>
    <n v="0"/>
    <n v="0"/>
    <n v="4"/>
    <n v="16"/>
    <n v="3"/>
    <x v="1"/>
    <n v="21"/>
    <n v="1"/>
    <n v="0"/>
    <n v="0"/>
    <n v="0"/>
    <n v="2358.1634068525454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151"/>
    <n v="14843"/>
    <n v="3"/>
    <x v="8"/>
    <x v="0"/>
    <s v=" Sector 67 Gurgaon"/>
    <n v="0"/>
    <n v="0"/>
    <n v="4"/>
    <n v="15"/>
    <n v="3"/>
    <x v="1"/>
    <n v="21"/>
    <n v="1"/>
    <n v="0"/>
    <n v="0"/>
    <n v="0"/>
    <n v="2358.0138785959712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0138785959701E-2"/>
    <n v="35000000"/>
    <n v="0.14843000000000001"/>
    <x v="5"/>
    <s v="Todo bien"/>
    <x v="1"/>
    <x v="5"/>
    <n v="1027.1514371420867"/>
    <x v="1"/>
    <x v="2"/>
    <s v="Pequeña"/>
    <x v="2"/>
    <n v="2358.0138785959712"/>
  </r>
  <r>
    <s v="Ireo Victory Valley"/>
    <x v="250"/>
    <n v="12846"/>
    <n v="3"/>
    <x v="8"/>
    <x v="0"/>
    <s v=" Sector 67 Gurgaon"/>
    <n v="0"/>
    <n v="0"/>
    <n v="4"/>
    <n v="15"/>
    <n v="3"/>
    <x v="1"/>
    <n v="39"/>
    <n v="1"/>
    <n v="0"/>
    <n v="1"/>
    <n v="0"/>
    <n v="2452.1251751517984"/>
    <m/>
    <n v="24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4521251751517901E-2"/>
    <n v="31500000"/>
    <n v="0.12845999999999999"/>
    <x v="5"/>
    <s v="Todo bien"/>
    <x v="1"/>
    <x v="5"/>
    <n v="1068.1463415343262"/>
    <x v="1"/>
    <x v="2"/>
    <s v="Pequeña"/>
    <x v="2"/>
    <n v="2452.1251751517984"/>
  </r>
  <r>
    <s v="DLF The Icon"/>
    <x v="223"/>
    <n v="20388"/>
    <n v="4"/>
    <x v="5"/>
    <x v="1"/>
    <s v=" DLF Phase 5"/>
    <n v="0"/>
    <n v="0"/>
    <n v="4"/>
    <n v="9"/>
    <n v="3"/>
    <x v="2"/>
    <n v="18"/>
    <n v="1"/>
    <n v="0"/>
    <n v="1"/>
    <n v="0"/>
    <n v="1505.0526768436894"/>
    <n v="2570"/>
    <n v="257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0441436138902E-2"/>
    <n v="52500000"/>
    <n v="0.20388000000000001"/>
    <x v="4"/>
    <s v="Todo bien"/>
    <x v="0"/>
    <x v="5"/>
    <n v="1121.6898750367864"/>
    <x v="1"/>
    <x v="2"/>
    <s v="Muy grande"/>
    <x v="2"/>
    <n v="2575.0441436138904"/>
  </r>
  <r>
    <s v="MM Merlin"/>
    <x v="222"/>
    <n v="13580"/>
    <n v="3"/>
    <x v="6"/>
    <x v="0"/>
    <s v=" Sector 67 Gurgaon"/>
    <n v="0"/>
    <n v="0"/>
    <n v="3"/>
    <n v="4"/>
    <n v="3"/>
    <x v="1"/>
    <n v="21"/>
    <n v="0"/>
    <n v="0"/>
    <n v="1"/>
    <n v="0"/>
    <n v="2047.1281296023562"/>
    <m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471281296023498E-2"/>
    <n v="27800000"/>
    <n v="0.1358"/>
    <x v="5"/>
    <s v="Todo bien"/>
    <x v="1"/>
    <x v="5"/>
    <n v="891.72952687923134"/>
    <x v="1"/>
    <x v="2"/>
    <s v="Pequeña"/>
    <x v="2"/>
    <n v="2047.1281296023562"/>
  </r>
  <r>
    <s v="Ansal Heights"/>
    <x v="108"/>
    <n v="4500"/>
    <n v="3"/>
    <x v="6"/>
    <x v="0"/>
    <s v=" Sector 92 Gurgaon"/>
    <n v="0"/>
    <n v="0"/>
    <n v="3"/>
    <n v="9"/>
    <n v="3"/>
    <x v="1"/>
    <n v="15"/>
    <n v="1"/>
    <n v="0"/>
    <n v="0"/>
    <n v="0"/>
    <n v="850.03035822707955"/>
    <n v="1700"/>
    <n v="19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7200000"/>
    <n v="4.4999999999999998E-2"/>
    <x v="1"/>
    <s v="Todo bien"/>
    <x v="0"/>
    <x v="1"/>
    <n v="696.96040144000006"/>
    <x v="1"/>
    <x v="0"/>
    <s v="Mediana"/>
    <x v="1"/>
    <n v="1600"/>
  </r>
  <r>
    <s v="ProfeSS The Leafors Enclave CGHS"/>
    <x v="46"/>
    <n v="7750"/>
    <n v="3"/>
    <x v="4"/>
    <x v="5"/>
    <s v=" Sector 56 Gurgaon"/>
    <n v="0"/>
    <n v="0"/>
    <n v="3"/>
    <n v="6"/>
    <n v="3"/>
    <x v="1"/>
    <n v="9"/>
    <n v="1"/>
    <n v="0"/>
    <n v="0"/>
    <n v="0"/>
    <n v="2000"/>
    <m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.02"/>
    <n v="15500000"/>
    <n v="7.7499999999999999E-2"/>
    <x v="3"/>
    <s v="Todo bien"/>
    <x v="0"/>
    <x v="1"/>
    <n v="871.2005018000001"/>
    <x v="1"/>
    <x v="2"/>
    <s v="Pequeña"/>
    <x v="1"/>
    <n v="2000"/>
  </r>
  <r>
    <s v="Ansal Maple Heights"/>
    <x v="78"/>
    <n v="12658"/>
    <n v="3"/>
    <x v="2"/>
    <x v="1"/>
    <s v=" Sector 43 Gurgaon"/>
    <n v="0"/>
    <n v="0"/>
    <n v="3"/>
    <n v="7"/>
    <n v="3"/>
    <x v="1"/>
    <n v="14"/>
    <n v="0"/>
    <n v="0"/>
    <n v="0"/>
    <n v="1"/>
    <n v="1785.7142857142856"/>
    <n v="1385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1"/>
    <x v="0"/>
    <n v="0"/>
    <n v="4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18502133038394E-2"/>
    <n v="15000000"/>
    <n v="0.12658"/>
    <x v="2"/>
    <s v="Todo bien"/>
    <x v="1"/>
    <x v="5"/>
    <n v="516.19558883709612"/>
    <x v="1"/>
    <x v="2"/>
    <s v="Mediana"/>
    <x v="1"/>
    <n v="1185.0213303839469"/>
  </r>
  <r>
    <s v="Ireo Victory Valley"/>
    <x v="200"/>
    <n v="16266"/>
    <n v="3"/>
    <x v="6"/>
    <x v="0"/>
    <s v=" Sector 67 Gurgaon"/>
    <n v="0"/>
    <n v="0"/>
    <n v="4"/>
    <n v="35"/>
    <n v="2"/>
    <x v="1"/>
    <n v="51"/>
    <n v="1"/>
    <n v="1"/>
    <n v="0"/>
    <n v="0"/>
    <n v="2588.4383088869713"/>
    <n v="2200"/>
    <n v="2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1.8750768474117701E-2"/>
    <n v="30500000"/>
    <n v="0.16266"/>
    <x v="5"/>
    <s v="Todo bien"/>
    <x v="1"/>
    <x v="5"/>
    <n v="816.78394518934817"/>
    <x v="1"/>
    <x v="3"/>
    <s v="Grande"/>
    <x v="2"/>
    <n v="1875.0768474117792"/>
  </r>
  <r>
    <s v="Ireo The Grand Arch"/>
    <x v="251"/>
    <n v="21577"/>
    <n v="3"/>
    <x v="2"/>
    <x v="0"/>
    <s v=" sector 58 Gurgaon"/>
    <n v="0"/>
    <n v="0"/>
    <n v="4"/>
    <n v="10"/>
    <n v="2"/>
    <x v="1"/>
    <n v="29"/>
    <n v="1"/>
    <n v="1"/>
    <n v="0"/>
    <n v="0"/>
    <n v="1750.1508750754376"/>
    <n v="2000"/>
    <n v="21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1.7750382351578001E-2"/>
    <n v="38300000"/>
    <n v="0.21576999999999999"/>
    <x v="5"/>
    <s v="Todo bien"/>
    <x v="1"/>
    <x v="5"/>
    <n v="773.20710059183102"/>
    <x v="1"/>
    <x v="2"/>
    <s v="Grande"/>
    <x v="2"/>
    <n v="1775.0382351578071"/>
  </r>
  <r>
    <s v="MM Skywalk"/>
    <x v="39"/>
    <n v="13636"/>
    <n v="3"/>
    <x v="8"/>
    <x v="0"/>
    <s v=" Sector 74 Gurgaon"/>
    <n v="0"/>
    <n v="0"/>
    <n v="3"/>
    <n v="9"/>
    <n v="2"/>
    <x v="1"/>
    <n v="30"/>
    <n v="1"/>
    <n v="0"/>
    <n v="0"/>
    <n v="0"/>
    <n v="1366.0805115535534"/>
    <n v="1938"/>
    <n v="20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6500440011733598E-2"/>
    <n v="22500000"/>
    <n v="0.13636000000000001"/>
    <x v="3"/>
    <s v="Todo bien"/>
    <x v="1"/>
    <x v="5"/>
    <n v="718.75958090715551"/>
    <x v="1"/>
    <x v="2"/>
    <s v="Grande"/>
    <x v="2"/>
    <n v="1650.0440011733644"/>
  </r>
  <r>
    <s v="Vatika Gurgaon "/>
    <x v="100"/>
    <n v="7179"/>
    <n v="4"/>
    <x v="2"/>
    <x v="0"/>
    <s v=" Sector 83 Gurgaon"/>
    <n v="0"/>
    <n v="0"/>
    <n v="4"/>
    <n v="10"/>
    <n v="3"/>
    <x v="2"/>
    <n v="18"/>
    <n v="1"/>
    <n v="0"/>
    <n v="0"/>
    <n v="0"/>
    <n v="1095.0503723171266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23304081299E-2"/>
    <n v="14000000"/>
    <n v="7.1790000000000007E-2"/>
    <x v="2"/>
    <s v="Todo bien"/>
    <x v="0"/>
    <x v="0"/>
    <n v="849.47813241398319"/>
    <x v="1"/>
    <x v="0"/>
    <s v="Pequeña"/>
    <x v="0"/>
    <n v="1950.1323304081347"/>
  </r>
  <r>
    <s v="Experion Windchants"/>
    <x v="162"/>
    <n v="13383"/>
    <n v="3"/>
    <x v="6"/>
    <x v="0"/>
    <s v=" Sector 112 Gurgaon"/>
    <n v="0"/>
    <n v="0"/>
    <n v="5"/>
    <n v="22"/>
    <n v="3"/>
    <x v="1"/>
    <n v="28"/>
    <n v="1"/>
    <n v="0"/>
    <n v="0"/>
    <n v="0"/>
    <n v="2802.0623178659494"/>
    <m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020623178659401E-2"/>
    <n v="37500000"/>
    <n v="0.13383"/>
    <x v="5"/>
    <s v="Todo bien"/>
    <x v="1"/>
    <x v="1"/>
    <n v="1220.5790486998392"/>
    <x v="1"/>
    <x v="3"/>
    <s v="Pequeña"/>
    <x v="2"/>
    <n v="2802.0623178659494"/>
  </r>
  <r>
    <s v="Capital Residences "/>
    <x v="179"/>
    <n v="7641"/>
    <n v="3"/>
    <x v="3"/>
    <x v="0"/>
    <s v=" Sector 70A Gurgaon"/>
    <n v="0"/>
    <n v="0"/>
    <n v="3"/>
    <n v="7"/>
    <n v="3"/>
    <x v="1"/>
    <n v="22"/>
    <n v="1"/>
    <n v="0"/>
    <n v="0"/>
    <n v="0"/>
    <n v="1976.1811281245909"/>
    <m/>
    <n v="19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761811281245899E-2"/>
    <n v="15100000"/>
    <n v="7.6410000000000006E-2"/>
    <x v="3"/>
    <s v="Todo bien"/>
    <x v="0"/>
    <x v="1"/>
    <n v="860.8249952349164"/>
    <x v="1"/>
    <x v="2"/>
    <s v="Pequeña"/>
    <x v="1"/>
    <n v="1976.1811281245909"/>
  </r>
  <r>
    <s v="Bestech Park View City"/>
    <x v="58"/>
    <n v="11713"/>
    <n v="3"/>
    <x v="2"/>
    <x v="0"/>
    <s v=" Sector 48 Gurgaon"/>
    <n v="0"/>
    <n v="0"/>
    <n v="3"/>
    <n v="7"/>
    <n v="3"/>
    <x v="1"/>
    <n v="14"/>
    <n v="1"/>
    <n v="1"/>
    <n v="0"/>
    <n v="0"/>
    <n v="1295.9824543913867"/>
    <n v="2000"/>
    <n v="23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5"/>
    <n v="1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305131050969E-2"/>
    <n v="27000000"/>
    <n v="0.11713"/>
    <x v="5"/>
    <s v="Todo bien"/>
    <x v="1"/>
    <x v="5"/>
    <n v="1004.1156641594772"/>
    <x v="1"/>
    <x v="2"/>
    <s v="Grande"/>
    <x v="2"/>
    <n v="2305.1310509690088"/>
  </r>
  <r>
    <s v="La Vida by Tata Housing"/>
    <x v="84"/>
    <n v="12444"/>
    <n v="4"/>
    <x v="2"/>
    <x v="0"/>
    <s v=" Sector 113 Gurgaon"/>
    <n v="0"/>
    <n v="0"/>
    <n v="4"/>
    <n v="11"/>
    <n v="3"/>
    <x v="2"/>
    <n v="25"/>
    <n v="1"/>
    <n v="1"/>
    <n v="0"/>
    <n v="0"/>
    <n v="2150.162715016271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9"/>
    <n v="1"/>
    <n v="0"/>
    <n v="0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2.6920604307296599E-2"/>
    <n v="33500000"/>
    <n v="0.12444"/>
    <x v="5"/>
    <s v="Todo bien"/>
    <x v="1"/>
    <x v="5"/>
    <n v="1172.6621990638021"/>
    <x v="1"/>
    <x v="2"/>
    <s v="Pequeña"/>
    <x v="0"/>
    <n v="2692.060430729669"/>
  </r>
  <r>
    <s v="Tulip Violet"/>
    <x v="78"/>
    <n v="10714"/>
    <n v="3"/>
    <x v="2"/>
    <x v="0"/>
    <s v=" Sector 69 Gurgaon"/>
    <n v="0"/>
    <n v="0"/>
    <n v="3"/>
    <n v="8"/>
    <n v="2"/>
    <x v="1"/>
    <n v="14"/>
    <n v="0"/>
    <n v="0"/>
    <n v="1"/>
    <n v="0"/>
    <n v="1950.0780031201248"/>
    <m/>
    <n v="157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40003733432891E-2"/>
    <n v="15000000"/>
    <n v="0.10714"/>
    <x v="2"/>
    <s v="Todo bien"/>
    <x v="1"/>
    <x v="5"/>
    <n v="609.85661410304044"/>
    <x v="1"/>
    <x v="2"/>
    <s v="Pequeña"/>
    <x v="1"/>
    <n v="1400.0373343289154"/>
  </r>
  <r>
    <s v="Bestech Park View Grand Spa"/>
    <x v="18"/>
    <n v="8270"/>
    <n v="3"/>
    <x v="4"/>
    <x v="0"/>
    <s v=" Sector 81 Gurgaon"/>
    <n v="0"/>
    <n v="0"/>
    <n v="4"/>
    <n v="8"/>
    <n v="3"/>
    <x v="1"/>
    <n v="19"/>
    <n v="1"/>
    <n v="0"/>
    <n v="0"/>
    <n v="0"/>
    <n v="3269.7547683923704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6602176541716999E-2"/>
    <n v="22000000.000000004"/>
    <n v="8.2699999999999996E-2"/>
    <x v="3"/>
    <s v="Todo bien"/>
    <x v="1"/>
    <x v="5"/>
    <n v="1158.7914776058019"/>
    <x v="1"/>
    <x v="3"/>
    <s v="Pequeña"/>
    <x v="2"/>
    <n v="2660.2176541717054"/>
  </r>
  <r>
    <s v="DLF The Primus"/>
    <x v="161"/>
    <n v="11218"/>
    <n v="4"/>
    <x v="6"/>
    <x v="0"/>
    <s v=" Sector 82A Gurgaon"/>
    <n v="0"/>
    <n v="0"/>
    <n v="4"/>
    <n v="14"/>
    <n v="3"/>
    <x v="2"/>
    <n v="32"/>
    <n v="0"/>
    <n v="0"/>
    <n v="0"/>
    <n v="0"/>
    <n v="1557.0727033177627"/>
    <m/>
    <n v="227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2.2731324656801499E-2"/>
    <n v="25500000"/>
    <n v="0.11218"/>
    <x v="5"/>
    <s v="Todo bien"/>
    <x v="2"/>
    <x v="1"/>
    <n v="990.17707237920899"/>
    <x v="1"/>
    <x v="2"/>
    <s v="Pequeña"/>
    <x v="2"/>
    <n v="2273.1324656801567"/>
  </r>
  <r>
    <s v="Signature Global Synera"/>
    <x v="0"/>
    <n v="7525"/>
    <n v="2"/>
    <x v="2"/>
    <x v="0"/>
    <s v=" Sector 81 Gurgaon"/>
    <n v="0"/>
    <n v="0"/>
    <n v="2"/>
    <n v="6"/>
    <n v="2"/>
    <x v="0"/>
    <n v="14"/>
    <n v="0"/>
    <n v="0"/>
    <n v="0"/>
    <n v="1"/>
    <n v="2800.9851740957165"/>
    <m/>
    <m/>
    <n v="0"/>
    <n v="0"/>
    <n v="0"/>
    <n v="0"/>
    <n v="1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800664451826998E-3"/>
    <n v="4500000"/>
    <n v="7.5249999999999997E-2"/>
    <x v="0"/>
    <s v="Todo bien"/>
    <x v="1"/>
    <x v="0"/>
    <n v="260.49184439202554"/>
    <x v="0"/>
    <x v="3"/>
    <s v="Pequeña"/>
    <x v="0"/>
    <n v="598.00664451827242"/>
  </r>
  <r>
    <s v="Vatika Gurgaon "/>
    <x v="148"/>
    <n v="6801"/>
    <n v="3"/>
    <x v="5"/>
    <x v="0"/>
    <s v=" Sector 83 Gurgaon"/>
    <n v="0"/>
    <n v="0"/>
    <n v="3"/>
    <n v="14"/>
    <n v="2"/>
    <x v="1"/>
    <n v="18"/>
    <n v="0"/>
    <n v="0"/>
    <n v="0"/>
    <n v="0"/>
    <n v="1199.9494758115447"/>
    <m/>
    <n v="1735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0389648580999E-2"/>
    <n v="11800000"/>
    <n v="6.8010000000000001E-2"/>
    <x v="2"/>
    <s v="Todo bien"/>
    <x v="0"/>
    <x v="0"/>
    <n v="755.7834084134646"/>
    <x v="1"/>
    <x v="0"/>
    <s v="Pequeña"/>
    <x v="1"/>
    <n v="1735.038964858109"/>
  </r>
  <r>
    <s v="Alpha Corp GurgaonOne "/>
    <x v="28"/>
    <n v="6692"/>
    <n v="2"/>
    <x v="0"/>
    <x v="0"/>
    <s v=" Sector 84 Gurgaon"/>
    <n v="0"/>
    <n v="0"/>
    <n v="2"/>
    <n v="6"/>
    <n v="3"/>
    <x v="0"/>
    <n v="26"/>
    <n v="0"/>
    <n v="0"/>
    <n v="0"/>
    <n v="0"/>
    <n v="1557.0934256055364"/>
    <m/>
    <n v="1270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7017334130304E-2"/>
    <n v="8500000"/>
    <n v="6.6919999999999993E-2"/>
    <x v="1"/>
    <s v="Todo bien"/>
    <x v="1"/>
    <x v="1"/>
    <n v="553.28782615809553"/>
    <x v="1"/>
    <x v="2"/>
    <s v="Pequeña"/>
    <x v="1"/>
    <n v="1270.1733413030486"/>
  </r>
  <r>
    <s v="Alpha Corp GurgaonOne "/>
    <x v="131"/>
    <n v="7590"/>
    <n v="3"/>
    <x v="3"/>
    <x v="0"/>
    <s v=" Sector 84 Gurgaon"/>
    <n v="0"/>
    <n v="0"/>
    <n v="3"/>
    <n v="6"/>
    <n v="3"/>
    <x v="1"/>
    <n v="26"/>
    <n v="1"/>
    <n v="0"/>
    <n v="0"/>
    <n v="0"/>
    <n v="1516.7930660888408"/>
    <m/>
    <n v="1963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31093544137002E-2"/>
    <n v="14900000"/>
    <n v="7.5899999999999995E-2"/>
    <x v="2"/>
    <s v="Todo bien"/>
    <x v="0"/>
    <x v="1"/>
    <n v="855.13092732674488"/>
    <x v="1"/>
    <x v="2"/>
    <s v="Pequeña"/>
    <x v="1"/>
    <n v="1963.1093544137022"/>
  </r>
  <r>
    <s v="Parsvnath Exotica"/>
    <x v="156"/>
    <n v="19174"/>
    <n v="4"/>
    <x v="8"/>
    <x v="0"/>
    <s v=" Sector 53 Gurgaon"/>
    <n v="0"/>
    <n v="0"/>
    <n v="5"/>
    <n v="10"/>
    <n v="3"/>
    <x v="2"/>
    <n v="18"/>
    <n v="1"/>
    <n v="1"/>
    <n v="1"/>
    <n v="0"/>
    <n v="474.04598246029866"/>
    <n v="3000"/>
    <n v="33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7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39000730155418E-2"/>
    <n v="65000000"/>
    <n v="0.19173999999999999"/>
    <x v="6"/>
    <s v="Todo bien"/>
    <x v="1"/>
    <x v="5"/>
    <n v="1476.6880311098328"/>
    <x v="1"/>
    <x v="1"/>
    <s v="Muy grande"/>
    <x v="3"/>
    <n v="3390.007301554188"/>
  </r>
  <r>
    <s v="Sare Homes"/>
    <x v="148"/>
    <n v="5207"/>
    <n v="4"/>
    <x v="5"/>
    <x v="0"/>
    <s v=" Sector 92 Gurgaon"/>
    <n v="0"/>
    <n v="0"/>
    <n v="4"/>
    <n v="8"/>
    <n v="3"/>
    <x v="2"/>
    <n v="21"/>
    <n v="1"/>
    <n v="0"/>
    <n v="0"/>
    <n v="0"/>
    <n v="100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61801421163801E-2"/>
    <n v="11800000"/>
    <n v="5.2069999999999998E-2"/>
    <x v="2"/>
    <s v="Todo bien"/>
    <x v="0"/>
    <x v="5"/>
    <n v="987.14863849049289"/>
    <x v="1"/>
    <x v="0"/>
    <s v="Pequeña"/>
    <x v="0"/>
    <n v="2266.1801421163818"/>
  </r>
  <r>
    <s v="Sare Homes"/>
    <x v="42"/>
    <n v="5252"/>
    <n v="3"/>
    <x v="7"/>
    <x v="0"/>
    <s v=" Sector 92 Gurgaon"/>
    <n v="0"/>
    <n v="0"/>
    <n v="3"/>
    <n v="7"/>
    <n v="3"/>
    <x v="1"/>
    <n v="21"/>
    <n v="0"/>
    <n v="1"/>
    <n v="0"/>
    <n v="0"/>
    <n v="1665.0016650016648"/>
    <m/>
    <m/>
    <n v="1"/>
    <n v="1"/>
    <n v="1"/>
    <n v="1"/>
    <n v="0"/>
    <n v="0"/>
    <n v="0"/>
    <n v="1"/>
    <n v="0"/>
    <n v="1"/>
    <n v="1"/>
    <n v="1"/>
    <n v="1"/>
    <n v="0"/>
    <n v="1"/>
    <n v="1"/>
    <n v="0"/>
    <n v="5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232292460015199E-2"/>
    <n v="8000000"/>
    <n v="5.2519999999999997E-2"/>
    <x v="1"/>
    <s v="Todo bien"/>
    <x v="1"/>
    <x v="5"/>
    <n v="663.51904173647995"/>
    <x v="1"/>
    <x v="2"/>
    <s v="Pequeña"/>
    <x v="0"/>
    <n v="1523.2292460015233"/>
  </r>
  <r>
    <s v="Vatika Gurgaon "/>
    <x v="113"/>
    <n v="8875"/>
    <n v="4"/>
    <x v="6"/>
    <x v="0"/>
    <s v=" Sector 83 Gurgaon"/>
    <n v="0"/>
    <n v="0"/>
    <n v="4"/>
    <n v="7"/>
    <n v="3"/>
    <x v="2"/>
    <n v="14"/>
    <n v="1"/>
    <n v="1"/>
    <n v="0"/>
    <n v="0"/>
    <n v="726.01362671730146"/>
    <n v="2000"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4200000"/>
    <n v="8.8749999999999996E-2"/>
    <x v="2"/>
    <s v="Todo bien"/>
    <x v="0"/>
    <x v="5"/>
    <n v="696.96040144000006"/>
    <x v="1"/>
    <x v="0"/>
    <s v="Grande"/>
    <x v="2"/>
    <n v="1600"/>
  </r>
  <r>
    <s v="MM Golfestate"/>
    <x v="227"/>
    <n v="16666"/>
    <n v="3"/>
    <x v="4"/>
    <x v="0"/>
    <s v=" Sector 65 Gurgaon"/>
    <n v="0"/>
    <n v="0"/>
    <n v="3"/>
    <n v="2"/>
    <n v="3"/>
    <x v="1"/>
    <n v="40"/>
    <n v="1"/>
    <n v="0"/>
    <n v="0"/>
    <n v="0"/>
    <n v="3462.1578099838966"/>
    <n v="3245"/>
    <n v="324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3.00012000480019E-2"/>
    <n v="50000000"/>
    <n v="0.16666"/>
    <x v="4"/>
    <s v="Todo bien"/>
    <x v="1"/>
    <x v="5"/>
    <n v="1306.853026821072"/>
    <x v="1"/>
    <x v="3"/>
    <s v="Muy grande"/>
    <x v="3"/>
    <n v="3000.120004800192"/>
  </r>
  <r>
    <s v="DLF The Skycourt"/>
    <x v="252"/>
    <n v="8916"/>
    <n v="3"/>
    <x v="5"/>
    <x v="0"/>
    <s v=" Sector 86 Gurgaon"/>
    <n v="0"/>
    <n v="0"/>
    <n v="3"/>
    <n v="8"/>
    <n v="1"/>
    <x v="1"/>
    <n v="19"/>
    <n v="0"/>
    <n v="0"/>
    <n v="0"/>
    <n v="0"/>
    <n v="1929.1161956034096"/>
    <m/>
    <n v="192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5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9291161956034E-2"/>
    <n v="17200000"/>
    <n v="8.9160000000000003E-2"/>
    <x v="3"/>
    <s v="Todo bien"/>
    <x v="1"/>
    <x v="1"/>
    <n v="840.32349882009453"/>
    <x v="1"/>
    <x v="2"/>
    <s v="Pequeña"/>
    <x v="1"/>
    <n v="1929.1161956034096"/>
  </r>
  <r>
    <s v="Emaar Emerald Hills"/>
    <x v="82"/>
    <n v="13928"/>
    <n v="3"/>
    <x v="2"/>
    <x v="2"/>
    <s v=" Sector 65 Gurgaon"/>
    <n v="0"/>
    <n v="0"/>
    <n v="3"/>
    <n v="1"/>
    <n v="3"/>
    <x v="1"/>
    <n v="2"/>
    <n v="0"/>
    <n v="0"/>
    <n v="0"/>
    <n v="1"/>
    <n v="2149.9491830193106"/>
    <m/>
    <m/>
    <n v="1"/>
    <n v="1"/>
    <n v="1"/>
    <n v="1"/>
    <n v="1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0"/>
    <x v="0"/>
    <x v="1"/>
    <n v="1"/>
    <n v="2"/>
    <n v="1"/>
    <n v="3"/>
    <n v="1"/>
    <n v="1"/>
    <n v="1"/>
    <n v="0"/>
    <n v="1"/>
    <n v="1"/>
    <n v="1"/>
    <n v="1"/>
    <n v="0"/>
    <n v="0"/>
    <n v="1"/>
    <n v="3"/>
    <n v="1"/>
    <n v="1"/>
    <n v="0"/>
    <n v="0"/>
    <n v="0"/>
    <n v="0"/>
    <n v="0"/>
    <n v="1"/>
    <n v="1.40005743825387E-2"/>
    <n v="19500000"/>
    <n v="0.13927999999999999"/>
    <x v="3"/>
    <s v="Todo bien"/>
    <x v="2"/>
    <x v="5"/>
    <n v="609.86537137779703"/>
    <x v="1"/>
    <x v="2"/>
    <s v="Pequeña"/>
    <x v="0"/>
    <n v="1400.0574382538773"/>
  </r>
  <r>
    <s v="Mapsko Paradise"/>
    <x v="29"/>
    <n v="5597"/>
    <n v="3"/>
    <x v="5"/>
    <x v="2"/>
    <s v=" Sector 83 Gurgaon"/>
    <n v="0"/>
    <n v="0"/>
    <n v="3"/>
    <n v="10"/>
    <n v="3"/>
    <x v="1"/>
    <n v="12"/>
    <n v="0"/>
    <n v="0"/>
    <n v="0"/>
    <n v="0"/>
    <n v="1700.1983564749221"/>
    <m/>
    <n v="13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4000357334286E-2"/>
    <n v="7500000"/>
    <n v="5.5969999999999999E-2"/>
    <x v="1"/>
    <s v="Todo bien"/>
    <x v="1"/>
    <x v="1"/>
    <n v="583.70589275504642"/>
    <x v="1"/>
    <x v="2"/>
    <s v="Pequeña"/>
    <x v="1"/>
    <n v="1340.0035733428622"/>
  </r>
  <r>
    <s v="BPTP Terra"/>
    <x v="252"/>
    <n v="7850"/>
    <n v="3"/>
    <x v="3"/>
    <x v="0"/>
    <s v=" Sector 37D Gurgaon"/>
    <n v="0"/>
    <n v="0"/>
    <n v="3"/>
    <n v="10"/>
    <n v="3"/>
    <x v="1"/>
    <n v="23"/>
    <n v="1"/>
    <n v="0"/>
    <n v="0"/>
    <n v="0"/>
    <n v="2191.0828025477708"/>
    <m/>
    <n v="2191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8280254777E-2"/>
    <n v="17200000"/>
    <n v="7.85E-2"/>
    <x v="3"/>
    <s v="Todo bien"/>
    <x v="0"/>
    <x v="2"/>
    <n v="954.43621853248385"/>
    <x v="1"/>
    <x v="2"/>
    <s v="Pequeña"/>
    <x v="2"/>
    <n v="2191.0828025477708"/>
  </r>
  <r>
    <s v="Adani MK Oyster Grande"/>
    <x v="51"/>
    <n v="7817"/>
    <n v="4"/>
    <x v="2"/>
    <x v="0"/>
    <s v=" Sector 102 Gurgaon"/>
    <n v="0"/>
    <n v="0"/>
    <n v="5"/>
    <n v="10"/>
    <n v="3"/>
    <x v="2"/>
    <n v="24"/>
    <n v="1"/>
    <n v="0"/>
    <n v="1"/>
    <n v="0"/>
    <n v="730.06022996897241"/>
    <n v="2600"/>
    <n v="319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9815786107202E-2"/>
    <n v="25000000"/>
    <n v="7.8170000000000003E-2"/>
    <x v="3"/>
    <s v="Todo bien"/>
    <x v="1"/>
    <x v="5"/>
    <n v="1393.1183667007795"/>
    <x v="1"/>
    <x v="0"/>
    <s v="Muy grande"/>
    <x v="3"/>
    <n v="3198.1578610720226"/>
  </r>
  <r>
    <s v="Emaar Imperial Gardens"/>
    <x v="74"/>
    <n v="8395"/>
    <n v="3"/>
    <x v="2"/>
    <x v="0"/>
    <s v=" Sector 102 Gurgaon"/>
    <n v="0"/>
    <n v="0"/>
    <n v="4"/>
    <n v="8"/>
    <n v="3"/>
    <x v="1"/>
    <n v="14"/>
    <n v="1"/>
    <n v="0"/>
    <n v="1"/>
    <n v="0"/>
    <n v="3400"/>
    <n v="1750"/>
    <n v="20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0148898153599E-2"/>
    <n v="17000000"/>
    <n v="8.3949999999999997E-2"/>
    <x v="3"/>
    <s v="Todo bien"/>
    <x v="1"/>
    <x v="5"/>
    <n v="882.09699407980668"/>
    <x v="1"/>
    <x v="3"/>
    <s v="Mediana"/>
    <x v="2"/>
    <n v="2025.0148898153664"/>
  </r>
  <r>
    <s v="Unitech Fresco"/>
    <x v="253"/>
    <n v="8532"/>
    <n v="2"/>
    <x v="4"/>
    <x v="5"/>
    <s v=" Nirvana Country"/>
    <n v="0"/>
    <n v="0"/>
    <n v="2"/>
    <n v="19"/>
    <n v="2"/>
    <x v="0"/>
    <n v="19"/>
    <n v="0"/>
    <n v="0"/>
    <n v="0"/>
    <n v="0"/>
    <n v="1799.9006951340614"/>
    <n v="1330"/>
    <n v="13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4"/>
    <n v="1"/>
    <n v="2"/>
    <n v="1"/>
    <n v="0"/>
    <n v="0"/>
    <n v="0"/>
    <n v="1"/>
    <n v="2"/>
    <n v="1"/>
    <n v="0"/>
    <n v="0"/>
    <n v="0"/>
    <n v="1"/>
    <n v="3"/>
    <n v="1"/>
    <n v="1"/>
    <n v="0"/>
    <n v="0"/>
    <n v="0"/>
    <n v="0"/>
    <n v="0"/>
    <n v="2"/>
    <n v="1.33614627285513E-2"/>
    <n v="11400000"/>
    <n v="8.5319999999999993E-2"/>
    <x v="2"/>
    <s v="Todo bien"/>
    <x v="1"/>
    <x v="5"/>
    <n v="582.02565169479453"/>
    <x v="1"/>
    <x v="2"/>
    <s v="Mediana"/>
    <x v="1"/>
    <n v="1336.1462728551337"/>
  </r>
  <r>
    <s v="Ansal Maple Crescent"/>
    <x v="12"/>
    <n v="10037"/>
    <n v="3"/>
    <x v="8"/>
    <x v="1"/>
    <s v=" Sushant Lok Phase 1"/>
    <n v="0"/>
    <n v="0"/>
    <n v="3"/>
    <n v="2"/>
    <n v="3"/>
    <x v="1"/>
    <n v="13"/>
    <n v="0"/>
    <n v="0"/>
    <n v="0"/>
    <n v="0"/>
    <n v="1100.0091667430561"/>
    <n v="1320"/>
    <n v="1345"/>
    <n v="0"/>
    <n v="0"/>
    <n v="1"/>
    <n v="1"/>
    <n v="0"/>
    <n v="0"/>
    <n v="0"/>
    <n v="1"/>
    <n v="0"/>
    <n v="1"/>
    <n v="1"/>
    <n v="1"/>
    <n v="1"/>
    <n v="1"/>
    <n v="1"/>
    <n v="0"/>
    <n v="0"/>
    <n v="38"/>
    <x v="0"/>
    <x v="0"/>
    <x v="0"/>
    <x v="0"/>
    <x v="0"/>
    <x v="0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4502341337052E-2"/>
    <n v="13500000"/>
    <n v="0.10037"/>
    <x v="2"/>
    <s v="Todo bien"/>
    <x v="1"/>
    <x v="3"/>
    <n v="585.89253633057297"/>
    <x v="1"/>
    <x v="0"/>
    <s v="Mediana"/>
    <x v="1"/>
    <n v="1345.0234133705289"/>
  </r>
  <r>
    <s v="Prime Habitat"/>
    <x v="254"/>
    <n v="6049"/>
    <n v="2"/>
    <x v="8"/>
    <x v="0"/>
    <s v=" Sector 99A Gurgaon"/>
    <n v="0"/>
    <n v="0"/>
    <n v="2"/>
    <n v="10"/>
    <n v="1"/>
    <x v="0"/>
    <n v="12"/>
    <n v="0"/>
    <n v="0"/>
    <n v="0"/>
    <n v="0"/>
    <n v="1266.6666666666667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800793519589998E-3"/>
    <n v="2710000"/>
    <n v="6.0490000000000002E-2"/>
    <x v="0"/>
    <s v="Todo bien"/>
    <x v="0"/>
    <x v="3"/>
    <n v="195.152368976525"/>
    <x v="0"/>
    <x v="2"/>
    <s v="Pequeña"/>
    <x v="0"/>
    <n v="448.00793519590013"/>
  </r>
  <r>
    <s v="DLF New Town Heights "/>
    <x v="100"/>
    <n v="5942"/>
    <n v="4"/>
    <x v="3"/>
    <x v="0"/>
    <s v=" Sector 86 Gurgaon"/>
    <n v="0"/>
    <n v="0"/>
    <n v="4"/>
    <n v="20"/>
    <n v="3"/>
    <x v="2"/>
    <n v="22"/>
    <n v="1"/>
    <n v="0"/>
    <n v="1"/>
    <n v="0"/>
    <n v="2356.1090541905082"/>
    <m/>
    <n v="235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61090541905E-2"/>
    <n v="14000000"/>
    <n v="5.9420000000000001E-2"/>
    <x v="2"/>
    <s v="Todo bien"/>
    <x v="0"/>
    <x v="3"/>
    <n v="1026.3216951531435"/>
    <x v="1"/>
    <x v="2"/>
    <s v="Pequeña"/>
    <x v="2"/>
    <n v="2356.1090541905082"/>
  </r>
  <r>
    <s v="DLF New Town Heights "/>
    <x v="43"/>
    <n v="6476"/>
    <n v="3"/>
    <x v="6"/>
    <x v="0"/>
    <s v=" Sector 86 Gurgaon"/>
    <n v="0"/>
    <n v="0"/>
    <n v="4"/>
    <n v="2"/>
    <n v="3"/>
    <x v="1"/>
    <n v="22"/>
    <n v="1"/>
    <n v="0"/>
    <n v="1"/>
    <n v="0"/>
    <n v="1930.2038295243979"/>
    <m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3"/>
    <n v="840.79727242896513"/>
    <x v="1"/>
    <x v="2"/>
    <s v="Pequeña"/>
    <x v="1"/>
    <n v="1930.2038295243979"/>
  </r>
  <r>
    <s v="SS The Leaf"/>
    <x v="148"/>
    <n v="10727"/>
    <n v="2"/>
    <x v="2"/>
    <x v="0"/>
    <s v=" Sector 85 Gurgaon"/>
    <n v="0"/>
    <n v="0"/>
    <n v="2"/>
    <n v="9"/>
    <n v="3"/>
    <x v="0"/>
    <n v="26"/>
    <n v="0"/>
    <n v="1"/>
    <n v="0"/>
    <n v="0"/>
    <n v="760.94591430578328"/>
    <n v="1700"/>
    <n v="174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10002796681271E-2"/>
    <n v="11800000"/>
    <n v="0.10727"/>
    <x v="2"/>
    <s v="Todo bien"/>
    <x v="1"/>
    <x v="5"/>
    <n v="479.1724583406334"/>
    <x v="0"/>
    <x v="0"/>
    <s v="Mediana"/>
    <x v="1"/>
    <n v="1100.0279668127155"/>
  </r>
  <r>
    <s v="SS The Leaf"/>
    <x v="8"/>
    <n v="9565"/>
    <n v="2"/>
    <x v="0"/>
    <x v="0"/>
    <s v=" Sector 85 Gurgaon"/>
    <n v="0"/>
    <n v="0"/>
    <n v="2"/>
    <n v="10"/>
    <n v="3"/>
    <x v="0"/>
    <n v="26"/>
    <n v="0"/>
    <n v="0"/>
    <n v="1"/>
    <n v="0"/>
    <n v="300.9781790820166"/>
    <n v="1600"/>
    <n v="164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11000000"/>
    <n v="9.5649999999999999E-2"/>
    <x v="2"/>
    <s v="Todo bien"/>
    <x v="0"/>
    <x v="5"/>
    <n v="500.95167380031018"/>
    <x v="1"/>
    <x v="1"/>
    <s v="Mediana"/>
    <x v="1"/>
    <n v="1150.0261369576581"/>
  </r>
  <r>
    <s v="MM Woodshire"/>
    <x v="255"/>
    <n v="6227"/>
    <n v="3"/>
    <x v="4"/>
    <x v="5"/>
    <s v=" Sector 107 Gurgaon"/>
    <n v="0"/>
    <n v="0"/>
    <n v="3"/>
    <n v="7"/>
    <n v="3"/>
    <x v="1"/>
    <n v="14"/>
    <n v="0"/>
    <n v="0"/>
    <n v="0"/>
    <n v="0"/>
    <n v="950.00593753710973"/>
    <m/>
    <n v="194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31507949253201E-2"/>
    <n v="12100000"/>
    <n v="6.2269999999999999E-2"/>
    <x v="2"/>
    <s v="Todo bien"/>
    <x v="1"/>
    <x v="5"/>
    <n v="846.43697380600395"/>
    <x v="1"/>
    <x v="0"/>
    <s v="Pequeña"/>
    <x v="1"/>
    <n v="1943.1507949253253"/>
  </r>
  <r>
    <s v="Indiabulls Enigma"/>
    <x v="129"/>
    <n v="10147"/>
    <n v="4"/>
    <x v="5"/>
    <x v="5"/>
    <s v=" Sector 110 Gurgaon"/>
    <n v="0"/>
    <n v="0"/>
    <n v="4"/>
    <n v="9"/>
    <n v="3"/>
    <x v="2"/>
    <n v="20"/>
    <n v="1"/>
    <n v="0"/>
    <n v="0"/>
    <n v="0"/>
    <n v="3400.0197102591897"/>
    <m/>
    <n v="34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197102591799E-2"/>
    <n v="34500000"/>
    <n v="0.10147"/>
    <x v="5"/>
    <s v="Todo bien"/>
    <x v="1"/>
    <x v="4"/>
    <n v="1481.0494388538441"/>
    <x v="1"/>
    <x v="3"/>
    <s v="Pequeña"/>
    <x v="3"/>
    <n v="3400.0197102591897"/>
  </r>
  <r>
    <s v="Shapoorji Pallonji Joyville Gurugram"/>
    <x v="82"/>
    <n v="10529"/>
    <n v="3"/>
    <x v="2"/>
    <x v="0"/>
    <s v=" Sector 102 Gurgaon"/>
    <n v="0"/>
    <n v="0"/>
    <n v="3"/>
    <n v="10"/>
    <n v="3"/>
    <x v="1"/>
    <n v="26"/>
    <n v="0"/>
    <n v="0"/>
    <n v="0"/>
    <n v="0"/>
    <n v="1852.0277329281034"/>
    <m/>
    <n v="1852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77329281E-2"/>
    <n v="19500000"/>
    <n v="0.10528999999999999"/>
    <x v="3"/>
    <s v="Todo bien"/>
    <x v="0"/>
    <x v="4"/>
    <n v="806.74374513723865"/>
    <x v="1"/>
    <x v="2"/>
    <s v="Pequeña"/>
    <x v="1"/>
    <n v="1852.0277329281034"/>
  </r>
  <r>
    <s v="Puri Diplomatic Greens"/>
    <x v="141"/>
    <n v="12372"/>
    <n v="4"/>
    <x v="0"/>
    <x v="5"/>
    <s v=" Sector 111 Gurgaon"/>
    <n v="0"/>
    <n v="0"/>
    <n v="5"/>
    <n v="17"/>
    <n v="3"/>
    <x v="2"/>
    <n v="21"/>
    <n v="1"/>
    <n v="0"/>
    <n v="0"/>
    <n v="0"/>
    <n v="2950.2101519560297"/>
    <m/>
    <n v="29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21015195602E-2"/>
    <n v="36500000"/>
    <n v="0.12372"/>
    <x v="5"/>
    <s v="Todo bien"/>
    <x v="1"/>
    <x v="5"/>
    <n v="1285.1122823997696"/>
    <x v="1"/>
    <x v="3"/>
    <s v="Pequeña"/>
    <x v="2"/>
    <n v="2950.2101519560297"/>
  </r>
  <r>
    <s v="DLF Regency Park "/>
    <x v="133"/>
    <n v="11817"/>
    <n v="3"/>
    <x v="2"/>
    <x v="5"/>
    <s v=" DLF Phase 4"/>
    <n v="0"/>
    <n v="0"/>
    <n v="3"/>
    <n v="7"/>
    <n v="3"/>
    <x v="1"/>
    <n v="21"/>
    <n v="1"/>
    <n v="0"/>
    <n v="0"/>
    <n v="0"/>
    <n v="1946.3484810019463"/>
    <n v="1777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9463484810019398E-2"/>
    <n v="23000000"/>
    <n v="0.11817"/>
    <x v="3"/>
    <s v="Todo bien"/>
    <x v="0"/>
    <x v="4"/>
    <n v="847.8298866632789"/>
    <x v="1"/>
    <x v="2"/>
    <s v="Mediana"/>
    <x v="0"/>
    <n v="1946.3484810019463"/>
  </r>
  <r>
    <s v="Emaar MGF The Palm Drive"/>
    <x v="107"/>
    <n v="15454"/>
    <n v="3"/>
    <x v="4"/>
    <x v="0"/>
    <s v=" Sector 66 Gurgaon"/>
    <n v="0"/>
    <n v="0"/>
    <n v="4"/>
    <n v="9"/>
    <n v="3"/>
    <x v="1"/>
    <n v="17"/>
    <n v="1"/>
    <n v="0"/>
    <n v="0"/>
    <n v="1"/>
    <n v="2200.0776497994048"/>
    <m/>
    <n v="22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2000776497994E-2"/>
    <n v="34000000"/>
    <n v="0.15454000000000001"/>
    <x v="5"/>
    <s v="Todo bien"/>
    <x v="1"/>
    <x v="4"/>
    <n v="958.35437625210102"/>
    <x v="1"/>
    <x v="2"/>
    <s v="Pequeña"/>
    <x v="2"/>
    <n v="2200.0776497994048"/>
  </r>
  <r>
    <s v="Eldeco Accolade"/>
    <x v="253"/>
    <n v="6530"/>
    <n v="3"/>
    <x v="4"/>
    <x v="0"/>
    <s v=" Sohna"/>
    <n v="0"/>
    <n v="0"/>
    <n v="3"/>
    <n v="4"/>
    <n v="3"/>
    <x v="1"/>
    <n v="18"/>
    <n v="0"/>
    <n v="0"/>
    <n v="0"/>
    <n v="0"/>
    <n v="1415.3245485602731"/>
    <m/>
    <n v="175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457886676875901E-2"/>
    <n v="11400000"/>
    <n v="6.5299999999999997E-2"/>
    <x v="2"/>
    <s v="Todo bien"/>
    <x v="1"/>
    <x v="5"/>
    <n v="760.46598166309104"/>
    <x v="1"/>
    <x v="2"/>
    <s v="Pequeña"/>
    <x v="1"/>
    <n v="1745.7886676875958"/>
  </r>
  <r>
    <s v="Eldeco Accolade"/>
    <x v="256"/>
    <n v="6571"/>
    <n v="2"/>
    <x v="4"/>
    <x v="0"/>
    <s v=" Sohna"/>
    <n v="0"/>
    <n v="0"/>
    <n v="2"/>
    <n v="14"/>
    <n v="3"/>
    <x v="0"/>
    <n v="18"/>
    <n v="0"/>
    <n v="1"/>
    <n v="0"/>
    <n v="0"/>
    <n v="2675.1993285774233"/>
    <m/>
    <n v="145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71602495814901E-2"/>
    <n v="9575000"/>
    <n v="6.5710000000000005E-2"/>
    <x v="1"/>
    <s v="Todo bien"/>
    <x v="0"/>
    <x v="5"/>
    <n v="634.73937031920377"/>
    <x v="1"/>
    <x v="3"/>
    <s v="Pequeña"/>
    <x v="1"/>
    <n v="1457.1602495814943"/>
  </r>
  <r>
    <s v="La Vida by Tata Housing"/>
    <x v="200"/>
    <n v="15561"/>
    <n v="3"/>
    <x v="7"/>
    <x v="0"/>
    <s v=" Sector 113 Gurgaon"/>
    <n v="0"/>
    <n v="0"/>
    <n v="4"/>
    <n v="3"/>
    <n v="3"/>
    <x v="1"/>
    <n v="25"/>
    <n v="1"/>
    <n v="0"/>
    <n v="0"/>
    <n v="0"/>
    <n v="1950.0780031201248"/>
    <n v="21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600282758177399E-2"/>
    <n v="30500000"/>
    <n v="0.15561"/>
    <x v="5"/>
    <s v="Todo bien"/>
    <x v="0"/>
    <x v="5"/>
    <n v="853.788808717302"/>
    <x v="1"/>
    <x v="2"/>
    <s v="Grande"/>
    <x v="2"/>
    <n v="1960.0282758177495"/>
  </r>
  <r>
    <s v="La Vida by Tata Housing"/>
    <x v="168"/>
    <n v="13352"/>
    <n v="3"/>
    <x v="0"/>
    <x v="0"/>
    <s v=" Sector 113 Gurgaon"/>
    <n v="0"/>
    <n v="0"/>
    <n v="4"/>
    <n v="3"/>
    <n v="3"/>
    <x v="1"/>
    <n v="25"/>
    <n v="1"/>
    <n v="0"/>
    <n v="0"/>
    <n v="0"/>
    <n v="1549.0426916165809"/>
    <n v="193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600359496704601E-2"/>
    <n v="23500000"/>
    <n v="0.13352"/>
    <x v="3"/>
    <s v="Todo bien"/>
    <x v="0"/>
    <x v="5"/>
    <n v="766.67210126947225"/>
    <x v="1"/>
    <x v="2"/>
    <s v="Grande"/>
    <x v="2"/>
    <n v="1760.0359496704614"/>
  </r>
  <r>
    <s v="Pareena Coban Residences"/>
    <x v="16"/>
    <n v="6774"/>
    <n v="2"/>
    <x v="4"/>
    <x v="0"/>
    <s v=" Sector 99A Gurgaon"/>
    <n v="0"/>
    <n v="0"/>
    <n v="2"/>
    <n v="2"/>
    <n v="3"/>
    <x v="0"/>
    <n v="20"/>
    <n v="0"/>
    <n v="1"/>
    <n v="0"/>
    <n v="0"/>
    <n v="1899.9366687777074"/>
    <n v="1390"/>
    <n v="15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5004428697962E-2"/>
    <n v="10500000"/>
    <n v="6.7739999999999995E-2"/>
    <x v="2"/>
    <s v="Todo bien"/>
    <x v="0"/>
    <x v="1"/>
    <n v="675.19968031443409"/>
    <x v="1"/>
    <x v="2"/>
    <s v="Mediana"/>
    <x v="1"/>
    <n v="1550.0442869796282"/>
  </r>
  <r>
    <s v="Pareena Coban Residences"/>
    <x v="257"/>
    <n v="8793"/>
    <n v="2"/>
    <x v="5"/>
    <x v="0"/>
    <s v=" Sector 99A Gurgaon"/>
    <n v="0"/>
    <n v="0"/>
    <n v="2"/>
    <n v="3"/>
    <n v="3"/>
    <x v="0"/>
    <n v="20"/>
    <n v="0"/>
    <n v="1"/>
    <n v="0"/>
    <n v="0"/>
    <n v="1587.0216892964204"/>
    <n v="1430"/>
    <n v="15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6001364721937E-2"/>
    <n v="10200000"/>
    <n v="8.7929999999999994E-2"/>
    <x v="2"/>
    <s v="Todo bien"/>
    <x v="0"/>
    <x v="5"/>
    <n v="505.30223577618165"/>
    <x v="1"/>
    <x v="2"/>
    <s v="Mediana"/>
    <x v="1"/>
    <n v="1160.0136472193792"/>
  </r>
  <r>
    <s v="Pareena Coban Residences"/>
    <x v="85"/>
    <n v="6625"/>
    <n v="3"/>
    <x v="0"/>
    <x v="0"/>
    <s v=" Sector 99A Gurgaon"/>
    <n v="0"/>
    <n v="0"/>
    <n v="5"/>
    <n v="2"/>
    <n v="3"/>
    <x v="1"/>
    <n v="20"/>
    <n v="1"/>
    <n v="0"/>
    <n v="0"/>
    <n v="0"/>
    <n v="3395.0306810180064"/>
    <n v="175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1886792452799E-2"/>
    <n v="10800000"/>
    <n v="6.6250000000000003E-2"/>
    <x v="2"/>
    <s v="Todo bien"/>
    <x v="1"/>
    <x v="1"/>
    <n v="710.1105976935836"/>
    <x v="1"/>
    <x v="3"/>
    <s v="Mediana"/>
    <x v="1"/>
    <n v="1630.1886792452829"/>
  </r>
  <r>
    <s v="Tata Gurgaon Gateway"/>
    <x v="68"/>
    <n v="10443"/>
    <n v="2"/>
    <x v="5"/>
    <x v="0"/>
    <s v=" Sector 113 Gurgaon"/>
    <n v="0"/>
    <n v="0"/>
    <n v="2"/>
    <n v="10"/>
    <n v="2"/>
    <x v="0"/>
    <n v="24"/>
    <n v="0"/>
    <n v="1"/>
    <n v="0"/>
    <n v="0"/>
    <n v="1675.7636694436464"/>
    <m/>
    <n v="1580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576366944364E-2"/>
    <n v="17500000"/>
    <n v="0.10443"/>
    <x v="3"/>
    <s v="Todo bien"/>
    <x v="0"/>
    <x v="3"/>
    <n v="729.96307485875434"/>
    <x v="1"/>
    <x v="2"/>
    <s v="Pequeña"/>
    <x v="1"/>
    <n v="1675.7636694436464"/>
  </r>
  <r>
    <s v="Tata Gurgaon Gateway"/>
    <x v="158"/>
    <n v="10786"/>
    <n v="3"/>
    <x v="5"/>
    <x v="0"/>
    <s v=" Sector 113 Gurgaon"/>
    <n v="0"/>
    <n v="0"/>
    <n v="3"/>
    <n v="8"/>
    <n v="3"/>
    <x v="1"/>
    <n v="24"/>
    <n v="0"/>
    <n v="0"/>
    <n v="0"/>
    <n v="0"/>
    <n v="2271.4630076024478"/>
    <m/>
    <n v="2225"/>
    <n v="0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14630076024402E-2"/>
    <n v="24500000.000000004"/>
    <n v="0.10786"/>
    <x v="3"/>
    <s v="Todo bien"/>
    <x v="0"/>
    <x v="4"/>
    <n v="989.44985602169163"/>
    <x v="1"/>
    <x v="2"/>
    <s v="Pequeña"/>
    <x v="2"/>
    <n v="2271.4630076024478"/>
  </r>
  <r>
    <s v="Tata Gurgaon Gateway"/>
    <x v="169"/>
    <n v="9139"/>
    <n v="5"/>
    <x v="5"/>
    <x v="5"/>
    <s v=" Sector 113 Gurgaon"/>
    <n v="0"/>
    <n v="0"/>
    <n v="6"/>
    <n v="24"/>
    <n v="3"/>
    <x v="4"/>
    <n v="24"/>
    <n v="0"/>
    <n v="0"/>
    <n v="0"/>
    <n v="0"/>
    <n v="1779.8872738059924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652697231644602E-2"/>
    <n v="60000000"/>
    <n v="9.1389999999999999E-2"/>
    <x v="4"/>
    <s v="Todo bien"/>
    <x v="0"/>
    <x v="4"/>
    <n v="2859.8331386366126"/>
    <x v="2"/>
    <x v="2"/>
    <s v="Pequeña"/>
    <x v="0"/>
    <n v="6565.2697231644597"/>
  </r>
  <r>
    <s v="ATS Kocoon"/>
    <x v="235"/>
    <n v="9627"/>
    <n v="3"/>
    <x v="2"/>
    <x v="0"/>
    <s v=" Sector 109 Gurgaon"/>
    <n v="0"/>
    <n v="0"/>
    <n v="3"/>
    <n v="8"/>
    <n v="3"/>
    <x v="1"/>
    <n v="20"/>
    <n v="0"/>
    <n v="0"/>
    <n v="0"/>
    <n v="0"/>
    <n v="1745.0919289498288"/>
    <m/>
    <n v="174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919289498198E-2"/>
    <n v="16800000"/>
    <n v="9.6269999999999994E-2"/>
    <x v="3"/>
    <s v="Todo bien"/>
    <x v="0"/>
    <x v="5"/>
    <n v="760.16248209410651"/>
    <x v="1"/>
    <x v="2"/>
    <s v="Pequeña"/>
    <x v="1"/>
    <n v="1745.0919289498288"/>
  </r>
  <r>
    <s v="Shapoorji Pallonji Joyville Gurugram"/>
    <x v="192"/>
    <n v="10041"/>
    <n v="2"/>
    <x v="5"/>
    <x v="0"/>
    <s v=" Sector 102 Gurgaon"/>
    <n v="0"/>
    <n v="0"/>
    <n v="2"/>
    <n v="10"/>
    <n v="2"/>
    <x v="0"/>
    <n v="26"/>
    <n v="0"/>
    <n v="0"/>
    <n v="0"/>
    <n v="0"/>
    <n v="1254.85509411413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48550941141301E-2"/>
    <n v="12600000"/>
    <n v="0.10041"/>
    <x v="2"/>
    <s v="Todo bien"/>
    <x v="0"/>
    <x v="5"/>
    <n v="546.61519383925815"/>
    <x v="1"/>
    <x v="2"/>
    <s v="Pequeña"/>
    <x v="1"/>
    <n v="1254.855094114132"/>
  </r>
  <r>
    <s v="Conscient Heritage Max"/>
    <x v="258"/>
    <n v="9011"/>
    <n v="3"/>
    <x v="2"/>
    <x v="0"/>
    <s v=" Sector 102 Gurgaon"/>
    <n v="0"/>
    <n v="0"/>
    <n v="4"/>
    <n v="12"/>
    <n v="3"/>
    <x v="1"/>
    <n v="25"/>
    <n v="1"/>
    <n v="0"/>
    <n v="0"/>
    <n v="0"/>
    <n v="2019.7536344467874"/>
    <m/>
    <n v="1942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975363444678E-2"/>
    <n v="18200000"/>
    <n v="9.0109999999999996E-2"/>
    <x v="3"/>
    <s v="Todo bien"/>
    <x v="0"/>
    <x v="3"/>
    <n v="879.80518992120426"/>
    <x v="1"/>
    <x v="2"/>
    <s v="Pequeña"/>
    <x v="1"/>
    <n v="2019.7536344467874"/>
  </r>
  <r>
    <s v="Puri Diplomatic Greens"/>
    <x v="259"/>
    <n v="11727"/>
    <n v="3"/>
    <x v="4"/>
    <x v="0"/>
    <s v=" Sector 111 Gurgaon"/>
    <n v="0"/>
    <n v="0"/>
    <n v="4"/>
    <n v="9"/>
    <n v="2"/>
    <x v="1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x v="5"/>
    <s v="Todo bien"/>
    <x v="0"/>
    <x v="4"/>
    <n v="958.34283902276468"/>
    <x v="1"/>
    <x v="2"/>
    <s v="Pequeña"/>
    <x v="2"/>
    <n v="2200.0511639805577"/>
  </r>
  <r>
    <s v="La Vida by Tata Housing"/>
    <x v="68"/>
    <n v="10489"/>
    <n v="2"/>
    <x v="4"/>
    <x v="0"/>
    <s v=" Sector 113 Gurgaon"/>
    <n v="0"/>
    <n v="0"/>
    <n v="2"/>
    <n v="10"/>
    <n v="3"/>
    <x v="0"/>
    <n v="25"/>
    <n v="0"/>
    <n v="1"/>
    <n v="0"/>
    <n v="0"/>
    <n v="1668.4145295071028"/>
    <m/>
    <n v="1573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84145295071E-2"/>
    <n v="17500000"/>
    <n v="0.10489"/>
    <x v="3"/>
    <s v="Todo bien"/>
    <x v="0"/>
    <x v="4"/>
    <n v="726.76178765849829"/>
    <x v="1"/>
    <x v="2"/>
    <s v="Pequeña"/>
    <x v="1"/>
    <n v="1668.4145295071028"/>
  </r>
  <r>
    <s v="Sobha City"/>
    <x v="153"/>
    <n v="15195"/>
    <n v="3"/>
    <x v="4"/>
    <x v="0"/>
    <s v=" Sector 108 Gurgaon"/>
    <n v="0"/>
    <n v="0"/>
    <n v="3"/>
    <n v="8"/>
    <n v="2"/>
    <x v="1"/>
    <n v="24"/>
    <n v="0"/>
    <n v="0"/>
    <n v="0"/>
    <n v="0"/>
    <n v="1711.0891740704178"/>
    <m/>
    <n v="1711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x v="5"/>
    <s v="Todo bien"/>
    <x v="0"/>
    <x v="4"/>
    <n v="745.35087353734434"/>
    <x v="1"/>
    <x v="2"/>
    <s v="Pequeña"/>
    <x v="1"/>
    <n v="1711.0891740704178"/>
  </r>
  <r>
    <s v="Sobha City"/>
    <x v="90"/>
    <n v="14478"/>
    <n v="3"/>
    <x v="2"/>
    <x v="0"/>
    <s v=" Sector 108 Gurgaon"/>
    <n v="0"/>
    <n v="0"/>
    <n v="4"/>
    <n v="11"/>
    <n v="2"/>
    <x v="1"/>
    <n v="24"/>
    <n v="0"/>
    <n v="0"/>
    <n v="0"/>
    <n v="0"/>
    <n v="2003.039093797486"/>
    <m/>
    <n v="2003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x v="5"/>
    <s v="Todo bien"/>
    <x v="0"/>
    <x v="5"/>
    <n v="872.52433182069103"/>
    <x v="1"/>
    <x v="2"/>
    <s v="Pequeña"/>
    <x v="2"/>
    <n v="2003.039093797486"/>
  </r>
  <r>
    <s v="MM Woodshire"/>
    <x v="100"/>
    <n v="5929"/>
    <n v="3"/>
    <x v="2"/>
    <x v="0"/>
    <s v=" Sector 107 Gurgaon"/>
    <n v="0"/>
    <n v="0"/>
    <n v="4"/>
    <n v="6"/>
    <n v="3"/>
    <x v="1"/>
    <n v="14"/>
    <n v="1"/>
    <n v="0"/>
    <n v="0"/>
    <n v="0"/>
    <n v="2361.2750885478158"/>
    <m/>
    <n v="2361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x v="2"/>
    <s v="Todo bien"/>
    <x v="0"/>
    <x v="5"/>
    <n v="1028.5720210153459"/>
    <x v="1"/>
    <x v="2"/>
    <s v="Pequeña"/>
    <x v="2"/>
    <n v="2361.2750885478158"/>
  </r>
  <r>
    <s v="ATS Tourmaline"/>
    <x v="193"/>
    <n v="9365"/>
    <n v="4"/>
    <x v="2"/>
    <x v="0"/>
    <s v=" Sector 109 Gurgaon"/>
    <n v="0"/>
    <n v="0"/>
    <n v="5"/>
    <n v="10"/>
    <n v="3"/>
    <x v="2"/>
    <n v="27"/>
    <n v="1"/>
    <n v="0"/>
    <n v="0"/>
    <n v="0"/>
    <n v="3150.0266951414842"/>
    <m/>
    <n v="31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2669514148E-2"/>
    <n v="29500000"/>
    <n v="9.3649999999999997E-2"/>
    <x v="5"/>
    <s v="Todo bien"/>
    <x v="0"/>
    <x v="3"/>
    <n v="1372.1524187453265"/>
    <x v="1"/>
    <x v="3"/>
    <s v="Pequeña"/>
    <x v="3"/>
    <n v="3150.0266951414842"/>
  </r>
  <r>
    <s v="ATS Tourmaline"/>
    <x v="39"/>
    <n v="8704"/>
    <n v="3"/>
    <x v="2"/>
    <x v="0"/>
    <s v=" Sector 109 Gurgaon"/>
    <n v="0"/>
    <n v="0"/>
    <n v="4"/>
    <n v="14"/>
    <n v="3"/>
    <x v="1"/>
    <n v="27"/>
    <n v="1"/>
    <n v="0"/>
    <n v="0"/>
    <n v="0"/>
    <n v="2585.018382352941"/>
    <m/>
    <n v="258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01838235294E-2"/>
    <n v="22500000"/>
    <n v="8.7040000000000006E-2"/>
    <x v="3"/>
    <s v="Todo bien"/>
    <x v="0"/>
    <x v="3"/>
    <n v="1126.0346559340528"/>
    <x v="1"/>
    <x v="3"/>
    <s v="Pequeña"/>
    <x v="2"/>
    <n v="2585.018382352941"/>
  </r>
  <r>
    <s v="ATS Tourmaline"/>
    <x v="100"/>
    <n v="8000"/>
    <n v="3"/>
    <x v="4"/>
    <x v="0"/>
    <s v=" Sector 109 Gurgaon"/>
    <n v="0"/>
    <n v="0"/>
    <n v="3"/>
    <n v="9"/>
    <n v="3"/>
    <x v="1"/>
    <n v="27"/>
    <n v="0"/>
    <n v="0"/>
    <n v="0"/>
    <n v="0"/>
    <n v="1750"/>
    <m/>
    <n v="17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x v="2"/>
    <s v="Todo bien"/>
    <x v="0"/>
    <x v="3"/>
    <n v="762.3004390750001"/>
    <x v="1"/>
    <x v="2"/>
    <s v="Pequeña"/>
    <x v="1"/>
    <n v="1750"/>
  </r>
  <r>
    <s v="SBTL Caladium"/>
    <x v="192"/>
    <n v="6542"/>
    <n v="3"/>
    <x v="2"/>
    <x v="0"/>
    <s v=" Sector 109 Gurgaon"/>
    <n v="0"/>
    <n v="0"/>
    <n v="2"/>
    <n v="8"/>
    <n v="3"/>
    <x v="1"/>
    <n v="19"/>
    <n v="0"/>
    <n v="0"/>
    <n v="0"/>
    <n v="0"/>
    <n v="1926.0165087129317"/>
    <m/>
    <n v="1880"/>
    <n v="0"/>
    <n v="1"/>
    <n v="0"/>
    <n v="1"/>
    <n v="0"/>
    <n v="0"/>
    <n v="1"/>
    <n v="1"/>
    <n v="1"/>
    <n v="1"/>
    <n v="1"/>
    <n v="0"/>
    <n v="1"/>
    <n v="1"/>
    <n v="1"/>
    <n v="1"/>
    <n v="1"/>
    <n v="3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601650871293E-2"/>
    <n v="12600000"/>
    <n v="6.5420000000000006E-2"/>
    <x v="2"/>
    <s v="Todo bien"/>
    <x v="0"/>
    <x v="3"/>
    <n v="838.97327443289441"/>
    <x v="1"/>
    <x v="2"/>
    <s v="Pequeña"/>
    <x v="1"/>
    <n v="1926.0165087129317"/>
  </r>
  <r>
    <s v="Tulip Violet"/>
    <x v="74"/>
    <n v="8623"/>
    <n v="4"/>
    <x v="7"/>
    <x v="0"/>
    <s v=" Sector 69 Gurgaon"/>
    <n v="0"/>
    <n v="0"/>
    <n v="4"/>
    <n v="12"/>
    <n v="1"/>
    <x v="2"/>
    <n v="14"/>
    <n v="0"/>
    <n v="0"/>
    <n v="0"/>
    <n v="0"/>
    <n v="1971.4716455989794"/>
    <m/>
    <n v="1970"/>
    <n v="1"/>
    <n v="1"/>
    <n v="0"/>
    <n v="1"/>
    <n v="1"/>
    <n v="0"/>
    <n v="0"/>
    <n v="1"/>
    <n v="1"/>
    <n v="1"/>
    <n v="0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14716455989701E-2"/>
    <n v="17000000"/>
    <n v="8.6230000000000001E-2"/>
    <x v="3"/>
    <s v="Todo bien"/>
    <x v="0"/>
    <x v="3"/>
    <n v="858.77354346514733"/>
    <x v="1"/>
    <x v="2"/>
    <s v="Pequeña"/>
    <x v="1"/>
    <n v="1971.4716455989794"/>
  </r>
  <r>
    <s v="Tulip Violet"/>
    <x v="260"/>
    <n v="9039"/>
    <n v="3"/>
    <x v="2"/>
    <x v="0"/>
    <s v=" Sector 69 Gurgaon"/>
    <n v="0"/>
    <n v="0"/>
    <n v="3"/>
    <n v="1"/>
    <n v="2"/>
    <x v="1"/>
    <n v="14"/>
    <n v="0"/>
    <n v="0"/>
    <n v="1"/>
    <n v="0"/>
    <n v="1582.0334107755284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20334107755199E-2"/>
    <n v="14300000"/>
    <n v="9.0389999999999998E-2"/>
    <x v="2"/>
    <s v="Todo bien"/>
    <x v="0"/>
    <x v="5"/>
    <n v="689.1341506659993"/>
    <x v="1"/>
    <x v="2"/>
    <s v="Pequeña"/>
    <x v="1"/>
    <n v="1582.0334107755284"/>
  </r>
  <r>
    <s v="Tulip Violet"/>
    <x v="35"/>
    <n v="8283"/>
    <n v="3"/>
    <x v="6"/>
    <x v="0"/>
    <s v=" Sector 69 Gurgaon"/>
    <n v="0"/>
    <n v="0"/>
    <n v="3"/>
    <n v="12"/>
    <n v="1"/>
    <x v="1"/>
    <n v="14"/>
    <n v="0"/>
    <n v="0"/>
    <n v="1"/>
    <n v="0"/>
    <n v="1569.4796571290594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4796571290501E-2"/>
    <n v="13000000"/>
    <n v="8.2830000000000001E-2"/>
    <x v="2"/>
    <s v="Todo bien"/>
    <x v="0"/>
    <x v="4"/>
    <n v="683.66573242786023"/>
    <x v="1"/>
    <x v="2"/>
    <s v="Pequeña"/>
    <x v="1"/>
    <n v="1569.4796571290594"/>
  </r>
  <r>
    <s v="Tulip Violet"/>
    <x v="98"/>
    <n v="8411"/>
    <n v="3"/>
    <x v="3"/>
    <x v="0"/>
    <s v=" Sector 69 Gurgaon"/>
    <n v="0"/>
    <n v="0"/>
    <n v="3"/>
    <n v="12"/>
    <n v="1"/>
    <x v="1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x v="2"/>
    <s v="Todo bien"/>
    <x v="0"/>
    <x v="4"/>
    <n v="683.61946402092281"/>
    <x v="1"/>
    <x v="2"/>
    <s v="Pequeña"/>
    <x v="1"/>
    <n v="1569.3734395434549"/>
  </r>
  <r>
    <s v="Tulip Violet"/>
    <x v="6"/>
    <n v="9950"/>
    <n v="4"/>
    <x v="0"/>
    <x v="0"/>
    <s v=" Sector 69 Gurgaon"/>
    <n v="0"/>
    <n v="0"/>
    <n v="4"/>
    <n v="0"/>
    <n v="2"/>
    <x v="2"/>
    <n v="14"/>
    <n v="0"/>
    <n v="0"/>
    <n v="0"/>
    <n v="0"/>
    <n v="2010.0502512562814"/>
    <m/>
    <n v="201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20000000"/>
    <n v="9.9500000000000005E-2"/>
    <x v="3"/>
    <s v="Todo bien"/>
    <x v="0"/>
    <x v="4"/>
    <n v="875.57839376884374"/>
    <x v="1"/>
    <x v="2"/>
    <s v="Pequeña"/>
    <x v="2"/>
    <n v="2010.0502512562814"/>
  </r>
  <r>
    <s v="Tulip Violet"/>
    <x v="260"/>
    <n v="8886"/>
    <n v="3"/>
    <x v="7"/>
    <x v="0"/>
    <s v=" Sector 69 Gurgaon"/>
    <n v="0"/>
    <n v="0"/>
    <n v="3"/>
    <n v="1"/>
    <n v="2"/>
    <x v="1"/>
    <n v="14"/>
    <n v="0"/>
    <n v="0"/>
    <n v="1"/>
    <n v="0"/>
    <n v="1609.2730137294623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x v="2"/>
    <s v="Todo bien"/>
    <x v="0"/>
    <x v="4"/>
    <n v="700.9997285471519"/>
    <x v="1"/>
    <x v="2"/>
    <s v="Pequeña"/>
    <x v="1"/>
    <n v="1609.2730137294623"/>
  </r>
  <r>
    <s v="DLF The Ultima"/>
    <x v="261"/>
    <n v="12047"/>
    <n v="4"/>
    <x v="4"/>
    <x v="2"/>
    <s v=" Sector 81 Gurgaon"/>
    <n v="0"/>
    <n v="0"/>
    <n v="4"/>
    <n v="10"/>
    <n v="3"/>
    <x v="2"/>
    <n v="28"/>
    <n v="1"/>
    <n v="0"/>
    <n v="0"/>
    <n v="0"/>
    <n v="2872.0843363492986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0843363492898E-2"/>
    <n v="34600000"/>
    <n v="0.12046999999999999"/>
    <x v="5"/>
    <s v="Todo bien"/>
    <x v="2"/>
    <x v="5"/>
    <n v="1251.0806575197107"/>
    <x v="1"/>
    <x v="3"/>
    <s v="Pequeña"/>
    <x v="2"/>
    <n v="2872.0843363492986"/>
  </r>
  <r>
    <s v="DLF The Ultima"/>
    <x v="39"/>
    <n v="10553"/>
    <n v="3"/>
    <x v="4"/>
    <x v="2"/>
    <s v=" Sector 81 Gurgaon"/>
    <n v="0"/>
    <n v="0"/>
    <n v="3"/>
    <n v="6"/>
    <n v="3"/>
    <x v="1"/>
    <n v="30"/>
    <n v="1"/>
    <n v="0"/>
    <n v="0"/>
    <n v="0"/>
    <n v="2132.0951388230833"/>
    <m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5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x v="3"/>
    <s v="Todo bien"/>
    <x v="2"/>
    <x v="5"/>
    <n v="928.74117741400403"/>
    <x v="1"/>
    <x v="2"/>
    <s v="Pequeña"/>
    <x v="2"/>
    <n v="2132.0951388230833"/>
  </r>
  <r>
    <s v="ATS Kocoon"/>
    <x v="74"/>
    <n v="9742"/>
    <n v="3"/>
    <x v="0"/>
    <x v="5"/>
    <s v=" Sector 109 Gurgaon"/>
    <n v="0"/>
    <n v="0"/>
    <n v="3"/>
    <n v="21"/>
    <n v="3"/>
    <x v="1"/>
    <n v="22"/>
    <n v="0"/>
    <n v="0"/>
    <n v="0"/>
    <n v="0"/>
    <n v="1520.0648561005269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2155614863E-2"/>
    <n v="17000000"/>
    <n v="9.7420000000000007E-2"/>
    <x v="3"/>
    <s v="Todo bien"/>
    <x v="0"/>
    <x v="1"/>
    <n v="760.13182768425168"/>
    <x v="1"/>
    <x v="2"/>
    <s v="Mediana"/>
    <x v="1"/>
    <n v="1745.0215561486348"/>
  </r>
  <r>
    <s v="SBTL Caladium"/>
    <x v="7"/>
    <n v="7072"/>
    <n v="3"/>
    <x v="4"/>
    <x v="0"/>
    <s v=" Sector 109 Gurgaon"/>
    <n v="0"/>
    <n v="0"/>
    <n v="3"/>
    <n v="10"/>
    <n v="3"/>
    <x v="1"/>
    <n v="19"/>
    <n v="0"/>
    <n v="0"/>
    <n v="0"/>
    <n v="0"/>
    <n v="1975.0519750519752"/>
    <m/>
    <n v="2545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488687782798E-2"/>
    <n v="18000000"/>
    <n v="7.0720000000000005E-2"/>
    <x v="3"/>
    <s v="Todo bien"/>
    <x v="0"/>
    <x v="5"/>
    <n v="1108.7110458427599"/>
    <x v="1"/>
    <x v="2"/>
    <s v="Pequeña"/>
    <x v="2"/>
    <n v="2545.2488687782802"/>
  </r>
  <r>
    <s v="SBTL Caladium"/>
    <x v="12"/>
    <n v="7180"/>
    <n v="3"/>
    <x v="0"/>
    <x v="0"/>
    <s v=" Sector 109 Gurgaon"/>
    <n v="0"/>
    <n v="0"/>
    <n v="2"/>
    <n v="12"/>
    <n v="3"/>
    <x v="1"/>
    <n v="19"/>
    <n v="0"/>
    <n v="0"/>
    <n v="0"/>
    <n v="0"/>
    <n v="1750.1640778823014"/>
    <m/>
    <n v="188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02228412256199E-2"/>
    <n v="13500000"/>
    <n v="7.1800000000000003E-2"/>
    <x v="2"/>
    <s v="Todo bien"/>
    <x v="1"/>
    <x v="5"/>
    <n v="819.02554138579092"/>
    <x v="1"/>
    <x v="2"/>
    <s v="Pequeña"/>
    <x v="1"/>
    <n v="1880.2228412256268"/>
  </r>
  <r>
    <s v="MM Golfestate"/>
    <x v="262"/>
    <n v="18126"/>
    <n v="3"/>
    <x v="2"/>
    <x v="5"/>
    <s v=" Sector 65 Gurgaon"/>
    <n v="0"/>
    <n v="0"/>
    <n v="4"/>
    <n v="19"/>
    <n v="3"/>
    <x v="1"/>
    <n v="40"/>
    <n v="1"/>
    <n v="1"/>
    <n v="0"/>
    <n v="0"/>
    <n v="2979.1459781529293"/>
    <m/>
    <n v="29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9791459781529198E-2"/>
    <n v="54000000"/>
    <n v="0.18126"/>
    <x v="4"/>
    <s v="Todo bien"/>
    <x v="1"/>
    <x v="5"/>
    <n v="1297.7167355511378"/>
    <x v="1"/>
    <x v="3"/>
    <s v="Pequeña"/>
    <x v="2"/>
    <n v="2979.1459781529293"/>
  </r>
  <r>
    <s v="Shree Arihant Apartment"/>
    <x v="46"/>
    <n v="7380"/>
    <n v="3"/>
    <x v="2"/>
    <x v="5"/>
    <s v=" Sector 54 Gurgaon"/>
    <n v="0"/>
    <n v="0"/>
    <n v="3"/>
    <n v="3"/>
    <n v="3"/>
    <x v="1"/>
    <n v="9"/>
    <n v="0"/>
    <n v="0"/>
    <n v="1"/>
    <n v="0"/>
    <n v="1666.0133281066248"/>
    <n v="2000"/>
    <n v="21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2710027100201E-2"/>
    <n v="15500000"/>
    <n v="7.3800000000000004E-2"/>
    <x v="3"/>
    <s v="Todo bien"/>
    <x v="1"/>
    <x v="4"/>
    <n v="914.87857573847941"/>
    <x v="1"/>
    <x v="2"/>
    <s v="Grande"/>
    <x v="2"/>
    <n v="2100.271002710027"/>
  </r>
  <r>
    <s v="MM Skywalk"/>
    <x v="26"/>
    <n v="9512"/>
    <n v="2"/>
    <x v="8"/>
    <x v="0"/>
    <s v=" Sector 74 Gurgaon"/>
    <n v="0"/>
    <n v="0"/>
    <n v="2"/>
    <n v="26"/>
    <n v="2"/>
    <x v="0"/>
    <n v="30"/>
    <n v="0"/>
    <n v="0"/>
    <n v="0"/>
    <n v="0"/>
    <n v="1595.5660060463554"/>
    <m/>
    <n v="168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3"/>
    <n v="1"/>
    <n v="0"/>
    <n v="0"/>
    <n v="0"/>
    <n v="0"/>
    <n v="4"/>
    <n v="1"/>
    <n v="1"/>
    <n v="0"/>
    <n v="0"/>
    <n v="1"/>
    <n v="3"/>
    <n v="1"/>
    <n v="0"/>
    <n v="0"/>
    <n v="0"/>
    <n v="0"/>
    <n v="0"/>
    <n v="0"/>
    <n v="2"/>
    <n v="1.6820857863750999E-2"/>
    <n v="16000000"/>
    <n v="9.5119999999999996E-2"/>
    <x v="3"/>
    <s v="Todo bien"/>
    <x v="1"/>
    <x v="5"/>
    <n v="732.71699058031743"/>
    <x v="1"/>
    <x v="2"/>
    <s v="Pequeña"/>
    <x v="1"/>
    <n v="1682.0857863751053"/>
  </r>
  <r>
    <s v="The Lions CGHS"/>
    <x v="263"/>
    <n v="8708"/>
    <n v="4"/>
    <x v="4"/>
    <x v="0"/>
    <s v=" Sector 56 Gurgaon"/>
    <n v="0"/>
    <n v="0"/>
    <n v="4"/>
    <n v="7"/>
    <n v="3"/>
    <x v="2"/>
    <n v="9"/>
    <n v="0"/>
    <n v="0"/>
    <n v="0"/>
    <n v="0"/>
    <n v="1660.0265604249669"/>
    <n v="2300"/>
    <n v="24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186954524E-2"/>
    <n v="20900000"/>
    <n v="8.7080000000000005E-2"/>
    <x v="3"/>
    <s v="Todo bien"/>
    <x v="1"/>
    <x v="4"/>
    <n v="1045.4806205569566"/>
    <x v="1"/>
    <x v="2"/>
    <s v="Grande"/>
    <x v="2"/>
    <n v="2400.0918695452456"/>
  </r>
  <r>
    <s v="Sunischit Apartments"/>
    <x v="68"/>
    <n v="7954"/>
    <n v="3"/>
    <x v="2"/>
    <x v="5"/>
    <s v=" Sector 54 Gurgaon"/>
    <n v="0"/>
    <n v="0"/>
    <n v="3"/>
    <n v="6"/>
    <n v="3"/>
    <x v="1"/>
    <n v="9"/>
    <n v="1"/>
    <n v="0"/>
    <n v="0"/>
    <n v="0"/>
    <n v="1140.1641836424444"/>
    <n v="2100"/>
    <n v="22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x v="3"/>
    <s v="Todo bien"/>
    <x v="1"/>
    <x v="3"/>
    <n v="958.38626989564739"/>
    <x v="1"/>
    <x v="0"/>
    <s v="Grande"/>
    <x v="2"/>
    <n v="2200.1508674880565"/>
  </r>
  <r>
    <s v="Emaar Palm Gardens"/>
    <x v="65"/>
    <n v="8023"/>
    <n v="3"/>
    <x v="6"/>
    <x v="0"/>
    <s v=" Sector 83 Gurgaon"/>
    <n v="0"/>
    <n v="0"/>
    <n v="3"/>
    <n v="5"/>
    <n v="3"/>
    <x v="1"/>
    <n v="15"/>
    <n v="1"/>
    <n v="0"/>
    <n v="0"/>
    <n v="0"/>
    <n v="2112.2510561255281"/>
    <n v="1350"/>
    <n v="172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200548423282998E-2"/>
    <n v="13800000"/>
    <n v="8.0229999999999996E-2"/>
    <x v="2"/>
    <s v="Todo bien"/>
    <x v="1"/>
    <x v="2"/>
    <n v="749.25632087996735"/>
    <x v="1"/>
    <x v="2"/>
    <s v="Mediana"/>
    <x v="1"/>
    <n v="1720.0548423283062"/>
  </r>
  <r>
    <s v="Emaar MGF Emerald Floors Premier"/>
    <x v="39"/>
    <n v="13636"/>
    <n v="3"/>
    <x v="6"/>
    <x v="0"/>
    <s v=" Sector 65 Gurgaon"/>
    <n v="0"/>
    <n v="0"/>
    <n v="3"/>
    <n v="3"/>
    <n v="3"/>
    <x v="1"/>
    <n v="4"/>
    <n v="1"/>
    <n v="1"/>
    <n v="0"/>
    <n v="0"/>
    <n v="2400.0738484261055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1.6500440011733598E-2"/>
    <n v="22500000"/>
    <n v="0.13636000000000001"/>
    <x v="3"/>
    <s v="Todo bien"/>
    <x v="1"/>
    <x v="1"/>
    <n v="718.75958090715551"/>
    <x v="1"/>
    <x v="2"/>
    <s v="Mediana"/>
    <x v="1"/>
    <n v="1650.0440011733644"/>
  </r>
  <r>
    <s v="DLF The Ultima"/>
    <x v="92"/>
    <n v="11412"/>
    <n v="3"/>
    <x v="7"/>
    <x v="0"/>
    <s v=" Sector 81 Gurgaon"/>
    <n v="0"/>
    <n v="0"/>
    <n v="4"/>
    <n v="19"/>
    <n v="3"/>
    <x v="1"/>
    <n v="30"/>
    <n v="1"/>
    <n v="0"/>
    <n v="0"/>
    <n v="0"/>
    <n v="2103.0494216614093"/>
    <m/>
    <n v="21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0"/>
    <n v="0"/>
    <n v="0"/>
    <n v="1"/>
    <n v="1"/>
    <n v="1"/>
    <n v="1"/>
    <n v="0"/>
    <n v="0"/>
    <n v="0"/>
    <n v="0"/>
    <n v="0"/>
    <n v="1"/>
    <n v="2.1030494216614001E-2"/>
    <n v="24000000"/>
    <n v="0.11412"/>
    <x v="3"/>
    <s v="Todo bien"/>
    <x v="2"/>
    <x v="5"/>
    <n v="916.0888557308059"/>
    <x v="1"/>
    <x v="2"/>
    <s v="Pequeña"/>
    <x v="2"/>
    <n v="2103.0494216614093"/>
  </r>
  <r>
    <s v="Emaar Palm Gardens"/>
    <x v="252"/>
    <n v="9052"/>
    <n v="3"/>
    <x v="8"/>
    <x v="0"/>
    <s v=" Sector 83 Gurgaon"/>
    <n v="0"/>
    <n v="0"/>
    <n v="3"/>
    <n v="4"/>
    <n v="3"/>
    <x v="1"/>
    <n v="16"/>
    <n v="1"/>
    <n v="0"/>
    <n v="0"/>
    <n v="0"/>
    <n v="2538.071065989847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325673884201E-2"/>
    <n v="17200000"/>
    <n v="9.0520000000000003E-2"/>
    <x v="3"/>
    <s v="Todo bien"/>
    <x v="1"/>
    <x v="5"/>
    <n v="827.69822309765698"/>
    <x v="1"/>
    <x v="3"/>
    <s v="Mediana"/>
    <x v="1"/>
    <n v="1900.1325673884223"/>
  </r>
  <r>
    <s v="Umang Monsoon Breeze"/>
    <x v="83"/>
    <n v="4746"/>
    <n v="3"/>
    <x v="7"/>
    <x v="5"/>
    <s v=" Sector 78 Gurgaon"/>
    <n v="0"/>
    <n v="0"/>
    <n v="4"/>
    <n v="8"/>
    <n v="3"/>
    <x v="1"/>
    <n v="12"/>
    <n v="1"/>
    <n v="0"/>
    <n v="1"/>
    <n v="0"/>
    <n v="1765.9444406710588"/>
    <n v="1668"/>
    <n v="18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5419300463548E-2"/>
    <n v="8800000"/>
    <n v="4.7460000000000002E-2"/>
    <x v="1"/>
    <s v="Todo bien"/>
    <x v="1"/>
    <x v="5"/>
    <n v="807.68693803624001"/>
    <x v="1"/>
    <x v="2"/>
    <s v="Mediana"/>
    <x v="1"/>
    <n v="1854.1930046354823"/>
  </r>
  <r>
    <s v="Emaar Palm Gardens"/>
    <x v="250"/>
    <n v="8400"/>
    <n v="5"/>
    <x v="0"/>
    <x v="0"/>
    <s v=" Sector 83 Gurgaon"/>
    <n v="0"/>
    <n v="0"/>
    <n v="7"/>
    <n v="15"/>
    <n v="3"/>
    <x v="4"/>
    <n v="16"/>
    <n v="1"/>
    <n v="0"/>
    <n v="0"/>
    <n v="0"/>
    <n v="1406.0989542139027"/>
    <n v="3200"/>
    <n v="37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7499999999999999E-2"/>
    <n v="31500000"/>
    <n v="8.4000000000000005E-2"/>
    <x v="5"/>
    <s v="Todo bien"/>
    <x v="1"/>
    <x v="5"/>
    <n v="1633.500940875"/>
    <x v="3"/>
    <x v="2"/>
    <s v="Muy grande"/>
    <x v="3"/>
    <n v="3749.9999999999995"/>
  </r>
  <r>
    <s v="BPTP Terra"/>
    <x v="252"/>
    <n v="9497"/>
    <n v="3"/>
    <x v="8"/>
    <x v="0"/>
    <s v=" Sector 37D Gurgaon"/>
    <n v="0"/>
    <n v="0"/>
    <n v="3"/>
    <n v="9"/>
    <n v="3"/>
    <x v="1"/>
    <n v="19"/>
    <n v="0"/>
    <n v="1"/>
    <n v="0"/>
    <n v="0"/>
    <n v="1200"/>
    <m/>
    <n v="1811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8110982415499601E-2"/>
    <n v="17200000"/>
    <n v="9.4969999999999999E-2"/>
    <x v="3"/>
    <s v="Todo bien"/>
    <x v="1"/>
    <x v="2"/>
    <n v="788.91484842371153"/>
    <x v="1"/>
    <x v="0"/>
    <s v="Pequeña"/>
    <x v="1"/>
    <n v="1811.0982415499632"/>
  </r>
  <r>
    <s v="MM Skywalk"/>
    <x v="3"/>
    <n v="10954"/>
    <n v="2"/>
    <x v="1"/>
    <x v="2"/>
    <s v=" Sector 74 Gurgaon"/>
    <n v="0"/>
    <n v="0"/>
    <n v="2"/>
    <n v="26"/>
    <n v="3"/>
    <x v="0"/>
    <n v="30"/>
    <n v="0"/>
    <n v="0"/>
    <n v="0"/>
    <n v="0"/>
    <n v="1341.975534051488"/>
    <m/>
    <n v="141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419755340514801E-2"/>
    <n v="14700000"/>
    <n v="0.10954"/>
    <x v="2"/>
    <s v="Todo bien"/>
    <x v="1"/>
    <x v="0"/>
    <n v="584.56487933448625"/>
    <x v="1"/>
    <x v="2"/>
    <s v="Pequeña"/>
    <x v="1"/>
    <n v="1341.975534051488"/>
  </r>
  <r>
    <s v="CHD Avenue "/>
    <x v="8"/>
    <n v="6104"/>
    <n v="3"/>
    <x v="8"/>
    <x v="5"/>
    <s v=" Sector 71 Gurgaon"/>
    <n v="0"/>
    <n v="0"/>
    <n v="4"/>
    <n v="3"/>
    <n v="3"/>
    <x v="1"/>
    <n v="14"/>
    <n v="1"/>
    <n v="0"/>
    <n v="0"/>
    <n v="0"/>
    <n v="1802.0969855832243"/>
    <m/>
    <n v="1802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69855832202E-2"/>
    <n v="11000000"/>
    <n v="6.1039999999999997E-2"/>
    <x v="2"/>
    <s v="Todo bien"/>
    <x v="0"/>
    <x v="0"/>
    <n v="784.99389906618444"/>
    <x v="1"/>
    <x v="2"/>
    <s v="Pequeña"/>
    <x v="1"/>
    <n v="1802.0969855832243"/>
  </r>
  <r>
    <s v="CHD Avenue "/>
    <x v="98"/>
    <n v="6019"/>
    <n v="4"/>
    <x v="8"/>
    <x v="5"/>
    <s v=" Sector 71 Gurgaon"/>
    <n v="0"/>
    <n v="0"/>
    <n v="4"/>
    <n v="14"/>
    <n v="3"/>
    <x v="2"/>
    <n v="14"/>
    <n v="1"/>
    <n v="0"/>
    <n v="0"/>
    <n v="0"/>
    <n v="2193.055324804785"/>
    <m/>
    <n v="2193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305532480478E-2"/>
    <n v="13200000"/>
    <n v="6.019E-2"/>
    <x v="2"/>
    <s v="Todo bien"/>
    <x v="0"/>
    <x v="1"/>
    <n v="955.29544972254325"/>
    <x v="1"/>
    <x v="2"/>
    <s v="Pequeña"/>
    <x v="2"/>
    <n v="2193.055324804785"/>
  </r>
  <r>
    <s v="CHD Avenue "/>
    <x v="35"/>
    <n v="5531"/>
    <n v="4"/>
    <x v="2"/>
    <x v="5"/>
    <s v=" Sector 71 Gurgaon"/>
    <n v="0"/>
    <n v="0"/>
    <n v="4"/>
    <n v="5"/>
    <n v="3"/>
    <x v="2"/>
    <n v="14"/>
    <n v="1"/>
    <n v="0"/>
    <n v="0"/>
    <n v="0"/>
    <n v="2350.3887181341529"/>
    <m/>
    <n v="23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3887181341498E-2"/>
    <n v="13000000"/>
    <n v="5.5309999999999998E-2"/>
    <x v="2"/>
    <s v="Todo bien"/>
    <x v="0"/>
    <x v="4"/>
    <n v="1023.8299153317652"/>
    <x v="1"/>
    <x v="2"/>
    <s v="Pequeña"/>
    <x v="2"/>
    <n v="2350.3887181341529"/>
  </r>
  <r>
    <s v="CHD Avenue "/>
    <x v="12"/>
    <n v="5744"/>
    <n v="4"/>
    <x v="7"/>
    <x v="5"/>
    <s v=" Sector 71 Gurgaon"/>
    <n v="0"/>
    <n v="0"/>
    <n v="4"/>
    <n v="8"/>
    <n v="3"/>
    <x v="2"/>
    <n v="22"/>
    <n v="1"/>
    <n v="0"/>
    <n v="0"/>
    <n v="0"/>
    <n v="2350.2785515320334"/>
    <m/>
    <n v="23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2785515320299E-2"/>
    <n v="13500000"/>
    <n v="5.7439999999999998E-2"/>
    <x v="2"/>
    <s v="Todo bien"/>
    <x v="0"/>
    <x v="0"/>
    <n v="1023.7819267322409"/>
    <x v="1"/>
    <x v="2"/>
    <s v="Pequeña"/>
    <x v="2"/>
    <n v="2350.2785515320334"/>
  </r>
  <r>
    <s v="BPTP Mansions Park Prime"/>
    <x v="101"/>
    <n v="10853"/>
    <n v="4"/>
    <x v="5"/>
    <x v="0"/>
    <s v=" Sector 66 Gurgaon"/>
    <n v="0"/>
    <n v="0"/>
    <n v="4"/>
    <n v="3"/>
    <n v="3"/>
    <x v="2"/>
    <n v="18"/>
    <n v="1"/>
    <n v="1"/>
    <n v="1"/>
    <n v="0"/>
    <n v="1410.0394811054709"/>
    <n v="2700"/>
    <n v="27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6"/>
    <n v="1"/>
    <n v="4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7642126600939801E-2"/>
    <n v="30000000"/>
    <n v="0.10853"/>
    <x v="5"/>
    <s v="Todo bien"/>
    <x v="1"/>
    <x v="5"/>
    <n v="1204.0917282778942"/>
    <x v="1"/>
    <x v="2"/>
    <s v="Muy grande"/>
    <x v="2"/>
    <n v="2764.2126600939832"/>
  </r>
  <r>
    <s v="DLF The Skycourt"/>
    <x v="26"/>
    <n v="8294"/>
    <n v="3"/>
    <x v="2"/>
    <x v="0"/>
    <s v=" Sector 86 Gurgaon"/>
    <n v="0"/>
    <n v="0"/>
    <n v="3"/>
    <n v="9"/>
    <n v="3"/>
    <x v="1"/>
    <n v="19"/>
    <n v="0"/>
    <n v="0"/>
    <n v="0"/>
    <n v="0"/>
    <n v="2355.0521475832679"/>
    <n v="1548"/>
    <n v="1929"/>
    <n v="1"/>
    <n v="1"/>
    <n v="1"/>
    <n v="1"/>
    <n v="0"/>
    <n v="1"/>
    <n v="1"/>
    <n v="1"/>
    <n v="1"/>
    <n v="1"/>
    <n v="0"/>
    <n v="1"/>
    <n v="1"/>
    <n v="1"/>
    <n v="1"/>
    <n v="1"/>
    <n v="1"/>
    <n v="56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291053773812301E-2"/>
    <n v="16000000"/>
    <n v="8.294E-2"/>
    <x v="3"/>
    <s v="Todo bien"/>
    <x v="1"/>
    <x v="5"/>
    <n v="840.31878639980312"/>
    <x v="1"/>
    <x v="2"/>
    <s v="Mediana"/>
    <x v="1"/>
    <n v="1929.1053773812394"/>
  </r>
  <r>
    <s v="Bestech Park View City "/>
    <x v="101"/>
    <n v="12589"/>
    <n v="4"/>
    <x v="2"/>
    <x v="5"/>
    <s v=" Sector 49 Gurgaon"/>
    <n v="0"/>
    <n v="0"/>
    <n v="4"/>
    <n v="5"/>
    <n v="3"/>
    <x v="2"/>
    <n v="14"/>
    <n v="1"/>
    <n v="0"/>
    <n v="1"/>
    <n v="0"/>
    <n v="744.01302022785399"/>
    <n v="2200"/>
    <n v="238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3830328064183001E-2"/>
    <n v="30000000"/>
    <n v="0.12589"/>
    <x v="5"/>
    <s v="Todo bien"/>
    <x v="1"/>
    <x v="5"/>
    <n v="1038.0496883787428"/>
    <x v="1"/>
    <x v="0"/>
    <s v="Grande"/>
    <x v="2"/>
    <n v="2383.0328064183018"/>
  </r>
  <r>
    <s v="HSIIDC Sidco Aravali"/>
    <x v="15"/>
    <n v="3477"/>
    <n v="3"/>
    <x v="4"/>
    <x v="5"/>
    <s v=" Sector 1 Imt Manesar"/>
    <n v="0"/>
    <n v="0"/>
    <n v="3"/>
    <n v="8"/>
    <n v="3"/>
    <x v="1"/>
    <n v="10"/>
    <n v="1"/>
    <n v="0"/>
    <n v="0"/>
    <n v="0"/>
    <n v="2588.4383088869713"/>
    <n v="1900"/>
    <n v="2588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43830888697E-2"/>
    <n v="9000000"/>
    <n v="3.4770000000000002E-2"/>
    <x v="1"/>
    <s v="Todo bien"/>
    <x v="0"/>
    <x v="2"/>
    <n v="1127.524376790336"/>
    <x v="1"/>
    <x v="3"/>
    <s v="Grande"/>
    <x v="2"/>
    <n v="2588.4383088869713"/>
  </r>
  <r>
    <s v="Sunischit Apartments"/>
    <x v="68"/>
    <n v="7954"/>
    <n v="3"/>
    <x v="4"/>
    <x v="5"/>
    <s v=" Sector 54 Gurgaon"/>
    <n v="0"/>
    <n v="0"/>
    <n v="4"/>
    <n v="5"/>
    <n v="3"/>
    <x v="1"/>
    <n v="9"/>
    <n v="1"/>
    <n v="0"/>
    <n v="0"/>
    <n v="0"/>
    <n v="576.11345003323731"/>
    <n v="1900"/>
    <n v="220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x v="3"/>
    <s v="Todo bien"/>
    <x v="1"/>
    <x v="1"/>
    <n v="958.38626989564739"/>
    <x v="1"/>
    <x v="1"/>
    <s v="Grande"/>
    <x v="2"/>
    <n v="2200.1508674880565"/>
  </r>
  <r>
    <s v="Shapoorji Pallonji Joyville Gurugram"/>
    <x v="6"/>
    <n v="10799"/>
    <n v="3"/>
    <x v="3"/>
    <x v="0"/>
    <s v=" Sector 102 Gurgaon"/>
    <n v="0"/>
    <n v="0"/>
    <n v="3"/>
    <n v="9"/>
    <n v="3"/>
    <x v="1"/>
    <n v="26"/>
    <n v="0"/>
    <n v="0"/>
    <n v="0"/>
    <n v="0"/>
    <n v="1852.0233354940272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33354940199E-2"/>
    <n v="20000000"/>
    <n v="0.10799"/>
    <x v="3"/>
    <s v="Todo bien"/>
    <x v="0"/>
    <x v="1"/>
    <n v="806.74182961384997"/>
    <x v="1"/>
    <x v="2"/>
    <s v="Pequeña"/>
    <x v="1"/>
    <n v="1852.0233354940272"/>
  </r>
  <r>
    <s v="Shapoorji Pallonji Joyville Gurugram"/>
    <x v="7"/>
    <n v="10638"/>
    <n v="3"/>
    <x v="5"/>
    <x v="0"/>
    <s v=" Sector 102 Gurgaon"/>
    <n v="0"/>
    <n v="0"/>
    <n v="3"/>
    <n v="5"/>
    <n v="3"/>
    <x v="1"/>
    <n v="26"/>
    <n v="0"/>
    <n v="0"/>
    <n v="0"/>
    <n v="0"/>
    <n v="1692.0473773265651"/>
    <m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x v="3"/>
    <s v="Todo bien"/>
    <x v="0"/>
    <x v="1"/>
    <n v="737.05626209813647"/>
    <x v="1"/>
    <x v="2"/>
    <s v="Pequeña"/>
    <x v="1"/>
    <n v="1692.0473773265651"/>
  </r>
  <r>
    <s v="ATS Kocoon"/>
    <x v="26"/>
    <n v="9169"/>
    <n v="3"/>
    <x v="5"/>
    <x v="0"/>
    <s v=" Sector 109 Gurgaon"/>
    <n v="0"/>
    <n v="0"/>
    <n v="3"/>
    <n v="10"/>
    <n v="3"/>
    <x v="1"/>
    <n v="20"/>
    <n v="0"/>
    <n v="0"/>
    <n v="0"/>
    <n v="0"/>
    <n v="1745.0103609990185"/>
    <n v="1550"/>
    <n v="1745"/>
    <n v="0"/>
    <n v="1"/>
    <n v="1"/>
    <n v="1"/>
    <n v="0"/>
    <n v="0"/>
    <n v="1"/>
    <n v="1"/>
    <n v="1"/>
    <n v="0"/>
    <n v="0"/>
    <n v="0"/>
    <n v="1"/>
    <n v="0"/>
    <n v="1"/>
    <n v="1"/>
    <n v="1"/>
    <n v="3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03609990102E-2"/>
    <n v="16000000"/>
    <n v="9.1689999999999994E-2"/>
    <x v="3"/>
    <s v="Todo bien"/>
    <x v="0"/>
    <x v="3"/>
    <n v="760.1269510742685"/>
    <x v="1"/>
    <x v="2"/>
    <s v="Mediana"/>
    <x v="1"/>
    <n v="1745.0103609990185"/>
  </r>
  <r>
    <s v="Mahindra Aura"/>
    <x v="100"/>
    <n v="9655"/>
    <n v="3"/>
    <x v="5"/>
    <x v="0"/>
    <s v=" Sector 110 A Gurgaon"/>
    <n v="0"/>
    <n v="0"/>
    <n v="3"/>
    <n v="10"/>
    <n v="3"/>
    <x v="1"/>
    <n v="14"/>
    <n v="0"/>
    <n v="0"/>
    <n v="0"/>
    <n v="0"/>
    <n v="735.00588004704036"/>
    <n v="1550"/>
    <n v="16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5002589331952E-2"/>
    <n v="14000000"/>
    <n v="9.6549999999999997E-2"/>
    <x v="2"/>
    <s v="Todo bien"/>
    <x v="1"/>
    <x v="5"/>
    <n v="631.63164294147964"/>
    <x v="1"/>
    <x v="0"/>
    <s v="Mediana"/>
    <x v="1"/>
    <n v="1450.0258933195237"/>
  </r>
  <r>
    <s v="Mahindra Aura"/>
    <x v="7"/>
    <n v="8814"/>
    <n v="3"/>
    <x v="3"/>
    <x v="0"/>
    <s v=" Sector 110 A Gurgaon"/>
    <n v="0"/>
    <n v="0"/>
    <n v="3"/>
    <n v="7"/>
    <n v="3"/>
    <x v="1"/>
    <n v="18"/>
    <n v="1"/>
    <n v="0"/>
    <n v="0"/>
    <n v="0"/>
    <n v="1764.9687220732797"/>
    <n v="1850"/>
    <n v="2042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220558202859E-2"/>
    <n v="18000000"/>
    <n v="8.8139999999999996E-2"/>
    <x v="3"/>
    <s v="Todo bien"/>
    <x v="1"/>
    <x v="4"/>
    <n v="889.58526392103443"/>
    <x v="1"/>
    <x v="2"/>
    <s v="Grande"/>
    <x v="2"/>
    <n v="2042.2055820285909"/>
  </r>
  <r>
    <s v="Bestech Park View Spa Next"/>
    <x v="58"/>
    <n v="11489"/>
    <n v="4"/>
    <x v="6"/>
    <x v="5"/>
    <s v=" Sector 67 Gurgaon"/>
    <n v="0"/>
    <n v="0"/>
    <n v="4"/>
    <n v="9"/>
    <n v="3"/>
    <x v="2"/>
    <n v="14"/>
    <n v="1"/>
    <n v="0"/>
    <n v="1"/>
    <n v="0"/>
    <n v="2350.0739838106015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0739838106001E-2"/>
    <n v="27000000"/>
    <n v="0.11489000000000001"/>
    <x v="5"/>
    <s v="Todo bien"/>
    <x v="1"/>
    <x v="5"/>
    <n v="1023.6928169814601"/>
    <x v="1"/>
    <x v="2"/>
    <s v="Pequeña"/>
    <x v="2"/>
    <n v="2350.0739838106015"/>
  </r>
  <r>
    <s v="DLF The Skycourt"/>
    <x v="46"/>
    <n v="8031"/>
    <n v="3"/>
    <x v="8"/>
    <x v="0"/>
    <s v=" Sector 86 Gurgaon"/>
    <n v="0"/>
    <n v="0"/>
    <n v="3"/>
    <n v="5"/>
    <n v="3"/>
    <x v="1"/>
    <n v="19"/>
    <n v="0"/>
    <n v="0"/>
    <n v="0"/>
    <n v="0"/>
    <n v="1671.0844762014522"/>
    <n v="1900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211679741001E-2"/>
    <n v="15500000"/>
    <n v="8.0310000000000006E-2"/>
    <x v="3"/>
    <s v="Todo bien"/>
    <x v="0"/>
    <x v="1"/>
    <n v="840.71770501182914"/>
    <x v="1"/>
    <x v="2"/>
    <s v="Grande"/>
    <x v="1"/>
    <n v="1930.0211679741003"/>
  </r>
  <r>
    <s v="Mapsko Royale Ville"/>
    <x v="81"/>
    <n v="6424"/>
    <n v="3"/>
    <x v="2"/>
    <x v="0"/>
    <s v=" Sector 82 Gurgaon"/>
    <n v="0"/>
    <n v="0"/>
    <n v="4"/>
    <n v="15"/>
    <n v="2"/>
    <x v="1"/>
    <n v="18"/>
    <n v="1"/>
    <n v="0"/>
    <n v="1"/>
    <n v="0"/>
    <n v="1790.1618929016188"/>
    <m/>
    <n v="1790"/>
    <n v="0"/>
    <n v="1"/>
    <n v="1"/>
    <n v="1"/>
    <n v="1"/>
    <n v="0"/>
    <n v="1"/>
    <n v="1"/>
    <n v="1"/>
    <n v="0"/>
    <n v="1"/>
    <n v="1"/>
    <n v="1"/>
    <n v="1"/>
    <n v="1"/>
    <n v="1"/>
    <n v="1"/>
    <n v="46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901618929016101E-2"/>
    <n v="11500000"/>
    <n v="6.4240000000000005E-2"/>
    <x v="2"/>
    <s v="Todo bien"/>
    <x v="1"/>
    <x v="4"/>
    <n v="779.7949696995604"/>
    <x v="1"/>
    <x v="2"/>
    <s v="Pequeña"/>
    <x v="1"/>
    <n v="1790.1618929016188"/>
  </r>
  <r>
    <s v="Emaar Gurgaon Greens"/>
    <x v="131"/>
    <n v="9030"/>
    <n v="3"/>
    <x v="2"/>
    <x v="0"/>
    <s v=" Sector 102 Gurgaon"/>
    <n v="0"/>
    <n v="0"/>
    <n v="3"/>
    <n v="10"/>
    <n v="3"/>
    <x v="1"/>
    <n v="14"/>
    <n v="0"/>
    <n v="0"/>
    <n v="0"/>
    <n v="0"/>
    <n v="1479.091031329837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553709856002E-2"/>
    <n v="14900000"/>
    <n v="9.0300000000000005E-2"/>
    <x v="2"/>
    <s v="Todo bien"/>
    <x v="1"/>
    <x v="5"/>
    <n v="718.76453360022003"/>
    <x v="1"/>
    <x v="2"/>
    <s v="Pequeña"/>
    <x v="1"/>
    <n v="1650.0553709856035"/>
  </r>
  <r>
    <s v="Emaar Imperial Gardens"/>
    <x v="264"/>
    <n v="9550"/>
    <n v="3"/>
    <x v="4"/>
    <x v="0"/>
    <s v=" Sector 102 Gurgaon"/>
    <n v="0"/>
    <n v="0"/>
    <n v="4"/>
    <n v="17"/>
    <n v="2"/>
    <x v="1"/>
    <n v="20"/>
    <n v="1"/>
    <n v="1"/>
    <n v="0"/>
    <n v="0"/>
    <n v="2152"/>
    <m/>
    <n v="20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0.02"/>
    <n v="19100000"/>
    <n v="9.5500000000000002E-2"/>
    <x v="3"/>
    <s v="Todo bien"/>
    <x v="1"/>
    <x v="5"/>
    <n v="871.2005018000001"/>
    <x v="1"/>
    <x v="2"/>
    <s v="Pequeña"/>
    <x v="1"/>
    <n v="2000"/>
  </r>
  <r>
    <s v="Vatika City Homes"/>
    <x v="16"/>
    <n v="8571"/>
    <n v="3"/>
    <x v="3"/>
    <x v="5"/>
    <s v=" Sector 83 Gurgaon"/>
    <n v="0"/>
    <n v="0"/>
    <n v="3"/>
    <n v="8"/>
    <n v="3"/>
    <x v="1"/>
    <n v="8"/>
    <n v="0"/>
    <n v="0"/>
    <n v="1"/>
    <n v="0"/>
    <n v="1360.0816048962938"/>
    <m/>
    <n v="17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06125306265E-2"/>
    <n v="10500000"/>
    <n v="8.5709999999999995E-2"/>
    <x v="2"/>
    <s v="Todo bien"/>
    <x v="1"/>
    <x v="5"/>
    <n v="533.63698920195873"/>
    <x v="1"/>
    <x v="2"/>
    <s v="Pequeña"/>
    <x v="1"/>
    <n v="1225.0612530626531"/>
  </r>
  <r>
    <s v="Indiabulls Centrum Park"/>
    <x v="265"/>
    <n v="7443"/>
    <n v="4"/>
    <x v="4"/>
    <x v="0"/>
    <s v=" Sector 103 Gurgaon"/>
    <n v="0"/>
    <n v="0"/>
    <n v="6"/>
    <n v="7"/>
    <n v="3"/>
    <x v="2"/>
    <n v="18"/>
    <n v="1"/>
    <n v="0"/>
    <n v="0"/>
    <n v="0"/>
    <n v="636.9426751592357"/>
    <m/>
    <n v="287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1847373370901E-2"/>
    <n v="21400000"/>
    <n v="7.4429999999999996E-2"/>
    <x v="3"/>
    <s v="Todo bien"/>
    <x v="0"/>
    <x v="5"/>
    <n v="1252.431192967887"/>
    <x v="1"/>
    <x v="0"/>
    <s v="Pequeña"/>
    <x v="2"/>
    <n v="2875.1847373370956"/>
  </r>
  <r>
    <s v="Bestech Park View Residency"/>
    <x v="257"/>
    <n v="7208"/>
    <n v="2"/>
    <x v="6"/>
    <x v="5"/>
    <s v=" Palam Vihar"/>
    <n v="0"/>
    <n v="0"/>
    <n v="2"/>
    <n v="11"/>
    <n v="3"/>
    <x v="0"/>
    <n v="14"/>
    <n v="0"/>
    <n v="0"/>
    <n v="0"/>
    <n v="0"/>
    <n v="1415.0943396226414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9433962264E-2"/>
    <n v="10200000"/>
    <n v="7.2080000000000005E-2"/>
    <x v="2"/>
    <s v="Todo bien"/>
    <x v="1"/>
    <x v="4"/>
    <n v="616.41544938679181"/>
    <x v="1"/>
    <x v="2"/>
    <s v="Pequeña"/>
    <x v="1"/>
    <n v="1415.0943396226414"/>
  </r>
  <r>
    <s v="Bestech Park View Residency"/>
    <x v="266"/>
    <n v="8553"/>
    <n v="1"/>
    <x v="6"/>
    <x v="5"/>
    <s v=" Palam Vihar"/>
    <n v="0"/>
    <n v="0"/>
    <n v="1"/>
    <n v="7"/>
    <n v="2"/>
    <x v="3"/>
    <n v="8"/>
    <n v="0"/>
    <n v="0"/>
    <n v="0"/>
    <n v="0"/>
    <n v="2149.0587122840197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5006430492224E-3"/>
    <n v="5560000"/>
    <n v="8.5529999999999995E-2"/>
    <x v="1"/>
    <s v="Todo bien"/>
    <x v="0"/>
    <x v="3"/>
    <n v="283.16817432526187"/>
    <x v="0"/>
    <x v="2"/>
    <s v="Pequeña"/>
    <x v="0"/>
    <n v="650.06430492224956"/>
  </r>
  <r>
    <s v="Ireo Skyon"/>
    <x v="51"/>
    <n v="16129"/>
    <n v="2"/>
    <x v="7"/>
    <x v="0"/>
    <s v=" Sector 60 Gurgaon"/>
    <n v="0"/>
    <n v="0"/>
    <n v="3"/>
    <n v="4"/>
    <n v="2"/>
    <x v="0"/>
    <n v="39"/>
    <n v="0"/>
    <n v="1"/>
    <n v="0"/>
    <n v="0"/>
    <n v="1550.0031000062002"/>
    <m/>
    <n v="15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0"/>
    <n v="3"/>
    <n v="1"/>
    <n v="0"/>
    <n v="0"/>
    <n v="0"/>
    <n v="0"/>
    <n v="0"/>
    <n v="0"/>
    <n v="0"/>
    <n v="1.5500031000062E-2"/>
    <n v="25000000"/>
    <n v="0.16128999999999999"/>
    <x v="3"/>
    <s v="Todo bien"/>
    <x v="0"/>
    <x v="4"/>
    <n v="675.1817392584785"/>
    <x v="1"/>
    <x v="2"/>
    <s v="Pequeña"/>
    <x v="1"/>
    <n v="1550.0031000062002"/>
  </r>
  <r>
    <s v="Pioneer Park"/>
    <x v="6"/>
    <n v="11764"/>
    <n v="3"/>
    <x v="7"/>
    <x v="5"/>
    <s v=" Sector 61 Gurgaon"/>
    <n v="0"/>
    <n v="0"/>
    <n v="3"/>
    <n v="24"/>
    <n v="3"/>
    <x v="1"/>
    <n v="32"/>
    <n v="0"/>
    <n v="0"/>
    <n v="0"/>
    <n v="0"/>
    <n v="1700.1020061203674"/>
    <m/>
    <n v="1700"/>
    <n v="1"/>
    <n v="0"/>
    <n v="0"/>
    <n v="1"/>
    <n v="1"/>
    <n v="0"/>
    <n v="1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1"/>
    <n v="4"/>
    <n v="1"/>
    <n v="0"/>
    <n v="0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0010200612036E-2"/>
    <n v="20000000"/>
    <n v="0.11763999999999999"/>
    <x v="3"/>
    <s v="Todo bien"/>
    <x v="1"/>
    <x v="3"/>
    <n v="740.56486042162214"/>
    <x v="1"/>
    <x v="2"/>
    <s v="Pequeña"/>
    <x v="1"/>
    <n v="1700.1020061203674"/>
  </r>
  <r>
    <s v="Dhoot Time Residency"/>
    <x v="18"/>
    <n v="12813"/>
    <n v="3"/>
    <x v="7"/>
    <x v="5"/>
    <s v=" Sector 63 Gurgaon"/>
    <n v="0"/>
    <n v="0"/>
    <n v="4"/>
    <n v="8"/>
    <n v="3"/>
    <x v="1"/>
    <n v="19"/>
    <n v="0"/>
    <n v="1"/>
    <n v="0"/>
    <n v="0"/>
    <n v="1717.0061656130495"/>
    <m/>
    <n v="1717"/>
    <n v="1"/>
    <n v="0"/>
    <n v="1"/>
    <n v="0"/>
    <n v="1"/>
    <n v="0"/>
    <n v="0"/>
    <n v="1"/>
    <n v="1"/>
    <n v="1"/>
    <n v="0"/>
    <n v="0"/>
    <n v="1"/>
    <n v="0"/>
    <n v="1"/>
    <n v="1"/>
    <n v="1"/>
    <n v="26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1700616561304E-2"/>
    <n v="22000000.000000004"/>
    <n v="0.12812999999999999"/>
    <x v="3"/>
    <s v="Todo bien"/>
    <x v="1"/>
    <x v="1"/>
    <n v="747.92831653788721"/>
    <x v="1"/>
    <x v="2"/>
    <s v="Pequeña"/>
    <x v="1"/>
    <n v="1717.0061656130495"/>
  </r>
  <r>
    <s v="Experion The Heartsong"/>
    <x v="71"/>
    <n v="8237"/>
    <n v="3"/>
    <x v="7"/>
    <x v="5"/>
    <s v=" Sector 108 Gurgaon"/>
    <n v="0"/>
    <n v="0"/>
    <n v="4"/>
    <n v="3"/>
    <n v="3"/>
    <x v="1"/>
    <n v="14"/>
    <n v="0"/>
    <n v="1"/>
    <n v="0"/>
    <n v="0"/>
    <n v="2112.676056338028"/>
    <n v="1771.32"/>
    <n v="2003"/>
    <n v="1"/>
    <n v="0"/>
    <n v="0"/>
    <n v="1"/>
    <n v="1"/>
    <n v="0"/>
    <n v="1"/>
    <n v="1"/>
    <n v="1"/>
    <n v="1"/>
    <n v="0"/>
    <n v="1"/>
    <n v="1"/>
    <n v="0"/>
    <n v="1"/>
    <n v="1"/>
    <n v="1"/>
    <n v="31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031564890129899E-2"/>
    <n v="16500000"/>
    <n v="8.2369999999999999E-2"/>
    <x v="3"/>
    <s v="Todo bien"/>
    <x v="1"/>
    <x v="3"/>
    <n v="872.57546920602158"/>
    <x v="1"/>
    <x v="2"/>
    <s v="Mediana"/>
    <x v="2"/>
    <n v="2003.1564890129903"/>
  </r>
  <r>
    <s v="AIPL The Peaceful Homes"/>
    <x v="26"/>
    <n v="9584"/>
    <n v="2"/>
    <x v="5"/>
    <x v="5"/>
    <s v=" Sector 70A Gurgaon"/>
    <n v="0"/>
    <n v="0"/>
    <n v="2"/>
    <n v="22"/>
    <n v="2"/>
    <x v="0"/>
    <n v="30"/>
    <n v="0"/>
    <n v="0"/>
    <n v="0"/>
    <n v="0"/>
    <n v="1669.4490818030051"/>
    <m/>
    <n v="15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694490818030001E-2"/>
    <n v="16000000"/>
    <n v="9.5839999999999995E-2"/>
    <x v="3"/>
    <s v="Todo bien"/>
    <x v="0"/>
    <x v="5"/>
    <n v="727.21243889816151"/>
    <x v="1"/>
    <x v="2"/>
    <s v="Pequeña"/>
    <x v="1"/>
    <n v="1669.4490818030051"/>
  </r>
  <r>
    <s v="Vatika The Seven Lamps"/>
    <x v="28"/>
    <n v="6538"/>
    <n v="2"/>
    <x v="4"/>
    <x v="0"/>
    <s v=" Sector 82 Gurgaon"/>
    <n v="0"/>
    <n v="0"/>
    <n v="2"/>
    <n v="0"/>
    <n v="2"/>
    <x v="0"/>
    <n v="16"/>
    <n v="0"/>
    <n v="0"/>
    <n v="0"/>
    <n v="0"/>
    <n v="1300.0917711838483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0009177118384E-2"/>
    <n v="8500000"/>
    <n v="6.5379999999999994E-2"/>
    <x v="1"/>
    <s v="Todo bien"/>
    <x v="0"/>
    <x v="1"/>
    <n v="566.32030172070608"/>
    <x v="1"/>
    <x v="2"/>
    <s v="Pequeña"/>
    <x v="1"/>
    <n v="1300.0917711838483"/>
  </r>
  <r>
    <s v="Emaar Gurgaon Greens"/>
    <x v="100"/>
    <n v="8484"/>
    <n v="3"/>
    <x v="4"/>
    <x v="0"/>
    <s v=" Sector 102 Gurgaon"/>
    <n v="0"/>
    <n v="0"/>
    <n v="3"/>
    <n v="3"/>
    <n v="3"/>
    <x v="1"/>
    <n v="14"/>
    <n v="1"/>
    <n v="0"/>
    <n v="0"/>
    <n v="0"/>
    <n v="750"/>
    <m/>
    <n v="1650"/>
    <n v="1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0"/>
    <s v="Pequeña"/>
    <x v="1"/>
    <n v="1650.1650165016501"/>
  </r>
  <r>
    <s v="DLF Wellington Estate"/>
    <x v="263"/>
    <n v="14615"/>
    <n v="3"/>
    <x v="0"/>
    <x v="1"/>
    <s v=" DLF Phase 5"/>
    <n v="0"/>
    <n v="0"/>
    <n v="3"/>
    <n v="11"/>
    <n v="2"/>
    <x v="1"/>
    <n v="14"/>
    <n v="0"/>
    <n v="0"/>
    <n v="0"/>
    <n v="0"/>
    <n v="1430.0376325692782"/>
    <m/>
    <n v="1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3763256927E-2"/>
    <n v="20900000"/>
    <n v="0.14615"/>
    <x v="3"/>
    <s v="Todo bien"/>
    <x v="1"/>
    <x v="5"/>
    <n v="622.92475154361603"/>
    <x v="1"/>
    <x v="2"/>
    <s v="Pequeña"/>
    <x v="1"/>
    <n v="1430.0376325692782"/>
  </r>
  <r>
    <s v="Orchid Petals"/>
    <x v="155"/>
    <n v="12178"/>
    <n v="3"/>
    <x v="4"/>
    <x v="1"/>
    <s v=" Sector 49 Gurgaon"/>
    <n v="0"/>
    <n v="0"/>
    <n v="3"/>
    <n v="7"/>
    <n v="3"/>
    <x v="1"/>
    <n v="14"/>
    <n v="0"/>
    <n v="1"/>
    <n v="0"/>
    <n v="0"/>
    <n v="2061.0937756610283"/>
    <m/>
    <n v="2061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0"/>
    <x v="1"/>
    <x v="0"/>
    <x v="0"/>
    <x v="1"/>
    <x v="0"/>
    <x v="0"/>
    <n v="1"/>
    <n v="6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610937756610201E-2"/>
    <n v="25100000"/>
    <n v="0.12178"/>
    <x v="5"/>
    <s v="Todo bien"/>
    <x v="1"/>
    <x v="3"/>
    <n v="897.81296580636877"/>
    <x v="1"/>
    <x v="2"/>
    <s v="Pequeña"/>
    <x v="2"/>
    <n v="2061.0937756610283"/>
  </r>
  <r>
    <s v="Sunischit Apartments"/>
    <x v="267"/>
    <n v="7954"/>
    <n v="3"/>
    <x v="5"/>
    <x v="1"/>
    <s v=" Sector 54 Gurgaon"/>
    <n v="0"/>
    <n v="0"/>
    <n v="3"/>
    <n v="5"/>
    <n v="3"/>
    <x v="1"/>
    <n v="9"/>
    <n v="1"/>
    <n v="0"/>
    <n v="0"/>
    <n v="0"/>
    <n v="2124.7171234598945"/>
    <m/>
    <n v="2200"/>
    <n v="1"/>
    <n v="1"/>
    <n v="0"/>
    <n v="1"/>
    <n v="0"/>
    <n v="0"/>
    <n v="0"/>
    <n v="1"/>
    <n v="0"/>
    <n v="0"/>
    <n v="1"/>
    <n v="1"/>
    <n v="1"/>
    <n v="1"/>
    <n v="1"/>
    <n v="0"/>
    <n v="0"/>
    <n v="27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1247171234598902E-2"/>
    <n v="16900000"/>
    <n v="7.954E-2"/>
    <x v="3"/>
    <s v="Todo bien"/>
    <x v="1"/>
    <x v="1"/>
    <n v="925.52731207065449"/>
    <x v="1"/>
    <x v="2"/>
    <s v="Pequeña"/>
    <x v="2"/>
    <n v="2124.7171234598945"/>
  </r>
  <r>
    <s v="Bestech Park View Residency"/>
    <x v="268"/>
    <n v="6932"/>
    <n v="2"/>
    <x v="4"/>
    <x v="5"/>
    <s v=" Palam Vihar"/>
    <n v="0"/>
    <n v="0"/>
    <n v="2"/>
    <n v="11"/>
    <n v="3"/>
    <x v="0"/>
    <n v="14"/>
    <n v="0"/>
    <n v="0"/>
    <n v="0"/>
    <n v="0"/>
    <n v="1415.1759953837275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7599538372E-2"/>
    <n v="9810000"/>
    <n v="6.9320000000000007E-2"/>
    <x v="1"/>
    <s v="Todo bien"/>
    <x v="1"/>
    <x v="4"/>
    <n v="616.45101865680567"/>
    <x v="1"/>
    <x v="2"/>
    <s v="Pequeña"/>
    <x v="1"/>
    <n v="1415.1759953837275"/>
  </r>
  <r>
    <s v="Experion The Heartsong"/>
    <x v="6"/>
    <n v="7196"/>
    <n v="4"/>
    <x v="2"/>
    <x v="0"/>
    <s v=" Sector 108 Gurgaon"/>
    <n v="0"/>
    <n v="0"/>
    <n v="4"/>
    <n v="10"/>
    <n v="3"/>
    <x v="2"/>
    <n v="14"/>
    <n v="1"/>
    <n v="0"/>
    <n v="1"/>
    <n v="0"/>
    <n v="990.09900990099015"/>
    <n v="2500"/>
    <n v="27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7793218454697E-2"/>
    <n v="20000000"/>
    <n v="7.1959999999999996E-2"/>
    <x v="3"/>
    <s v="Todo bien"/>
    <x v="1"/>
    <x v="5"/>
    <n v="1210.6732932184525"/>
    <x v="1"/>
    <x v="0"/>
    <s v="Grande"/>
    <x v="2"/>
    <n v="2779.3218454697057"/>
  </r>
  <r>
    <s v="Orchid Petals"/>
    <x v="82"/>
    <n v="9972"/>
    <n v="3"/>
    <x v="4"/>
    <x v="1"/>
    <s v=" Sector 49 Gurgaon"/>
    <n v="0"/>
    <n v="0"/>
    <n v="3"/>
    <n v="2"/>
    <n v="3"/>
    <x v="1"/>
    <n v="14"/>
    <n v="0"/>
    <n v="0"/>
    <n v="0"/>
    <n v="0"/>
    <n v="1955.4753309265943"/>
    <m/>
    <n v="1805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0"/>
    <x v="1"/>
    <x v="0"/>
    <x v="0"/>
    <x v="1"/>
    <x v="0"/>
    <x v="0"/>
    <n v="1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54753309265899E-2"/>
    <n v="19500000"/>
    <n v="9.9720000000000003E-2"/>
    <x v="3"/>
    <s v="Todo bien"/>
    <x v="1"/>
    <x v="5"/>
    <n v="851.80554478038312"/>
    <x v="1"/>
    <x v="2"/>
    <s v="Pequeña"/>
    <x v="1"/>
    <n v="1955.4753309265943"/>
  </r>
  <r>
    <s v="DLF Carlton Estate"/>
    <x v="69"/>
    <n v="15418"/>
    <n v="3"/>
    <x v="4"/>
    <x v="1"/>
    <s v=" DLF Phase 5"/>
    <n v="0"/>
    <n v="0"/>
    <n v="3"/>
    <n v="2"/>
    <n v="1"/>
    <x v="1"/>
    <n v="19"/>
    <n v="0"/>
    <n v="0"/>
    <n v="0"/>
    <n v="1"/>
    <n v="1362.0443637307042"/>
    <m/>
    <n v="1362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0"/>
    <x v="0"/>
    <x v="0"/>
    <x v="1"/>
    <x v="1"/>
    <x v="0"/>
    <x v="0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620443637307E-2"/>
    <n v="21000000"/>
    <n v="0.15418000000000001"/>
    <x v="3"/>
    <s v="Todo bien"/>
    <x v="1"/>
    <x v="5"/>
    <n v="593.3068665780238"/>
    <x v="1"/>
    <x v="2"/>
    <s v="Pequeña"/>
    <x v="1"/>
    <n v="1362.0443637307042"/>
  </r>
  <r>
    <s v="Kiran Residency"/>
    <x v="46"/>
    <n v="7750"/>
    <n v="3"/>
    <x v="5"/>
    <x v="1"/>
    <s v=" Sector 56 Gurgaon"/>
    <n v="0"/>
    <n v="0"/>
    <n v="3"/>
    <n v="5"/>
    <n v="3"/>
    <x v="1"/>
    <n v="9"/>
    <n v="1"/>
    <n v="0"/>
    <n v="0"/>
    <n v="0"/>
    <n v="2000"/>
    <m/>
    <n v="2000"/>
    <n v="1"/>
    <n v="1"/>
    <n v="0"/>
    <n v="1"/>
    <n v="0"/>
    <n v="0"/>
    <n v="0"/>
    <n v="1"/>
    <n v="0"/>
    <n v="1"/>
    <n v="1"/>
    <n v="1"/>
    <n v="1"/>
    <n v="0"/>
    <n v="1"/>
    <n v="0"/>
    <n v="0"/>
    <n v="34"/>
    <x v="0"/>
    <x v="0"/>
    <x v="0"/>
    <x v="0"/>
    <x v="0"/>
    <x v="0"/>
    <x v="0"/>
    <x v="1"/>
    <x v="0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500000"/>
    <n v="7.7499999999999999E-2"/>
    <x v="3"/>
    <s v="Todo bien"/>
    <x v="1"/>
    <x v="3"/>
    <n v="871.2005018000001"/>
    <x v="1"/>
    <x v="2"/>
    <s v="Pequeña"/>
    <x v="1"/>
    <n v="2000"/>
  </r>
  <r>
    <s v="Vatika City"/>
    <x v="138"/>
    <n v="9074"/>
    <n v="3"/>
    <x v="3"/>
    <x v="5"/>
    <s v=" Sector 49 Gurgaon"/>
    <n v="0"/>
    <n v="0"/>
    <n v="4"/>
    <n v="9"/>
    <n v="3"/>
    <x v="1"/>
    <n v="9"/>
    <n v="1"/>
    <n v="0"/>
    <n v="0"/>
    <n v="0"/>
    <n v="1423.1499051233395"/>
    <n v="1750.75"/>
    <n v="218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5"/>
    <n v="1"/>
    <n v="3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2"/>
    <n v="2.18205862905003E-2"/>
    <n v="19800000"/>
    <n v="9.0740000000000001E-2"/>
    <x v="3"/>
    <s v="Todo bien"/>
    <x v="1"/>
    <x v="5"/>
    <n v="950.5052862927032"/>
    <x v="1"/>
    <x v="2"/>
    <s v="Mediana"/>
    <x v="2"/>
    <n v="2182.0586290500332"/>
  </r>
  <r>
    <s v="The Lions CGHS"/>
    <x v="111"/>
    <n v="8541"/>
    <n v="4"/>
    <x v="0"/>
    <x v="5"/>
    <s v=" Sector 56 Gurgaon"/>
    <n v="0"/>
    <n v="0"/>
    <n v="4"/>
    <n v="8"/>
    <n v="3"/>
    <x v="2"/>
    <n v="9"/>
    <n v="0"/>
    <n v="0"/>
    <n v="0"/>
    <n v="0"/>
    <n v="1828.0421668393151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4001873316941799E-2"/>
    <n v="20500000"/>
    <n v="8.541E-2"/>
    <x v="3"/>
    <s v="Todo bien"/>
    <x v="1"/>
    <x v="1"/>
    <n v="1045.5222038929865"/>
    <x v="1"/>
    <x v="2"/>
    <s v="Pequeña"/>
    <x v="0"/>
    <n v="2400.187331694181"/>
  </r>
  <r>
    <s v="PGR Shree Kripaluji Apartment"/>
    <x v="100"/>
    <n v="6086"/>
    <n v="3"/>
    <x v="2"/>
    <x v="0"/>
    <s v=" Sector 52 Gurgaon"/>
    <n v="0"/>
    <n v="0"/>
    <n v="3"/>
    <n v="8"/>
    <n v="3"/>
    <x v="1"/>
    <n v="12"/>
    <n v="0"/>
    <n v="0"/>
    <n v="0"/>
    <n v="0"/>
    <n v="2125.2479455936523"/>
    <m/>
    <m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3003614853762702E-2"/>
    <n v="14000000"/>
    <n v="6.0859999999999997E-2"/>
    <x v="2"/>
    <s v="Todo bien"/>
    <x v="1"/>
    <x v="3"/>
    <n v="1002.0380401906"/>
    <x v="1"/>
    <x v="2"/>
    <s v="Pequeña"/>
    <x v="0"/>
    <n v="2300.3614853762733"/>
  </r>
  <r>
    <s v="ATS Tourmaline"/>
    <x v="100"/>
    <n v="8000"/>
    <n v="3"/>
    <x v="2"/>
    <x v="0"/>
    <s v=" Sector 109 Gurgaon"/>
    <n v="0"/>
    <n v="0"/>
    <n v="3"/>
    <n v="8"/>
    <n v="3"/>
    <x v="1"/>
    <n v="27"/>
    <n v="0"/>
    <n v="0"/>
    <n v="0"/>
    <n v="1"/>
    <n v="2300.1725129384704"/>
    <n v="1466"/>
    <n v="17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500000000000002E-2"/>
    <n v="14000000"/>
    <n v="0.08"/>
    <x v="2"/>
    <s v="Todo bien"/>
    <x v="0"/>
    <x v="5"/>
    <n v="762.3004390750001"/>
    <x v="1"/>
    <x v="2"/>
    <s v="Mediana"/>
    <x v="1"/>
    <n v="1750"/>
  </r>
  <r>
    <s v="Indiabulls Centrum Park"/>
    <x v="269"/>
    <n v="9182"/>
    <n v="4"/>
    <x v="4"/>
    <x v="0"/>
    <s v=" Sector 103 Gurgaon"/>
    <n v="0"/>
    <n v="0"/>
    <n v="6"/>
    <n v="8"/>
    <n v="3"/>
    <x v="2"/>
    <n v="18"/>
    <n v="1"/>
    <n v="0"/>
    <n v="0"/>
    <n v="0"/>
    <n v="2200"/>
    <m/>
    <n v="28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702461337399202E-2"/>
    <n v="23600000"/>
    <n v="9.1819999999999999E-2"/>
    <x v="3"/>
    <s v="Todo bien"/>
    <x v="1"/>
    <x v="5"/>
    <n v="1119.5998607318643"/>
    <x v="1"/>
    <x v="2"/>
    <s v="Pequeña"/>
    <x v="2"/>
    <n v="2570.2461337399259"/>
  </r>
  <r>
    <s v="ATS Kocoon"/>
    <x v="71"/>
    <n v="10645"/>
    <n v="3"/>
    <x v="4"/>
    <x v="0"/>
    <s v=" Sector 109 Gurgaon"/>
    <n v="0"/>
    <n v="0"/>
    <n v="3"/>
    <n v="19"/>
    <n v="3"/>
    <x v="1"/>
    <n v="24"/>
    <n v="0"/>
    <n v="0"/>
    <n v="0"/>
    <n v="1"/>
    <n v="326.62994748302805"/>
    <n v="1650"/>
    <n v="174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2348520432E-2"/>
    <n v="16500000"/>
    <n v="0.10645"/>
    <x v="3"/>
    <s v="Todo bien"/>
    <x v="1"/>
    <x v="5"/>
    <n v="675.19061905589422"/>
    <x v="1"/>
    <x v="1"/>
    <s v="Mediana"/>
    <x v="1"/>
    <n v="1550.0234852043213"/>
  </r>
  <r>
    <s v="Puri Diplomatic Greens"/>
    <x v="97"/>
    <n v="13589"/>
    <n v="3"/>
    <x v="0"/>
    <x v="0"/>
    <s v=" Sector 111 Gurgaon"/>
    <n v="0"/>
    <n v="0"/>
    <n v="4"/>
    <n v="7"/>
    <n v="2"/>
    <x v="1"/>
    <n v="21"/>
    <n v="1"/>
    <n v="0"/>
    <n v="0"/>
    <n v="0"/>
    <n v="1572.1368968436329"/>
    <m/>
    <n v="22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067039517199E-2"/>
    <n v="26500000"/>
    <n v="0.13589000000000001"/>
    <x v="5"/>
    <s v="Todo bien"/>
    <x v="1"/>
    <x v="5"/>
    <n v="849.4669695231413"/>
    <x v="1"/>
    <x v="2"/>
    <s v="Pequeña"/>
    <x v="2"/>
    <n v="1950.1067039517254"/>
  </r>
  <r>
    <s v="ATS Triumph"/>
    <x v="270"/>
    <n v="9563"/>
    <n v="4"/>
    <x v="5"/>
    <x v="0"/>
    <s v=" Sector 104 Gurgaon"/>
    <n v="0"/>
    <n v="0"/>
    <n v="4"/>
    <n v="21"/>
    <n v="3"/>
    <x v="2"/>
    <n v="27"/>
    <n v="1"/>
    <n v="0"/>
    <n v="0"/>
    <n v="0"/>
    <n v="1342.0724094881398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5018299696747E-2"/>
    <n v="26300000"/>
    <n v="9.5630000000000007E-2"/>
    <x v="5"/>
    <s v="Todo bien"/>
    <x v="1"/>
    <x v="5"/>
    <n v="1197.980403499944"/>
    <x v="1"/>
    <x v="2"/>
    <s v="Pequeña"/>
    <x v="3"/>
    <n v="2750.1829969674786"/>
  </r>
  <r>
    <s v="Puri Emerald Bay"/>
    <x v="39"/>
    <n v="10465"/>
    <n v="3"/>
    <x v="5"/>
    <x v="0"/>
    <s v=" Sector 104 Gurgaon"/>
    <n v="0"/>
    <n v="0"/>
    <n v="4"/>
    <n v="4"/>
    <n v="3"/>
    <x v="1"/>
    <n v="29"/>
    <n v="1"/>
    <n v="0"/>
    <n v="0"/>
    <n v="0"/>
    <n v="929.9442033477992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238891543198E-2"/>
    <n v="22500000"/>
    <n v="0.10465000000000001"/>
    <x v="3"/>
    <s v="Todo bien"/>
    <x v="1"/>
    <x v="5"/>
    <n v="936.5509455566156"/>
    <x v="1"/>
    <x v="0"/>
    <s v="Pequeña"/>
    <x v="2"/>
    <n v="2150.0238891543236"/>
  </r>
  <r>
    <s v="ATS Triumph"/>
    <x v="161"/>
    <n v="13076"/>
    <n v="4"/>
    <x v="4"/>
    <x v="0"/>
    <s v=" Sector 104 Gurgaon"/>
    <n v="0"/>
    <n v="0"/>
    <n v="4"/>
    <n v="21"/>
    <n v="3"/>
    <x v="2"/>
    <n v="27"/>
    <n v="1"/>
    <n v="0"/>
    <n v="0"/>
    <n v="0"/>
    <n v="317.98524548460955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76567757699E-2"/>
    <n v="25500000"/>
    <n v="0.13075999999999999"/>
    <x v="5"/>
    <s v="Todo bien"/>
    <x v="0"/>
    <x v="5"/>
    <n v="849.48045258106356"/>
    <x v="1"/>
    <x v="1"/>
    <s v="Pequeña"/>
    <x v="3"/>
    <n v="1950.1376567757725"/>
  </r>
  <r>
    <s v="Indiabulls Centrum Park"/>
    <x v="81"/>
    <n v="7765"/>
    <n v="2"/>
    <x v="2"/>
    <x v="0"/>
    <s v=" Sector 103 Gurgaon"/>
    <n v="0"/>
    <n v="0"/>
    <n v="2"/>
    <n v="8"/>
    <n v="3"/>
    <x v="0"/>
    <n v="18"/>
    <n v="0"/>
    <n v="1"/>
    <n v="0"/>
    <n v="0"/>
    <n v="1481.0045074050227"/>
    <n v="1250"/>
    <n v="148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810045074050201E-2"/>
    <n v="11500000"/>
    <n v="7.7649999999999997E-2"/>
    <x v="2"/>
    <s v="Todo bien"/>
    <x v="1"/>
    <x v="5"/>
    <n v="645.12593500965772"/>
    <x v="1"/>
    <x v="2"/>
    <s v="Mediana"/>
    <x v="1"/>
    <n v="1481.0045074050227"/>
  </r>
  <r>
    <s v="Sagar Apartment"/>
    <x v="59"/>
    <n v="7250"/>
    <n v="3"/>
    <x v="8"/>
    <x v="1"/>
    <s v=" Sector 56 Gurgaon"/>
    <n v="0"/>
    <n v="0"/>
    <n v="3"/>
    <n v="7"/>
    <n v="3"/>
    <x v="1"/>
    <n v="8"/>
    <n v="1"/>
    <n v="1"/>
    <n v="1"/>
    <n v="0"/>
    <n v="2892.0061491160645"/>
    <n v="19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4500000"/>
    <n v="7.2499999999999995E-2"/>
    <x v="2"/>
    <s v="Todo bien"/>
    <x v="0"/>
    <x v="5"/>
    <n v="871.2005018000001"/>
    <x v="1"/>
    <x v="3"/>
    <s v="Grande"/>
    <x v="1"/>
    <n v="2000.0000000000002"/>
  </r>
  <r>
    <s v="ATS Triumph"/>
    <x v="153"/>
    <n v="8813"/>
    <n v="4"/>
    <x v="4"/>
    <x v="0"/>
    <s v=" Sector 104 Gurgaon"/>
    <n v="0"/>
    <n v="0"/>
    <n v="4"/>
    <n v="16"/>
    <n v="3"/>
    <x v="2"/>
    <n v="27"/>
    <n v="1"/>
    <n v="0"/>
    <n v="0"/>
    <n v="0"/>
    <n v="1104.9723756906078"/>
    <m/>
    <n v="31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1872234199401E-2"/>
    <n v="26000000"/>
    <n v="8.813E-2"/>
    <x v="5"/>
    <s v="Todo bien"/>
    <x v="1"/>
    <x v="5"/>
    <n v="1285.1022947237004"/>
    <x v="1"/>
    <x v="0"/>
    <s v="Pequeña"/>
    <x v="3"/>
    <n v="2950.1872234199477"/>
  </r>
  <r>
    <s v="Emaar Gurgaon Greens"/>
    <x v="46"/>
    <n v="9393"/>
    <n v="3"/>
    <x v="5"/>
    <x v="0"/>
    <s v=" Sector 102 Gurgaon"/>
    <n v="0"/>
    <n v="0"/>
    <n v="4"/>
    <n v="7"/>
    <n v="3"/>
    <x v="1"/>
    <n v="14"/>
    <n v="1"/>
    <n v="0"/>
    <n v="0"/>
    <n v="0"/>
    <n v="600.0960153624579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5500000"/>
    <n v="9.393E-2"/>
    <x v="3"/>
    <s v="Todo bien"/>
    <x v="1"/>
    <x v="5"/>
    <n v="718.81229521452144"/>
    <x v="1"/>
    <x v="0"/>
    <s v="Pequeña"/>
    <x v="1"/>
    <n v="1650.1650165016501"/>
  </r>
  <r>
    <s v="Paras Irene"/>
    <x v="56"/>
    <n v="8450"/>
    <n v="2"/>
    <x v="2"/>
    <x v="5"/>
    <s v=" Sector 70A Gurgaon"/>
    <n v="0"/>
    <n v="0"/>
    <n v="2"/>
    <n v="6"/>
    <n v="3"/>
    <x v="0"/>
    <n v="20"/>
    <n v="0"/>
    <n v="0"/>
    <n v="0"/>
    <n v="0"/>
    <n v="1420.1183431952661"/>
    <m/>
    <n v="142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0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11834319526E-2"/>
    <n v="12000000"/>
    <n v="8.4500000000000006E-2"/>
    <x v="2"/>
    <s v="Todo bien"/>
    <x v="0"/>
    <x v="0"/>
    <n v="618.60390660354756"/>
    <x v="1"/>
    <x v="2"/>
    <s v="Pequeña"/>
    <x v="1"/>
    <n v="1420.1183431952661"/>
  </r>
  <r>
    <s v="Shree Vardhman Victoria"/>
    <x v="46"/>
    <n v="7948"/>
    <n v="3"/>
    <x v="3"/>
    <x v="0"/>
    <s v=" Sector 70 Gurgaon"/>
    <n v="0"/>
    <n v="0"/>
    <n v="3"/>
    <n v="6"/>
    <n v="3"/>
    <x v="1"/>
    <n v="18"/>
    <n v="1"/>
    <n v="1"/>
    <n v="1"/>
    <n v="0"/>
    <n v="1104.7619047619048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1"/>
    <n v="1"/>
    <n v="0"/>
    <n v="0"/>
    <n v="1"/>
    <n v="1"/>
    <n v="0"/>
    <n v="0"/>
    <n v="0"/>
    <n v="0"/>
    <n v="0"/>
    <n v="0"/>
    <n v="0"/>
    <n v="0"/>
    <n v="3"/>
    <n v="1"/>
    <n v="0"/>
    <n v="0"/>
    <n v="0"/>
    <n v="0"/>
    <n v="0"/>
    <n v="0"/>
    <n v="0"/>
    <n v="1.9501761449421201E-2"/>
    <n v="15500000"/>
    <n v="7.9479999999999995E-2"/>
    <x v="3"/>
    <s v="Todo bien"/>
    <x v="0"/>
    <x v="1"/>
    <n v="849.49721803598231"/>
    <x v="1"/>
    <x v="0"/>
    <s v="Pequeña"/>
    <x v="1"/>
    <n v="1950.176144942124"/>
  </r>
  <r>
    <s v="Shree Vardhman Victoria"/>
    <x v="71"/>
    <n v="8461"/>
    <n v="3"/>
    <x v="3"/>
    <x v="0"/>
    <s v=" Sector 70 Gurgaon"/>
    <n v="0"/>
    <n v="0"/>
    <n v="4"/>
    <n v="5"/>
    <n v="3"/>
    <x v="1"/>
    <n v="18"/>
    <n v="1"/>
    <n v="0"/>
    <n v="0"/>
    <n v="0"/>
    <n v="1365.972410062212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3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1240988062801E-2"/>
    <n v="16500000"/>
    <n v="8.4610000000000005E-2"/>
    <x v="3"/>
    <s v="Todo bien"/>
    <x v="1"/>
    <x v="1"/>
    <n v="849.47454672615208"/>
    <x v="1"/>
    <x v="2"/>
    <s v="Pequeña"/>
    <x v="1"/>
    <n v="1950.1240988062875"/>
  </r>
  <r>
    <s v="SS The Leaf"/>
    <x v="16"/>
    <n v="6402"/>
    <n v="2"/>
    <x v="2"/>
    <x v="0"/>
    <s v=" Sector 85 Gurgaon"/>
    <n v="0"/>
    <n v="0"/>
    <n v="2"/>
    <n v="6"/>
    <n v="3"/>
    <x v="0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401124648547299E-2"/>
    <n v="10500000"/>
    <n v="6.4019999999999994E-2"/>
    <x v="2"/>
    <s v="Todo bien"/>
    <x v="1"/>
    <x v="1"/>
    <n v="714.4334011949378"/>
    <x v="1"/>
    <x v="2"/>
    <s v="Pequeña"/>
    <x v="1"/>
    <n v="1640.1124648547332"/>
  </r>
  <r>
    <s v="DLF Regal Gardens"/>
    <x v="70"/>
    <n v="9020"/>
    <n v="3"/>
    <x v="4"/>
    <x v="0"/>
    <s v=" Sector 90 Gurgaon"/>
    <n v="0"/>
    <n v="0"/>
    <n v="3"/>
    <n v="7"/>
    <n v="3"/>
    <x v="1"/>
    <n v="29"/>
    <n v="0"/>
    <n v="1"/>
    <n v="0"/>
    <n v="0"/>
    <n v="1081.081081081081"/>
    <n v="15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1552106430099E-2"/>
    <n v="12900000"/>
    <n v="9.0200000000000002E-2"/>
    <x v="2"/>
    <s v="Todo bien"/>
    <x v="0"/>
    <x v="5"/>
    <n v="622.97596858203747"/>
    <x v="1"/>
    <x v="0"/>
    <s v="Mediana"/>
    <x v="1"/>
    <n v="1430.1552106430154"/>
  </r>
  <r>
    <s v="Pyramid Urban"/>
    <x v="271"/>
    <n v="7928"/>
    <n v="2"/>
    <x v="2"/>
    <x v="0"/>
    <s v=" Sector 67A Gurgaon"/>
    <n v="0"/>
    <n v="0"/>
    <n v="2"/>
    <n v="0"/>
    <n v="2"/>
    <x v="0"/>
    <n v="15"/>
    <n v="0"/>
    <n v="0"/>
    <n v="0"/>
    <n v="0"/>
    <n v="3216.22958931222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045408677996E-3"/>
    <n v="5550000"/>
    <n v="7.9280000000000003E-2"/>
    <x v="1"/>
    <s v="Todo bien"/>
    <x v="0"/>
    <x v="1"/>
    <n v="304.94215344286027"/>
    <x v="0"/>
    <x v="3"/>
    <s v="Pequeña"/>
    <x v="0"/>
    <n v="700.05045408678097"/>
  </r>
  <r>
    <s v="DLF Regal Gardens"/>
    <x v="192"/>
    <n v="7636"/>
    <n v="3"/>
    <x v="5"/>
    <x v="0"/>
    <s v=" Sector 90 Gurgaon"/>
    <n v="0"/>
    <n v="0"/>
    <n v="3"/>
    <n v="12"/>
    <n v="2"/>
    <x v="1"/>
    <n v="29"/>
    <n v="0"/>
    <n v="0"/>
    <n v="0"/>
    <n v="0"/>
    <n v="1650.0785751702463"/>
    <n v="1650"/>
    <n v="174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785751702399E-2"/>
    <n v="12600000"/>
    <n v="7.6359999999999997E-2"/>
    <x v="2"/>
    <s v="Todo bien"/>
    <x v="0"/>
    <x v="2"/>
    <n v="718.774641348871"/>
    <x v="1"/>
    <x v="2"/>
    <s v="Mediana"/>
    <x v="1"/>
    <n v="1650.0785751702463"/>
  </r>
  <r>
    <s v="SS The Leaf"/>
    <x v="264"/>
    <n v="5026"/>
    <n v="4"/>
    <x v="5"/>
    <x v="0"/>
    <s v=" Sector 85 Gurgaon"/>
    <n v="0"/>
    <n v="0"/>
    <n v="6"/>
    <n v="6"/>
    <n v="3"/>
    <x v="2"/>
    <n v="26"/>
    <n v="1"/>
    <n v="0"/>
    <n v="0"/>
    <n v="0"/>
    <n v="1470.089336198123"/>
    <n v="389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2387584560197E-2"/>
    <n v="19100000"/>
    <n v="5.0259999999999999E-2"/>
    <x v="3"/>
    <s v="Todo bien"/>
    <x v="0"/>
    <x v="5"/>
    <n v="1655.3849566633469"/>
    <x v="3"/>
    <x v="2"/>
    <s v="Muy grande"/>
    <x v="3"/>
    <n v="3800.2387584560288"/>
  </r>
  <r>
    <s v="SS The Leaf"/>
    <x v="18"/>
    <n v="5641"/>
    <n v="4"/>
    <x v="7"/>
    <x v="0"/>
    <s v=" Sector 85 Gurgaon"/>
    <n v="0"/>
    <n v="0"/>
    <n v="6"/>
    <n v="10"/>
    <n v="3"/>
    <x v="2"/>
    <n v="26"/>
    <n v="1"/>
    <n v="0"/>
    <n v="0"/>
    <n v="0"/>
    <n v="1313.7254901960785"/>
    <n v="392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000177273532999E-2"/>
    <n v="22000000.000000004"/>
    <n v="5.6410000000000002E-2"/>
    <x v="3"/>
    <s v="Todo bien"/>
    <x v="0"/>
    <x v="5"/>
    <n v="1698.8487005495454"/>
    <x v="3"/>
    <x v="2"/>
    <s v="Muy grande"/>
    <x v="3"/>
    <n v="3900.0177273533063"/>
  </r>
  <r>
    <s v="SS The Leaf"/>
    <x v="138"/>
    <n v="8256"/>
    <n v="3"/>
    <x v="0"/>
    <x v="0"/>
    <s v=" Sector 85 Gurgaon"/>
    <n v="0"/>
    <n v="0"/>
    <n v="4"/>
    <n v="12"/>
    <n v="3"/>
    <x v="1"/>
    <n v="26"/>
    <n v="0"/>
    <n v="0"/>
    <n v="0"/>
    <n v="1"/>
    <n v="1640.1409306281134"/>
    <n v="2399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82558139534801E-2"/>
    <n v="19800000"/>
    <n v="8.2559999999999995E-2"/>
    <x v="3"/>
    <s v="Todo bien"/>
    <x v="0"/>
    <x v="5"/>
    <n v="1044.6808342805198"/>
    <x v="1"/>
    <x v="2"/>
    <s v="Grande"/>
    <x v="2"/>
    <n v="2398.2558139534885"/>
  </r>
  <r>
    <s v="SS The Leaf"/>
    <x v="272"/>
    <n v="6851"/>
    <n v="2"/>
    <x v="5"/>
    <x v="0"/>
    <s v=" Sector 85 Gurgaon"/>
    <n v="0"/>
    <n v="0"/>
    <n v="2"/>
    <n v="8"/>
    <n v="3"/>
    <x v="0"/>
    <n v="26"/>
    <n v="0"/>
    <n v="0"/>
    <n v="0"/>
    <n v="1"/>
    <n v="1614.2857142857142"/>
    <n v="1630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2014304481101E-2"/>
    <n v="11100000"/>
    <n v="6.8510000000000001E-2"/>
    <x v="2"/>
    <s v="Todo bien"/>
    <x v="0"/>
    <x v="5"/>
    <n v="705.76014961173564"/>
    <x v="1"/>
    <x v="2"/>
    <s v="Mediana"/>
    <x v="1"/>
    <n v="1620.2014304481097"/>
  </r>
  <r>
    <s v="DLF The Ultima"/>
    <x v="39"/>
    <n v="10755"/>
    <n v="3"/>
    <x v="0"/>
    <x v="0"/>
    <s v=" Sector 81 Gurgaon"/>
    <n v="0"/>
    <n v="0"/>
    <n v="4"/>
    <n v="11"/>
    <n v="3"/>
    <x v="1"/>
    <n v="29"/>
    <n v="1"/>
    <n v="0"/>
    <n v="0"/>
    <n v="0"/>
    <n v="3008.0842263583381"/>
    <n v="209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0"/>
    <n v="0"/>
    <n v="0"/>
    <n v="0"/>
    <n v="0"/>
    <n v="1"/>
    <n v="2"/>
    <n v="1"/>
    <n v="0"/>
    <n v="0"/>
    <n v="0"/>
    <n v="0"/>
    <n v="0"/>
    <n v="0"/>
    <n v="1"/>
    <n v="2.0920502092050201E-2"/>
    <n v="22500000"/>
    <n v="0.10755000000000001"/>
    <x v="3"/>
    <s v="Todo bien"/>
    <x v="2"/>
    <x v="5"/>
    <n v="911.29759602510433"/>
    <x v="1"/>
    <x v="3"/>
    <s v="Grande"/>
    <x v="2"/>
    <n v="2092.0502092050206"/>
  </r>
  <r>
    <s v="SS The Coralwood"/>
    <x v="16"/>
    <n v="6774"/>
    <n v="3"/>
    <x v="2"/>
    <x v="0"/>
    <s v=" Sector 84 Gurgaon"/>
    <n v="0"/>
    <n v="0"/>
    <n v="3"/>
    <n v="6"/>
    <n v="3"/>
    <x v="1"/>
    <n v="20"/>
    <n v="0"/>
    <n v="0"/>
    <n v="0"/>
    <n v="0"/>
    <n v="1450.0634402755122"/>
    <n v="1610"/>
    <n v="17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4428697962E-2"/>
    <n v="10500000"/>
    <n v="6.7739999999999995E-2"/>
    <x v="2"/>
    <s v="Todo bien"/>
    <x v="0"/>
    <x v="5"/>
    <n v="675.19968031443409"/>
    <x v="1"/>
    <x v="2"/>
    <s v="Mediana"/>
    <x v="1"/>
    <n v="1550.0442869796282"/>
  </r>
  <r>
    <s v="DLF The Primus"/>
    <x v="153"/>
    <n v="11438"/>
    <n v="4"/>
    <x v="4"/>
    <x v="0"/>
    <s v=" Sector 82A Gurgaon"/>
    <n v="0"/>
    <n v="0"/>
    <n v="4"/>
    <n v="2"/>
    <n v="3"/>
    <x v="2"/>
    <n v="32"/>
    <n v="0"/>
    <n v="0"/>
    <n v="0"/>
    <n v="0"/>
    <n v="3764.0295647413086"/>
    <m/>
    <n v="2273"/>
    <n v="0"/>
    <n v="1"/>
    <n v="1"/>
    <n v="1"/>
    <n v="0"/>
    <n v="0"/>
    <n v="0"/>
    <n v="1"/>
    <n v="1"/>
    <n v="0"/>
    <n v="0"/>
    <n v="0"/>
    <n v="1"/>
    <n v="0"/>
    <n v="0"/>
    <n v="1"/>
    <n v="1"/>
    <n v="33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31246721454799E-2"/>
    <n v="26000000"/>
    <n v="0.11438"/>
    <x v="5"/>
    <s v="Todo bien"/>
    <x v="0"/>
    <x v="3"/>
    <n v="990.1736775135513"/>
    <x v="1"/>
    <x v="3"/>
    <s v="Pequeña"/>
    <x v="2"/>
    <n v="2273.12467214548"/>
  </r>
  <r>
    <s v="SS The Leaf"/>
    <x v="211"/>
    <n v="8320"/>
    <n v="2"/>
    <x v="4"/>
    <x v="2"/>
    <s v=" Sector 85 Gurgaon"/>
    <n v="0"/>
    <n v="0"/>
    <n v="2"/>
    <n v="17"/>
    <n v="3"/>
    <x v="0"/>
    <n v="26"/>
    <n v="0"/>
    <n v="0"/>
    <n v="0"/>
    <n v="0"/>
    <n v="1665.7899351218657"/>
    <n v="1550"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0400000"/>
    <n v="8.3199999999999996E-2"/>
    <x v="2"/>
    <s v="Todo bien"/>
    <x v="0"/>
    <x v="5"/>
    <n v="544.5003136250001"/>
    <x v="1"/>
    <x v="2"/>
    <s v="Mediana"/>
    <x v="1"/>
    <n v="1250"/>
  </r>
  <r>
    <s v="DLF Regal Gardens"/>
    <x v="43"/>
    <n v="7167"/>
    <n v="3"/>
    <x v="4"/>
    <x v="0"/>
    <s v=" Sector 90 Gurgaon"/>
    <n v="0"/>
    <n v="0"/>
    <n v="3"/>
    <n v="11"/>
    <n v="2"/>
    <x v="1"/>
    <n v="29"/>
    <n v="0"/>
    <n v="0"/>
    <n v="0"/>
    <n v="0"/>
    <n v="1744.1049253523092"/>
    <m/>
    <n v="1744"/>
    <n v="0"/>
    <n v="0"/>
    <n v="0"/>
    <n v="0"/>
    <n v="0"/>
    <n v="0"/>
    <n v="0"/>
    <n v="1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049253523001E-2"/>
    <n v="12500000"/>
    <n v="7.1669999999999998E-2"/>
    <x v="2"/>
    <s v="Todo bien"/>
    <x v="0"/>
    <x v="2"/>
    <n v="759.73254307938771"/>
    <x v="1"/>
    <x v="2"/>
    <s v="Pequeña"/>
    <x v="1"/>
    <n v="1744.1049253523092"/>
  </r>
  <r>
    <s v="Experion Windchants"/>
    <x v="107"/>
    <n v="12134"/>
    <n v="3"/>
    <x v="2"/>
    <x v="0"/>
    <s v=" Sector 112 Gurgaon"/>
    <n v="0"/>
    <n v="0"/>
    <n v="3"/>
    <n v="14"/>
    <n v="2"/>
    <x v="1"/>
    <n v="28"/>
    <n v="0"/>
    <n v="0"/>
    <n v="0"/>
    <n v="0"/>
    <n v="2802.0438437448493"/>
    <n v="2225.56"/>
    <n v="280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8020438437448399E-2"/>
    <n v="34000000"/>
    <n v="0.12134"/>
    <x v="5"/>
    <s v="Todo bien"/>
    <x v="0"/>
    <x v="5"/>
    <n v="1220.5710013680527"/>
    <x v="1"/>
    <x v="3"/>
    <s v="Grande"/>
    <x v="2"/>
    <n v="2802.0438437448493"/>
  </r>
  <r>
    <s v="DLF Regal Gardens"/>
    <x v="43"/>
    <n v="7339"/>
    <n v="3"/>
    <x v="5"/>
    <x v="5"/>
    <s v=" Sector 90 Gurgaon"/>
    <n v="0"/>
    <n v="0"/>
    <n v="3"/>
    <n v="28"/>
    <n v="3"/>
    <x v="1"/>
    <n v="29"/>
    <n v="1"/>
    <n v="0"/>
    <n v="0"/>
    <n v="0"/>
    <n v="1703.2293227960213"/>
    <m/>
    <n v="1703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22932279602E-2"/>
    <n v="12500000"/>
    <n v="7.3389999999999997E-2"/>
    <x v="2"/>
    <s v="Todo bien"/>
    <x v="0"/>
    <x v="0"/>
    <n v="741.92712035018349"/>
    <x v="1"/>
    <x v="2"/>
    <s v="Pequeña"/>
    <x v="1"/>
    <n v="1703.2293227960213"/>
  </r>
  <r>
    <s v="Pyramid Urban Homes "/>
    <x v="273"/>
    <n v="8283"/>
    <n v="2"/>
    <x v="0"/>
    <x v="2"/>
    <s v=" Sector 86 Gurgaon"/>
    <n v="0"/>
    <n v="0"/>
    <n v="2"/>
    <n v="7"/>
    <n v="1"/>
    <x v="0"/>
    <n v="13"/>
    <n v="1"/>
    <n v="1"/>
    <n v="1"/>
    <n v="0"/>
    <n v="2039.649256576439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2619823734996E-3"/>
    <n v="4150000"/>
    <n v="8.2830000000000001E-2"/>
    <x v="0"/>
    <s v="Todo bien"/>
    <x v="0"/>
    <x v="1"/>
    <n v="218.2471376596628"/>
    <x v="0"/>
    <x v="2"/>
    <s v="Pequeña"/>
    <x v="0"/>
    <n v="501.02619823735358"/>
  </r>
  <r>
    <s v="Vatika Gurgaon "/>
    <x v="29"/>
    <n v="6024"/>
    <n v="2"/>
    <x v="4"/>
    <x v="0"/>
    <s v=" Sector 83 Gurgaon"/>
    <n v="0"/>
    <n v="0"/>
    <n v="2"/>
    <n v="19"/>
    <n v="2"/>
    <x v="0"/>
    <n v="21"/>
    <n v="0"/>
    <n v="0"/>
    <n v="0"/>
    <n v="0"/>
    <n v="1350.210970464135"/>
    <n v="115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2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1.24501992031872E-2"/>
    <n v="7500000"/>
    <n v="6.0240000000000002E-2"/>
    <x v="1"/>
    <s v="Todo bien"/>
    <x v="1"/>
    <x v="5"/>
    <n v="542.33098966633247"/>
    <x v="1"/>
    <x v="2"/>
    <s v="Mediana"/>
    <x v="1"/>
    <n v="1245.0199203187251"/>
  </r>
  <r>
    <s v="DLF Regal Gardens"/>
    <x v="74"/>
    <n v="7223"/>
    <n v="4"/>
    <x v="7"/>
    <x v="5"/>
    <s v=" Sector 90 Gurgaon"/>
    <n v="0"/>
    <n v="0"/>
    <n v="4"/>
    <n v="15"/>
    <n v="3"/>
    <x v="2"/>
    <n v="29"/>
    <n v="1"/>
    <n v="0"/>
    <n v="0"/>
    <n v="0"/>
    <n v="2353.5926900179979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35926900179902E-2"/>
    <n v="17000000"/>
    <n v="7.2230000000000003E-2"/>
    <x v="3"/>
    <s v="Todo bien"/>
    <x v="0"/>
    <x v="0"/>
    <n v="1025.2255662882426"/>
    <x v="1"/>
    <x v="2"/>
    <s v="Pequeña"/>
    <x v="2"/>
    <n v="2353.5926900179979"/>
  </r>
  <r>
    <s v="TARC Maceo"/>
    <x v="147"/>
    <n v="6641"/>
    <n v="2"/>
    <x v="7"/>
    <x v="0"/>
    <s v=" Sector 91 Gurgaon"/>
    <n v="0"/>
    <n v="0"/>
    <n v="2"/>
    <n v="9"/>
    <n v="2"/>
    <x v="0"/>
    <n v="13"/>
    <n v="0"/>
    <n v="0"/>
    <n v="0"/>
    <n v="1"/>
    <n v="1103.0333416896465"/>
    <m/>
    <n v="1310"/>
    <n v="1"/>
    <n v="1"/>
    <n v="0"/>
    <n v="1"/>
    <n v="1"/>
    <n v="1"/>
    <n v="0"/>
    <n v="0"/>
    <n v="1"/>
    <n v="1"/>
    <n v="0"/>
    <n v="0"/>
    <n v="1"/>
    <n v="0"/>
    <n v="1"/>
    <n v="1"/>
    <n v="1"/>
    <n v="3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8700000"/>
    <n v="6.6409999999999997E-2"/>
    <x v="1"/>
    <s v="Todo bien"/>
    <x v="0"/>
    <x v="3"/>
    <n v="570.65535052401719"/>
    <x v="1"/>
    <x v="0"/>
    <s v="Pequeña"/>
    <x v="1"/>
    <n v="1310.0436681222709"/>
  </r>
  <r>
    <s v="DLF Regal Gardens"/>
    <x v="43"/>
    <n v="10416"/>
    <n v="3"/>
    <x v="5"/>
    <x v="5"/>
    <s v=" Sector 90 Gurgaon"/>
    <n v="0"/>
    <n v="0"/>
    <n v="3"/>
    <n v="18"/>
    <n v="3"/>
    <x v="1"/>
    <n v="29"/>
    <n v="1"/>
    <n v="0"/>
    <n v="0"/>
    <n v="0"/>
    <n v="1260.9405132769618"/>
    <m/>
    <n v="17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680491551E-2"/>
    <n v="12500000"/>
    <n v="0.10416"/>
    <x v="2"/>
    <s v="Todo bien"/>
    <x v="0"/>
    <x v="5"/>
    <n v="522.75375732046655"/>
    <x v="1"/>
    <x v="2"/>
    <s v="Pequeña"/>
    <x v="1"/>
    <n v="1200.0768049155145"/>
  </r>
  <r>
    <s v="DLF The Ultima"/>
    <x v="168"/>
    <n v="11233"/>
    <n v="3"/>
    <x v="5"/>
    <x v="0"/>
    <s v=" Sector 81 Gurgaon"/>
    <n v="0"/>
    <n v="0"/>
    <n v="4"/>
    <n v="18"/>
    <n v="3"/>
    <x v="1"/>
    <n v="29"/>
    <n v="1"/>
    <n v="0"/>
    <n v="0"/>
    <n v="0"/>
    <n v="1423.0418943533698"/>
    <m/>
    <n v="2092"/>
    <n v="1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0502092050201E-2"/>
    <n v="23500000"/>
    <n v="0.11233"/>
    <x v="3"/>
    <s v="Todo bien"/>
    <x v="0"/>
    <x v="3"/>
    <n v="911.29759602510433"/>
    <x v="1"/>
    <x v="2"/>
    <s v="Pequeña"/>
    <x v="2"/>
    <n v="2092.050209205021"/>
  </r>
  <r>
    <s v="ATS Triumph"/>
    <x v="217"/>
    <n v="7554"/>
    <n v="3"/>
    <x v="2"/>
    <x v="0"/>
    <s v=" Sector 104 Gurgaon"/>
    <n v="0"/>
    <n v="0"/>
    <n v="4"/>
    <n v="15"/>
    <n v="3"/>
    <x v="1"/>
    <n v="27"/>
    <n v="1"/>
    <n v="0"/>
    <n v="0"/>
    <n v="0"/>
    <n v="2290.1773894625367"/>
    <m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73894625301E-2"/>
    <n v="17300000"/>
    <n v="7.5539999999999996E-2"/>
    <x v="3"/>
    <s v="Todo bien"/>
    <x v="0"/>
    <x v="5"/>
    <n v="997.60184545538516"/>
    <x v="1"/>
    <x v="2"/>
    <s v="Pequeña"/>
    <x v="2"/>
    <n v="2290.1773894625367"/>
  </r>
  <r>
    <s v="Paras Dews"/>
    <x v="115"/>
    <n v="8818"/>
    <n v="2"/>
    <x v="2"/>
    <x v="2"/>
    <s v=" Sector 106 Gurgaon"/>
    <n v="0"/>
    <n v="0"/>
    <n v="2"/>
    <n v="6"/>
    <n v="3"/>
    <x v="0"/>
    <n v="24"/>
    <n v="0"/>
    <n v="0"/>
    <n v="1"/>
    <n v="0"/>
    <n v="669.01836759518301"/>
    <n v="120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10002268088001E-2"/>
    <n v="9700000"/>
    <n v="8.8179999999999994E-2"/>
    <x v="1"/>
    <s v="Todo bien"/>
    <x v="1"/>
    <x v="5"/>
    <n v="479.17015578702302"/>
    <x v="0"/>
    <x v="0"/>
    <s v="Mediana"/>
    <x v="1"/>
    <n v="1100.0226808800182"/>
  </r>
  <r>
    <s v="Paras Dews"/>
    <x v="12"/>
    <n v="7297"/>
    <n v="4"/>
    <x v="2"/>
    <x v="0"/>
    <s v=" Sector 106 Gurgaon"/>
    <n v="0"/>
    <n v="0"/>
    <n v="4"/>
    <n v="18"/>
    <n v="3"/>
    <x v="2"/>
    <n v="24"/>
    <n v="1"/>
    <n v="0"/>
    <n v="1"/>
    <n v="0"/>
    <n v="569.07099160620282"/>
    <n v="2100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500753734411401E-2"/>
    <n v="13500000"/>
    <n v="7.2969999999999993E-2"/>
    <x v="2"/>
    <s v="Todo bien"/>
    <x v="1"/>
    <x v="5"/>
    <n v="805.89329685487189"/>
    <x v="1"/>
    <x v="1"/>
    <s v="Grande"/>
    <x v="2"/>
    <n v="1850.0753734411403"/>
  </r>
  <r>
    <s v="Pareena Coban Residences"/>
    <x v="98"/>
    <n v="6609"/>
    <n v="3"/>
    <x v="2"/>
    <x v="2"/>
    <s v=" Sector 99A Gurgaon"/>
    <n v="0"/>
    <n v="0"/>
    <n v="5"/>
    <n v="11"/>
    <n v="3"/>
    <x v="1"/>
    <n v="20"/>
    <n v="1"/>
    <n v="0"/>
    <n v="0"/>
    <n v="0"/>
    <n v="874999.99999999988"/>
    <m/>
    <n v="1997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764412165198E-2"/>
    <n v="13200000"/>
    <n v="6.6089999999999996E-2"/>
    <x v="2"/>
    <s v="Todo bien"/>
    <x v="1"/>
    <x v="4"/>
    <n v="870.01411891057523"/>
    <x v="1"/>
    <x v="3"/>
    <s v="Pequeña"/>
    <x v="1"/>
    <n v="1997.2764412165232"/>
  </r>
  <r>
    <s v="Eldeco Accolade"/>
    <x v="120"/>
    <n v="5607"/>
    <n v="2"/>
    <x v="2"/>
    <x v="0"/>
    <s v=" Sohna"/>
    <n v="0"/>
    <n v="0"/>
    <n v="2"/>
    <n v="10"/>
    <n v="3"/>
    <x v="0"/>
    <n v="18"/>
    <n v="0"/>
    <n v="0"/>
    <n v="0"/>
    <n v="0"/>
    <n v="1275.1917246299267"/>
    <m/>
    <n v="12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19172462992E-2"/>
    <n v="7150000"/>
    <n v="5.6070000000000002E-2"/>
    <x v="1"/>
    <s v="Todo bien"/>
    <x v="0"/>
    <x v="5"/>
    <n v="555.47383519439688"/>
    <x v="1"/>
    <x v="2"/>
    <s v="Pequeña"/>
    <x v="1"/>
    <n v="1275.1917246299267"/>
  </r>
  <r>
    <s v="Eldeco Accolade"/>
    <x v="32"/>
    <n v="5422"/>
    <n v="2"/>
    <x v="5"/>
    <x v="0"/>
    <s v=" Sohna"/>
    <n v="0"/>
    <n v="0"/>
    <n v="2"/>
    <n v="7"/>
    <n v="2"/>
    <x v="0"/>
    <n v="18"/>
    <n v="0"/>
    <n v="1"/>
    <n v="0"/>
    <n v="0"/>
    <n v="1438.5835485060863"/>
    <m/>
    <n v="1457"/>
    <n v="1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858354850608E-2"/>
    <n v="7800000"/>
    <n v="5.4219999999999997E-2"/>
    <x v="1"/>
    <s v="Todo bien"/>
    <x v="0"/>
    <x v="4"/>
    <n v="626.64735466986076"/>
    <x v="1"/>
    <x v="2"/>
    <s v="Pequeña"/>
    <x v="1"/>
    <n v="1438.5835485060863"/>
  </r>
  <r>
    <s v="MM Golfestate"/>
    <x v="145"/>
    <n v="16959"/>
    <n v="3"/>
    <x v="2"/>
    <x v="0"/>
    <s v=" Sector 65 Gurgaon"/>
    <n v="0"/>
    <n v="0"/>
    <n v="4"/>
    <n v="3"/>
    <n v="3"/>
    <x v="1"/>
    <n v="40"/>
    <n v="1"/>
    <n v="0"/>
    <n v="0"/>
    <n v="0"/>
    <n v="1640.1715871814283"/>
    <n v="2803"/>
    <n v="32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31157497493902E-2"/>
    <n v="55000000"/>
    <n v="0.16958999999999999"/>
    <x v="4"/>
    <s v="Todo bien"/>
    <x v="0"/>
    <x v="1"/>
    <n v="1412.702034288576"/>
    <x v="1"/>
    <x v="2"/>
    <s v="Muy grande"/>
    <x v="3"/>
    <n v="3243.1157497493959"/>
  </r>
  <r>
    <s v="DLF The Ultima"/>
    <x v="133"/>
    <n v="14375"/>
    <n v="3"/>
    <x v="2"/>
    <x v="0"/>
    <s v=" Sector 81 Gurgaon"/>
    <n v="0"/>
    <n v="0"/>
    <n v="4"/>
    <n v="18"/>
    <n v="3"/>
    <x v="1"/>
    <n v="29"/>
    <n v="1"/>
    <n v="0"/>
    <n v="0"/>
    <n v="0"/>
    <n v="1270.6480304955526"/>
    <m/>
    <n v="2132"/>
    <n v="1"/>
    <n v="1"/>
    <n v="1"/>
    <n v="1"/>
    <n v="0"/>
    <n v="1"/>
    <n v="1"/>
    <n v="1"/>
    <n v="0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1"/>
    <n v="0"/>
    <n v="2"/>
    <n v="1"/>
    <n v="0"/>
    <n v="0"/>
    <n v="0"/>
    <n v="1"/>
    <n v="3"/>
    <n v="1"/>
    <n v="0"/>
    <n v="0"/>
    <n v="0"/>
    <n v="0"/>
    <n v="0"/>
    <n v="0"/>
    <n v="2"/>
    <n v="1.59999999999999E-2"/>
    <n v="23000000"/>
    <n v="0.14374999999999999"/>
    <x v="3"/>
    <s v="Todo bien"/>
    <x v="1"/>
    <x v="5"/>
    <n v="696.96040143999562"/>
    <x v="1"/>
    <x v="2"/>
    <s v="Pequeña"/>
    <x v="2"/>
    <n v="1600.0000000000002"/>
  </r>
  <r>
    <s v="Sidhartha NCR One Phase "/>
    <x v="66"/>
    <n v="3152"/>
    <n v="2"/>
    <x v="5"/>
    <x v="0"/>
    <s v=" Sector 95 Gurgaon"/>
    <n v="0"/>
    <n v="0"/>
    <n v="2"/>
    <n v="6"/>
    <n v="2"/>
    <x v="0"/>
    <n v="21"/>
    <n v="0"/>
    <n v="0"/>
    <n v="0"/>
    <n v="0"/>
    <n v="2039.8556409854073"/>
    <n v="1300"/>
    <n v="1364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421319796954E-2"/>
    <n v="4300000"/>
    <n v="3.1519999999999999E-2"/>
    <x v="0"/>
    <s v="Todo bien"/>
    <x v="0"/>
    <x v="5"/>
    <n v="594.25161131662298"/>
    <x v="1"/>
    <x v="2"/>
    <s v="Mediana"/>
    <x v="1"/>
    <n v="1364.2131979695432"/>
  </r>
  <r>
    <s v="MM Woodshire"/>
    <x v="205"/>
    <n v="6421"/>
    <n v="2"/>
    <x v="0"/>
    <x v="0"/>
    <s v=" Sector 107 Gurgaon"/>
    <n v="0"/>
    <n v="0"/>
    <n v="2"/>
    <n v="7"/>
    <n v="3"/>
    <x v="0"/>
    <n v="14"/>
    <n v="0"/>
    <n v="1"/>
    <n v="0"/>
    <n v="0"/>
    <n v="1366.1202185792349"/>
    <m/>
    <n v="153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53402896745055E-2"/>
    <n v="9850000"/>
    <n v="6.4210000000000003E-2"/>
    <x v="1"/>
    <s v="Todo bien"/>
    <x v="1"/>
    <x v="5"/>
    <n v="668.22340310932759"/>
    <x v="1"/>
    <x v="2"/>
    <s v="Pequeña"/>
    <x v="1"/>
    <n v="1534.0289674505527"/>
  </r>
  <r>
    <s v="MM Woodshire"/>
    <x v="42"/>
    <n v="5856"/>
    <n v="2"/>
    <x v="0"/>
    <x v="0"/>
    <s v=" Sector 107 Gurgaon"/>
    <n v="0"/>
    <n v="0"/>
    <n v="2"/>
    <n v="6"/>
    <n v="3"/>
    <x v="0"/>
    <n v="14"/>
    <n v="0"/>
    <n v="0"/>
    <n v="1"/>
    <n v="0"/>
    <n v="1550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661202185792301E-2"/>
    <n v="8000000"/>
    <n v="5.8560000000000001E-2"/>
    <x v="1"/>
    <s v="Todo bien"/>
    <x v="1"/>
    <x v="5"/>
    <n v="595.08230997267549"/>
    <x v="1"/>
    <x v="2"/>
    <s v="Pequeña"/>
    <x v="1"/>
    <n v="1366.1202185792349"/>
  </r>
  <r>
    <s v="ATS Triumph"/>
    <x v="97"/>
    <n v="8412"/>
    <n v="4"/>
    <x v="2"/>
    <x v="0"/>
    <s v=" Sector 104 Gurgaon"/>
    <n v="0"/>
    <n v="0"/>
    <n v="4"/>
    <n v="10"/>
    <n v="3"/>
    <x v="2"/>
    <n v="27"/>
    <n v="1"/>
    <n v="0"/>
    <n v="0"/>
    <n v="0"/>
    <n v="3150.2615311459817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6153114598E-2"/>
    <n v="26500000"/>
    <n v="8.412E-2"/>
    <x v="5"/>
    <s v="Todo bien"/>
    <x v="0"/>
    <x v="5"/>
    <n v="1372.2547133678072"/>
    <x v="1"/>
    <x v="3"/>
    <s v="Pequeña"/>
    <x v="3"/>
    <n v="3150.2615311459817"/>
  </r>
  <r>
    <s v="DLF Exclusive Floors"/>
    <x v="168"/>
    <n v="14242"/>
    <n v="3"/>
    <x v="2"/>
    <x v="1"/>
    <s v=" DLF Phase 5"/>
    <n v="0"/>
    <n v="0"/>
    <n v="3"/>
    <n v="1"/>
    <n v="2"/>
    <x v="1"/>
    <n v="2"/>
    <n v="0"/>
    <n v="0"/>
    <n v="0"/>
    <n v="1"/>
    <n v="1559.99662703432"/>
    <m/>
    <n v="1650"/>
    <n v="1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915040022E-2"/>
    <n v="23500000"/>
    <n v="0.14241999999999999"/>
    <x v="3"/>
    <s v="Todo bien"/>
    <x v="0"/>
    <x v="4"/>
    <n v="718.76182391166776"/>
    <x v="1"/>
    <x v="2"/>
    <s v="Pequeña"/>
    <x v="1"/>
    <n v="1650.0491504002248"/>
  </r>
  <r>
    <s v="MM Woodshire"/>
    <x v="70"/>
    <n v="8835"/>
    <n v="3"/>
    <x v="4"/>
    <x v="0"/>
    <s v=" Sector 107 Gurgaon"/>
    <n v="0"/>
    <n v="0"/>
    <n v="3"/>
    <n v="1"/>
    <n v="3"/>
    <x v="1"/>
    <n v="14"/>
    <n v="0"/>
    <n v="0"/>
    <n v="1"/>
    <n v="0"/>
    <n v="2585.14105878386"/>
    <m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6010186757215E-2"/>
    <n v="12900000"/>
    <n v="8.8349999999999998E-2"/>
    <x v="2"/>
    <s v="Todo bien"/>
    <x v="1"/>
    <x v="5"/>
    <n v="636.02073985398715"/>
    <x v="1"/>
    <x v="3"/>
    <s v="Pequeña"/>
    <x v="1"/>
    <n v="1460.1018675721562"/>
  </r>
  <r>
    <s v="ATS Triumph"/>
    <x v="38"/>
    <n v="7991"/>
    <n v="3"/>
    <x v="5"/>
    <x v="0"/>
    <s v=" Sector 104 Gurgaon"/>
    <n v="0"/>
    <n v="0"/>
    <n v="4"/>
    <n v="10"/>
    <n v="3"/>
    <x v="1"/>
    <n v="27"/>
    <n v="1"/>
    <n v="0"/>
    <n v="0"/>
    <n v="0"/>
    <n v="1960.0637020703175"/>
    <n v="2000"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0763358778602E-2"/>
    <n v="18300000"/>
    <n v="7.9909999999999995E-2"/>
    <x v="3"/>
    <s v="Todo bien"/>
    <x v="1"/>
    <x v="5"/>
    <n v="997.55782648854859"/>
    <x v="1"/>
    <x v="2"/>
    <s v="Grande"/>
    <x v="2"/>
    <n v="2290.0763358778627"/>
  </r>
  <r>
    <s v="MM Woodshire"/>
    <x v="274"/>
    <n v="5887"/>
    <n v="3"/>
    <x v="4"/>
    <x v="0"/>
    <s v=" Sector 107 Gurgaon"/>
    <n v="0"/>
    <n v="0"/>
    <n v="4"/>
    <n v="6"/>
    <n v="3"/>
    <x v="1"/>
    <n v="14"/>
    <n v="1"/>
    <n v="0"/>
    <n v="1"/>
    <n v="0"/>
    <n v="1979.5062878435026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3611347035841598E-2"/>
    <n v="13900000"/>
    <n v="5.8869999999999999E-2"/>
    <x v="2"/>
    <s v="Todo bien"/>
    <x v="0"/>
    <x v="5"/>
    <n v="1028.5108692899573"/>
    <x v="1"/>
    <x v="2"/>
    <s v="Pequeña"/>
    <x v="2"/>
    <n v="2361.1347035841686"/>
  </r>
  <r>
    <s v="Vatika Gurgaon "/>
    <x v="210"/>
    <n v="6455"/>
    <n v="3"/>
    <x v="3"/>
    <x v="0"/>
    <s v=" Sector 83 Gurgaon"/>
    <n v="0"/>
    <n v="0"/>
    <n v="3"/>
    <n v="4"/>
    <n v="2"/>
    <x v="1"/>
    <n v="18"/>
    <n v="1"/>
    <n v="1"/>
    <n v="1"/>
    <n v="1"/>
    <n v="2654.5454545454545"/>
    <n v="1200"/>
    <n v="173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350890782339201E-2"/>
    <n v="11200000"/>
    <n v="6.4549999999999996E-2"/>
    <x v="2"/>
    <s v="Todo bien"/>
    <x v="1"/>
    <x v="5"/>
    <n v="755.80523781254533"/>
    <x v="1"/>
    <x v="3"/>
    <s v="Mediana"/>
    <x v="1"/>
    <n v="1735.0890782339272"/>
  </r>
  <r>
    <s v="Raheja Vedaanta"/>
    <x v="53"/>
    <n v="4761"/>
    <n v="2"/>
    <x v="4"/>
    <x v="0"/>
    <s v=" Sector 108 Gurgaon"/>
    <n v="0"/>
    <n v="0"/>
    <n v="2"/>
    <n v="5"/>
    <n v="2"/>
    <x v="0"/>
    <n v="22"/>
    <n v="0"/>
    <n v="0"/>
    <n v="1"/>
    <n v="0"/>
    <n v="1365.2593992858642"/>
    <m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36525939928586E-2"/>
    <n v="6500000"/>
    <n v="4.761E-2"/>
    <x v="1"/>
    <s v="Todo bien"/>
    <x v="1"/>
    <x v="5"/>
    <n v="594.7073368725039"/>
    <x v="1"/>
    <x v="2"/>
    <s v="Pequeña"/>
    <x v="1"/>
    <n v="1365.2593992858642"/>
  </r>
  <r>
    <s v="TARC Maceo"/>
    <x v="78"/>
    <n v="6465"/>
    <n v="3"/>
    <x v="7"/>
    <x v="0"/>
    <s v=" Sector 91 Gurgaon"/>
    <n v="0"/>
    <n v="0"/>
    <n v="4"/>
    <n v="3"/>
    <n v="3"/>
    <x v="1"/>
    <n v="13"/>
    <n v="1"/>
    <n v="1"/>
    <n v="0"/>
    <n v="0"/>
    <n v="843.77397085144469"/>
    <m/>
    <n v="232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01856148491799E-2"/>
    <n v="15000000"/>
    <n v="6.4649999999999999E-2"/>
    <x v="2"/>
    <s v="Todo bien"/>
    <x v="0"/>
    <x v="5"/>
    <n v="1010.6734359628736"/>
    <x v="1"/>
    <x v="0"/>
    <s v="Pequeña"/>
    <x v="2"/>
    <n v="2320.1856148491879"/>
  </r>
  <r>
    <s v="TARC Maceo"/>
    <x v="49"/>
    <n v="6975"/>
    <n v="4"/>
    <x v="5"/>
    <x v="0"/>
    <s v=" Sector 91 Gurgaon"/>
    <n v="0"/>
    <n v="0"/>
    <n v="4"/>
    <n v="9"/>
    <n v="3"/>
    <x v="2"/>
    <n v="13"/>
    <n v="1"/>
    <n v="0"/>
    <n v="0"/>
    <n v="0"/>
    <n v="2724.0143369175626"/>
    <m/>
    <n v="2724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40143369175601E-2"/>
    <n v="19000000"/>
    <n v="6.9750000000000006E-2"/>
    <x v="3"/>
    <s v="Todo bien"/>
    <x v="0"/>
    <x v="5"/>
    <n v="1186.5813286164864"/>
    <x v="1"/>
    <x v="3"/>
    <s v="Pequeña"/>
    <x v="2"/>
    <n v="2724.0143369175626"/>
  </r>
  <r>
    <s v="The Close North"/>
    <x v="168"/>
    <n v="11227"/>
    <n v="3"/>
    <x v="2"/>
    <x v="5"/>
    <s v=" Nirvana Country"/>
    <n v="0"/>
    <n v="0"/>
    <n v="3"/>
    <n v="8"/>
    <n v="3"/>
    <x v="1"/>
    <n v="18"/>
    <n v="0"/>
    <n v="0"/>
    <n v="0"/>
    <n v="1"/>
    <n v="2714.5877378435521"/>
    <n v="2000"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931682550993098E-2"/>
    <n v="23500000"/>
    <n v="0.11226999999999999"/>
    <x v="3"/>
    <s v="Todo bien"/>
    <x v="1"/>
    <x v="5"/>
    <n v="911.78461709717465"/>
    <x v="1"/>
    <x v="3"/>
    <s v="Grande"/>
    <x v="2"/>
    <n v="2093.1682550993141"/>
  </r>
  <r>
    <s v="Ansal API Celebrity Suites"/>
    <x v="91"/>
    <n v="8163"/>
    <n v="1"/>
    <x v="2"/>
    <x v="5"/>
    <s v=" Sector 2 Gurgaon"/>
    <n v="0"/>
    <n v="0"/>
    <n v="1"/>
    <n v="5"/>
    <n v="1"/>
    <x v="3"/>
    <n v="15"/>
    <n v="0"/>
    <n v="0"/>
    <n v="0"/>
    <n v="0"/>
    <n v="735.02388827636901"/>
    <m/>
    <n v="735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x v="1"/>
    <s v="Todo bien"/>
    <x v="1"/>
    <x v="3"/>
    <n v="320.17659015067602"/>
    <x v="0"/>
    <x v="0"/>
    <s v="Pequeña"/>
    <x v="0"/>
    <n v="735.02388827636901"/>
  </r>
  <r>
    <s v="DLF Ridgewood Estate"/>
    <x v="6"/>
    <n v="14598"/>
    <n v="3"/>
    <x v="2"/>
    <x v="1"/>
    <s v=" DLF Phase 4"/>
    <n v="0"/>
    <n v="0"/>
    <n v="3"/>
    <n v="12"/>
    <n v="1"/>
    <x v="1"/>
    <n v="14"/>
    <n v="0"/>
    <n v="0"/>
    <n v="0"/>
    <n v="0"/>
    <n v="1370.0506918755993"/>
    <m/>
    <n v="1370"/>
    <n v="1"/>
    <n v="1"/>
    <n v="1"/>
    <n v="1"/>
    <n v="0"/>
    <n v="0"/>
    <n v="0"/>
    <n v="1"/>
    <n v="0"/>
    <n v="1"/>
    <n v="1"/>
    <n v="1"/>
    <n v="1"/>
    <n v="1"/>
    <n v="1"/>
    <n v="0"/>
    <n v="1"/>
    <n v="44"/>
    <x v="1"/>
    <x v="1"/>
    <x v="1"/>
    <x v="1"/>
    <x v="1"/>
    <x v="1"/>
    <x v="1"/>
    <x v="1"/>
    <x v="0"/>
    <n v="0"/>
    <n v="3"/>
    <n v="1"/>
    <n v="6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00506918755901E-2"/>
    <n v="20000000"/>
    <n v="0.14598"/>
    <x v="3"/>
    <s v="Todo bien"/>
    <x v="1"/>
    <x v="4"/>
    <n v="596.79442512672563"/>
    <x v="1"/>
    <x v="2"/>
    <s v="Pequeña"/>
    <x v="1"/>
    <n v="1370.0506918755993"/>
  </r>
  <r>
    <s v="MM Skywalk"/>
    <x v="275"/>
    <n v="11000"/>
    <n v="2"/>
    <x v="8"/>
    <x v="0"/>
    <s v=" Sector 74 Gurgaon"/>
    <n v="0"/>
    <n v="0"/>
    <n v="2"/>
    <n v="10"/>
    <n v="3"/>
    <x v="0"/>
    <n v="30"/>
    <n v="0"/>
    <n v="0"/>
    <n v="0"/>
    <n v="0"/>
    <n v="597.03589239306029"/>
    <n v="13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72727272727199E-2"/>
    <n v="15700000"/>
    <n v="0.11"/>
    <x v="3"/>
    <s v="Todo bien"/>
    <x v="0"/>
    <x v="5"/>
    <n v="621.72035810272416"/>
    <x v="1"/>
    <x v="1"/>
    <s v="Mediana"/>
    <x v="1"/>
    <n v="1427.2727272727273"/>
  </r>
  <r>
    <s v="Corona Optus"/>
    <x v="276"/>
    <n v="7250"/>
    <n v="3"/>
    <x v="7"/>
    <x v="2"/>
    <s v=" Sector 37C Gurgaon"/>
    <n v="0"/>
    <n v="0"/>
    <n v="3"/>
    <n v="8"/>
    <n v="3"/>
    <x v="1"/>
    <n v="10"/>
    <n v="1"/>
    <n v="0"/>
    <n v="0"/>
    <n v="0"/>
    <n v="1627.9464134305579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62068965517201E-2"/>
    <n v="14400000"/>
    <n v="7.2499999999999995E-2"/>
    <x v="2"/>
    <s v="Todo bien"/>
    <x v="0"/>
    <x v="0"/>
    <n v="865.19222247723962"/>
    <x v="1"/>
    <x v="2"/>
    <s v="Pequeña"/>
    <x v="0"/>
    <n v="1986.2068965517242"/>
  </r>
  <r>
    <s v="Corona Optus"/>
    <x v="192"/>
    <n v="7250"/>
    <n v="3"/>
    <x v="2"/>
    <x v="2"/>
    <s v=" Sector 37C Gurgaon"/>
    <n v="0"/>
    <n v="0"/>
    <n v="3"/>
    <n v="4"/>
    <n v="3"/>
    <x v="1"/>
    <n v="10"/>
    <n v="0"/>
    <n v="0"/>
    <n v="0"/>
    <n v="0"/>
    <n v="3142.0698989703678"/>
    <n v="1400"/>
    <n v="1735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79310344827498E-2"/>
    <n v="12600000"/>
    <n v="7.2499999999999995E-2"/>
    <x v="2"/>
    <s v="Todo bien"/>
    <x v="0"/>
    <x v="0"/>
    <n v="757.04319466758238"/>
    <x v="1"/>
    <x v="3"/>
    <s v="Mediana"/>
    <x v="1"/>
    <n v="1737.9310344827588"/>
  </r>
  <r>
    <s v="MM Sierra "/>
    <x v="16"/>
    <n v="8536"/>
    <n v="2"/>
    <x v="2"/>
    <x v="2"/>
    <s v=" Sector 68 Gurgaon"/>
    <n v="0"/>
    <n v="0"/>
    <n v="2"/>
    <n v="11"/>
    <n v="2"/>
    <x v="0"/>
    <n v="30"/>
    <n v="0"/>
    <n v="0"/>
    <n v="0"/>
    <n v="0"/>
    <n v="1130.0360301342942"/>
    <n v="1200"/>
    <n v="12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3"/>
    <n v="1"/>
    <n v="0"/>
    <n v="0"/>
    <n v="0"/>
    <n v="1"/>
    <n v="1"/>
    <n v="1"/>
    <n v="0"/>
    <n v="0"/>
    <n v="0"/>
    <n v="0"/>
    <n v="0"/>
    <n v="0"/>
    <n v="2"/>
    <n v="1.23008434864104E-2"/>
    <n v="10500000"/>
    <n v="8.5360000000000005E-2"/>
    <x v="2"/>
    <s v="Todo bien"/>
    <x v="1"/>
    <x v="5"/>
    <n v="535.8250508962002"/>
    <x v="1"/>
    <x v="0"/>
    <s v="Mediana"/>
    <x v="1"/>
    <n v="1230.0843486410497"/>
  </r>
  <r>
    <s v="Parsvnath Exotica"/>
    <x v="277"/>
    <n v="19000"/>
    <n v="4"/>
    <x v="0"/>
    <x v="5"/>
    <s v=" Sector 53 Gurgaon"/>
    <n v="0"/>
    <n v="0"/>
    <n v="4"/>
    <n v="7"/>
    <n v="3"/>
    <x v="2"/>
    <n v="18"/>
    <n v="1"/>
    <n v="0"/>
    <n v="0"/>
    <n v="0"/>
    <n v="3389.4736842105262"/>
    <m/>
    <n v="3390"/>
    <n v="1"/>
    <n v="1"/>
    <n v="0"/>
    <n v="1"/>
    <n v="0"/>
    <n v="0"/>
    <n v="1"/>
    <n v="1"/>
    <n v="1"/>
    <n v="1"/>
    <n v="0"/>
    <n v="1"/>
    <n v="1"/>
    <n v="1"/>
    <n v="1"/>
    <n v="1"/>
    <n v="1"/>
    <n v="37"/>
    <x v="1"/>
    <x v="1"/>
    <x v="1"/>
    <x v="1"/>
    <x v="1"/>
    <x v="0"/>
    <x v="0"/>
    <x v="1"/>
    <x v="1"/>
    <n v="0"/>
    <n v="7"/>
    <n v="1"/>
    <n v="0"/>
    <n v="0"/>
    <n v="0"/>
    <n v="0"/>
    <n v="0"/>
    <n v="1"/>
    <n v="1"/>
    <n v="1"/>
    <n v="0"/>
    <n v="0"/>
    <n v="0"/>
    <n v="0"/>
    <n v="5"/>
    <n v="1"/>
    <n v="0"/>
    <n v="0"/>
    <n v="0"/>
    <n v="0"/>
    <n v="0"/>
    <n v="0"/>
    <n v="2"/>
    <n v="3.38947368421052E-2"/>
    <n v="64400000"/>
    <n v="0.19"/>
    <x v="6"/>
    <s v="Todo bien"/>
    <x v="1"/>
    <x v="3"/>
    <n v="1476.4555872610499"/>
    <x v="1"/>
    <x v="3"/>
    <s v="Pequeña"/>
    <x v="3"/>
    <n v="3389.4736842105262"/>
  </r>
  <r>
    <s v="Pioneer Araya"/>
    <x v="278"/>
    <n v="18000"/>
    <n v="4"/>
    <x v="0"/>
    <x v="0"/>
    <s v=" Sector 62 Gurgaon"/>
    <n v="0"/>
    <n v="0"/>
    <n v="4"/>
    <n v="23"/>
    <n v="3"/>
    <x v="2"/>
    <n v="34"/>
    <n v="1"/>
    <n v="0"/>
    <n v="1"/>
    <n v="0"/>
    <n v="4200"/>
    <n v="4200"/>
    <m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8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2000000000000003E-2"/>
    <n v="75600000"/>
    <n v="0.18"/>
    <x v="6"/>
    <s v="Todo bien"/>
    <x v="1"/>
    <x v="4"/>
    <n v="1829.5210537800003"/>
    <x v="3"/>
    <x v="3"/>
    <s v="Muy grande"/>
    <x v="0"/>
    <n v="4200"/>
  </r>
  <r>
    <s v="DLF Trinity Towers"/>
    <x v="208"/>
    <n v="15510"/>
    <n v="3"/>
    <x v="3"/>
    <x v="5"/>
    <s v=" DLF Phase 5"/>
    <n v="0"/>
    <n v="0"/>
    <n v="3"/>
    <n v="1"/>
    <n v="3"/>
    <x v="1"/>
    <n v="19"/>
    <n v="1"/>
    <n v="0"/>
    <n v="1"/>
    <n v="0"/>
    <n v="2450.0322372662799"/>
    <n v="2450"/>
    <m/>
    <n v="0"/>
    <n v="1"/>
    <n v="1"/>
    <n v="0"/>
    <n v="1"/>
    <n v="0"/>
    <n v="1"/>
    <n v="1"/>
    <n v="1"/>
    <n v="1"/>
    <n v="0"/>
    <n v="0"/>
    <n v="1"/>
    <n v="0"/>
    <n v="1"/>
    <n v="1"/>
    <n v="1"/>
    <n v="32"/>
    <x v="1"/>
    <x v="1"/>
    <x v="1"/>
    <x v="0"/>
    <x v="0"/>
    <x v="0"/>
    <x v="1"/>
    <x v="0"/>
    <x v="0"/>
    <n v="0"/>
    <n v="5"/>
    <n v="1"/>
    <n v="4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2"/>
    <n v="2.4500322372662701E-2"/>
    <n v="38000000"/>
    <n v="0.15509999999999999"/>
    <x v="5"/>
    <s v="Todo bien"/>
    <x v="1"/>
    <x v="3"/>
    <n v="1067.2346572662757"/>
    <x v="1"/>
    <x v="2"/>
    <s v="Grande"/>
    <x v="0"/>
    <n v="2450.0322372662799"/>
  </r>
  <r>
    <s v="DLF Park Place"/>
    <x v="183"/>
    <n v="24963"/>
    <n v="4"/>
    <x v="5"/>
    <x v="5"/>
    <s v=" Sector 54 Gurgaon"/>
    <n v="0"/>
    <n v="0"/>
    <n v="4"/>
    <n v="8"/>
    <n v="2"/>
    <x v="2"/>
    <n v="30"/>
    <n v="1"/>
    <n v="0"/>
    <n v="0"/>
    <n v="0"/>
    <n v="2324.9260250810198"/>
    <m/>
    <n v="2704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1"/>
    <x v="0"/>
    <n v="0"/>
    <n v="6"/>
    <n v="1"/>
    <n v="6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7040019228458102E-2"/>
    <n v="67500000"/>
    <n v="0.24962999999999999"/>
    <x v="6"/>
    <s v="Todo bien"/>
    <x v="2"/>
    <x v="5"/>
    <n v="1177.8639160257173"/>
    <x v="1"/>
    <x v="2"/>
    <s v="Pequeña"/>
    <x v="2"/>
    <n v="2704.0019228458118"/>
  </r>
  <r>
    <s v="Shree Vardhman Flora"/>
    <x v="279"/>
    <n v="4961"/>
    <n v="2"/>
    <x v="7"/>
    <x v="0"/>
    <s v=" Sector 90 Gurgaon"/>
    <n v="0"/>
    <n v="0"/>
    <n v="2"/>
    <n v="11"/>
    <n v="3"/>
    <x v="0"/>
    <n v="13"/>
    <n v="0"/>
    <n v="1"/>
    <n v="0"/>
    <n v="0"/>
    <n v="1950.1180334599198"/>
    <n v="1225"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014110058455E-2"/>
    <n v="6450000"/>
    <n v="4.9610000000000001E-2"/>
    <x v="1"/>
    <s v="Todo bien"/>
    <x v="1"/>
    <x v="1"/>
    <n v="566.34178962003216"/>
    <x v="1"/>
    <x v="2"/>
    <s v="Mediana"/>
    <x v="1"/>
    <n v="1300.1411005845596"/>
  </r>
  <r>
    <s v="ATS Tourmaline"/>
    <x v="68"/>
    <n v="8139"/>
    <n v="3"/>
    <x v="2"/>
    <x v="0"/>
    <s v=" Sector 109 Gurgaon"/>
    <n v="0"/>
    <n v="0"/>
    <n v="4"/>
    <n v="7"/>
    <n v="3"/>
    <x v="1"/>
    <n v="27"/>
    <n v="1"/>
    <n v="0"/>
    <n v="0"/>
    <n v="0"/>
    <n v="2150.1412949993855"/>
    <n v="1797"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5"/>
    <n v="936.60208757218095"/>
    <x v="1"/>
    <x v="2"/>
    <s v="Mediana"/>
    <x v="2"/>
    <n v="2150.1412949993855"/>
  </r>
  <r>
    <s v="Kiran Residency"/>
    <x v="150"/>
    <n v="8324"/>
    <n v="3"/>
    <x v="8"/>
    <x v="1"/>
    <s v=" Sector 56 Gurgaon"/>
    <n v="0"/>
    <n v="0"/>
    <n v="4"/>
    <n v="5"/>
    <n v="3"/>
    <x v="1"/>
    <n v="9"/>
    <n v="1"/>
    <n v="0"/>
    <n v="0"/>
    <n v="0"/>
    <n v="1617.0892393691354"/>
    <n v="1900"/>
    <n v="2000"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7208073041E-2"/>
    <n v="15400000"/>
    <n v="8.3239999999999995E-2"/>
    <x v="3"/>
    <s v="Todo bien"/>
    <x v="0"/>
    <x v="1"/>
    <n v="805.89186254925175"/>
    <x v="1"/>
    <x v="2"/>
    <s v="Grande"/>
    <x v="1"/>
    <n v="1850.0720807304183"/>
  </r>
  <r>
    <s v="Emaar Gurgaon Greens"/>
    <x v="100"/>
    <n v="8484"/>
    <n v="3"/>
    <x v="5"/>
    <x v="0"/>
    <s v=" Sector 102 Gurgaon"/>
    <n v="0"/>
    <n v="0"/>
    <n v="3"/>
    <n v="4"/>
    <n v="3"/>
    <x v="1"/>
    <n v="14"/>
    <n v="1"/>
    <n v="0"/>
    <n v="0"/>
    <n v="0"/>
    <n v="1650.1650165016501"/>
    <m/>
    <n v="1650"/>
    <n v="0"/>
    <n v="0"/>
    <n v="0"/>
    <n v="1"/>
    <n v="1"/>
    <n v="0"/>
    <n v="1"/>
    <n v="1"/>
    <n v="1"/>
    <n v="1"/>
    <n v="1"/>
    <n v="0"/>
    <n v="1"/>
    <n v="0"/>
    <n v="1"/>
    <n v="1"/>
    <n v="1"/>
    <n v="30"/>
    <x v="0"/>
    <x v="1"/>
    <x v="1"/>
    <x v="1"/>
    <x v="1"/>
    <x v="0"/>
    <x v="1"/>
    <x v="0"/>
    <x v="1"/>
    <n v="0"/>
    <n v="2"/>
    <n v="1"/>
    <n v="2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65016501650165E-2"/>
    <n v="14000000"/>
    <n v="8.4839999999999999E-2"/>
    <x v="2"/>
    <s v="Todo bien"/>
    <x v="1"/>
    <x v="1"/>
    <n v="718.81229521452144"/>
    <x v="1"/>
    <x v="2"/>
    <s v="Pequeña"/>
    <x v="1"/>
    <n v="1650.1650165016501"/>
  </r>
  <r>
    <s v="Shapoorji Pallonji Joyville Gurugram"/>
    <x v="115"/>
    <n v="10601"/>
    <n v="2"/>
    <x v="4"/>
    <x v="0"/>
    <s v=" Sector 102 Gurgaon"/>
    <n v="0"/>
    <n v="0"/>
    <n v="2"/>
    <n v="12"/>
    <n v="2"/>
    <x v="0"/>
    <n v="26"/>
    <n v="0"/>
    <n v="0"/>
    <n v="0"/>
    <n v="0"/>
    <n v="915.00801811149893"/>
    <m/>
    <n v="915"/>
    <n v="0"/>
    <n v="0"/>
    <n v="1"/>
    <n v="1"/>
    <n v="0"/>
    <n v="0"/>
    <n v="1"/>
    <n v="1"/>
    <n v="1"/>
    <n v="1"/>
    <n v="1"/>
    <n v="1"/>
    <n v="0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801811149005E-3"/>
    <n v="9700000"/>
    <n v="0.10600999999999999"/>
    <x v="1"/>
    <s v="Todo bien"/>
    <x v="0"/>
    <x v="4"/>
    <n v="398.57772226487685"/>
    <x v="0"/>
    <x v="0"/>
    <s v="Pequeña"/>
    <x v="0"/>
    <n v="915.00801811149893"/>
  </r>
  <r>
    <s v="Shapoorji Pallonji Joyville Gurugram"/>
    <x v="12"/>
    <n v="9933"/>
    <n v="2"/>
    <x v="2"/>
    <x v="0"/>
    <s v=" Sector 102 Gurgaon"/>
    <n v="0"/>
    <n v="0"/>
    <n v="2"/>
    <n v="9"/>
    <n v="2"/>
    <x v="0"/>
    <n v="26"/>
    <n v="0"/>
    <n v="0"/>
    <n v="0"/>
    <n v="0"/>
    <n v="1359.1060102688009"/>
    <m/>
    <n v="135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1060102688001E-2"/>
    <n v="13500000"/>
    <n v="9.9330000000000002E-2"/>
    <x v="2"/>
    <s v="Todo bien"/>
    <x v="0"/>
    <x v="5"/>
    <n v="592.02691907278734"/>
    <x v="1"/>
    <x v="2"/>
    <s v="Pequeña"/>
    <x v="1"/>
    <n v="1359.1060102688009"/>
  </r>
  <r>
    <s v="Conscient Heritage Max"/>
    <x v="68"/>
    <n v="9011"/>
    <n v="3"/>
    <x v="5"/>
    <x v="0"/>
    <s v=" Sector 102 Gurgaon"/>
    <n v="0"/>
    <n v="0"/>
    <n v="4"/>
    <n v="13"/>
    <n v="3"/>
    <x v="1"/>
    <n v="25"/>
    <n v="1"/>
    <n v="0"/>
    <n v="0"/>
    <n v="0"/>
    <n v="1942.0708023526802"/>
    <m/>
    <n v="1942"/>
    <n v="0"/>
    <n v="1"/>
    <n v="0"/>
    <n v="1"/>
    <n v="1"/>
    <n v="0"/>
    <n v="1"/>
    <n v="1"/>
    <n v="1"/>
    <n v="1"/>
    <n v="1"/>
    <n v="0"/>
    <n v="1"/>
    <n v="1"/>
    <n v="1"/>
    <n v="1"/>
    <n v="1"/>
    <n v="36"/>
    <x v="1"/>
    <x v="1"/>
    <x v="1"/>
    <x v="1"/>
    <x v="1"/>
    <x v="0"/>
    <x v="0"/>
    <x v="1"/>
    <x v="1"/>
    <n v="0"/>
    <n v="3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94207080235268E-2"/>
    <n v="17500000"/>
    <n v="9.0109999999999996E-2"/>
    <x v="3"/>
    <s v="Todo bien"/>
    <x v="1"/>
    <x v="3"/>
    <n v="845.96652877039173"/>
    <x v="1"/>
    <x v="2"/>
    <s v="Pequeña"/>
    <x v="1"/>
    <n v="1942.0708023526802"/>
  </r>
  <r>
    <s v="Indiabulls Centrum Park"/>
    <x v="18"/>
    <n v="7652"/>
    <n v="4"/>
    <x v="2"/>
    <x v="0"/>
    <s v=" Sector 103 Gurgaon"/>
    <n v="0"/>
    <n v="0"/>
    <n v="6"/>
    <n v="4"/>
    <n v="3"/>
    <x v="2"/>
    <n v="18"/>
    <n v="1"/>
    <n v="0"/>
    <n v="0"/>
    <n v="0"/>
    <n v="2875.0653423941453"/>
    <m/>
    <n v="2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87506534239414E-2"/>
    <n v="22000000.000000004"/>
    <n v="7.6520000000000005E-2"/>
    <x v="3"/>
    <s v="Todo bien"/>
    <x v="1"/>
    <x v="5"/>
    <n v="1252.3791845007818"/>
    <x v="1"/>
    <x v="3"/>
    <s v="Pequeña"/>
    <x v="2"/>
    <n v="2875.0653423941453"/>
  </r>
  <r>
    <s v="Sobha City"/>
    <x v="158"/>
    <n v="14040"/>
    <n v="3"/>
    <x v="0"/>
    <x v="0"/>
    <s v=" Sector 108 Gurgaon"/>
    <n v="0"/>
    <n v="0"/>
    <n v="3"/>
    <n v="15"/>
    <n v="3"/>
    <x v="1"/>
    <n v="19"/>
    <n v="0"/>
    <n v="0"/>
    <n v="0"/>
    <n v="0"/>
    <n v="2780.2995914661828"/>
    <n v="146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42450142401E-2"/>
    <n v="24500000.000000004"/>
    <n v="0.1404"/>
    <x v="3"/>
    <s v="Todo bien"/>
    <x v="0"/>
    <x v="1"/>
    <n v="760.12864295227712"/>
    <x v="1"/>
    <x v="3"/>
    <s v="Mediana"/>
    <x v="1"/>
    <n v="1745.0142450142453"/>
  </r>
  <r>
    <s v="Paras Dews"/>
    <x v="78"/>
    <n v="6369"/>
    <n v="4"/>
    <x v="7"/>
    <x v="0"/>
    <s v=" Sector 106 Gurgaon"/>
    <n v="0"/>
    <n v="0"/>
    <n v="6"/>
    <n v="11"/>
    <n v="3"/>
    <x v="2"/>
    <n v="24"/>
    <n v="1"/>
    <n v="0"/>
    <n v="0"/>
    <n v="0"/>
    <n v="1814.9818501814982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1577955723001E-2"/>
    <n v="15000000"/>
    <n v="6.3689999999999997E-2"/>
    <x v="2"/>
    <s v="Todo bien"/>
    <x v="0"/>
    <x v="5"/>
    <n v="1025.907326660385"/>
    <x v="1"/>
    <x v="2"/>
    <s v="Mediana"/>
    <x v="2"/>
    <n v="2355.1577955723033"/>
  </r>
  <r>
    <s v="La Vida by Tata Housing"/>
    <x v="92"/>
    <n v="10825"/>
    <n v="3"/>
    <x v="2"/>
    <x v="0"/>
    <s v=" Sector 113 Gurgaon"/>
    <n v="0"/>
    <n v="0"/>
    <n v="4"/>
    <n v="5"/>
    <n v="3"/>
    <x v="1"/>
    <n v="25"/>
    <n v="1"/>
    <n v="0"/>
    <n v="0"/>
    <n v="0"/>
    <n v="1825.0078214620919"/>
    <n v="1940"/>
    <n v="22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0900692840601E-2"/>
    <n v="24000000"/>
    <n v="0.10825"/>
    <x v="3"/>
    <s v="Todo bien"/>
    <x v="0"/>
    <x v="1"/>
    <n v="965.76499044803506"/>
    <x v="1"/>
    <x v="2"/>
    <s v="Grande"/>
    <x v="2"/>
    <n v="2217.0900692840646"/>
  </r>
  <r>
    <s v="La Vida by Tata Housing"/>
    <x v="158"/>
    <n v="11050"/>
    <n v="3"/>
    <x v="2"/>
    <x v="0"/>
    <s v=" Sector 113 Gurgaon"/>
    <n v="0"/>
    <n v="0"/>
    <n v="3"/>
    <n v="3"/>
    <n v="3"/>
    <x v="1"/>
    <n v="25"/>
    <n v="0"/>
    <n v="1"/>
    <n v="0"/>
    <n v="0"/>
    <n v="1526.0323159784559"/>
    <n v="189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1945701357401E-2"/>
    <n v="24500000.000000004"/>
    <n v="0.1105"/>
    <x v="3"/>
    <s v="Todo bien"/>
    <x v="0"/>
    <x v="5"/>
    <n v="965.81051104524613"/>
    <x v="1"/>
    <x v="2"/>
    <s v="Grande"/>
    <x v="2"/>
    <n v="2217.1945701357467"/>
  </r>
  <r>
    <s v="La Vida by Tata Housing"/>
    <x v="101"/>
    <n v="14285"/>
    <n v="3"/>
    <x v="4"/>
    <x v="0"/>
    <s v=" Sector 113 Gurgaon"/>
    <n v="0"/>
    <n v="0"/>
    <n v="3"/>
    <n v="3"/>
    <n v="3"/>
    <x v="1"/>
    <n v="25"/>
    <n v="1"/>
    <n v="0"/>
    <n v="0"/>
    <n v="0"/>
    <n v="2290.1637467078895"/>
    <n v="2460"/>
    <n v="2691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0500525026E-2"/>
    <n v="30000000"/>
    <n v="0.14285"/>
    <x v="5"/>
    <s v="Todo bien"/>
    <x v="0"/>
    <x v="5"/>
    <n v="914.80626720335908"/>
    <x v="1"/>
    <x v="2"/>
    <s v="Grande"/>
    <x v="2"/>
    <n v="2100.1050052502624"/>
  </r>
  <r>
    <s v="La Vida by Tata Housing"/>
    <x v="71"/>
    <n v="10449"/>
    <n v="3"/>
    <x v="2"/>
    <x v="0"/>
    <s v=" Sector 113 Gurgaon"/>
    <n v="0"/>
    <n v="0"/>
    <n v="2"/>
    <n v="3"/>
    <n v="2"/>
    <x v="1"/>
    <n v="13"/>
    <n v="0"/>
    <n v="0"/>
    <n v="0"/>
    <n v="0"/>
    <n v="1350.1350135013502"/>
    <n v="1420"/>
    <n v="1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790984783232799E-2"/>
    <n v="16500000"/>
    <n v="0.10449"/>
    <x v="3"/>
    <s v="Todo bien"/>
    <x v="0"/>
    <x v="1"/>
    <n v="687.85569335342893"/>
    <x v="1"/>
    <x v="2"/>
    <s v="Mediana"/>
    <x v="1"/>
    <n v="1579.0984783232846"/>
  </r>
  <r>
    <s v="Paras Dews"/>
    <x v="83"/>
    <n v="6353"/>
    <n v="2"/>
    <x v="3"/>
    <x v="0"/>
    <s v=" Sector 106 Gurgaon"/>
    <n v="0"/>
    <n v="0"/>
    <n v="2"/>
    <n v="3"/>
    <n v="3"/>
    <x v="0"/>
    <n v="8"/>
    <n v="0"/>
    <n v="0"/>
    <n v="0"/>
    <n v="0"/>
    <n v="3360.2150537634407"/>
    <n v="112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x v="1"/>
    <s v="Todo bien"/>
    <x v="0"/>
    <x v="1"/>
    <n v="603.38142734455744"/>
    <x v="1"/>
    <x v="3"/>
    <s v="Mediana"/>
    <x v="1"/>
    <n v="1385.1723595151896"/>
  </r>
  <r>
    <s v="Paras Dews"/>
    <x v="83"/>
    <n v="6353"/>
    <n v="2"/>
    <x v="8"/>
    <x v="0"/>
    <s v=" Sector 106 Gurgaon"/>
    <n v="0"/>
    <n v="0"/>
    <n v="2"/>
    <n v="1"/>
    <n v="3"/>
    <x v="0"/>
    <n v="8"/>
    <n v="0"/>
    <n v="0"/>
    <n v="0"/>
    <n v="0"/>
    <n v="1457.1466419393296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x v="1"/>
    <s v="Todo bien"/>
    <x v="0"/>
    <x v="1"/>
    <n v="603.38142734455744"/>
    <x v="1"/>
    <x v="2"/>
    <s v="Mediana"/>
    <x v="1"/>
    <n v="1385.1723595151896"/>
  </r>
  <r>
    <s v="Paras Dews"/>
    <x v="154"/>
    <n v="7272"/>
    <n v="3"/>
    <x v="7"/>
    <x v="0"/>
    <s v=" Sector 106 Gurgaon"/>
    <n v="0"/>
    <n v="0"/>
    <n v="4"/>
    <n v="24"/>
    <n v="3"/>
    <x v="1"/>
    <n v="24"/>
    <n v="1"/>
    <n v="0"/>
    <n v="0"/>
    <n v="0"/>
    <n v="3225.156218504333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760176017601E-2"/>
    <n v="12800000"/>
    <n v="7.2720000000000007E-2"/>
    <x v="2"/>
    <s v="Todo bien"/>
    <x v="0"/>
    <x v="1"/>
    <n v="766.73311489548951"/>
    <x v="1"/>
    <x v="3"/>
    <s v="Mediana"/>
    <x v="1"/>
    <n v="1760.1760176017601"/>
  </r>
  <r>
    <s v="Paras Dews"/>
    <x v="280"/>
    <n v="9550"/>
    <n v="4"/>
    <x v="3"/>
    <x v="0"/>
    <s v=" Sector 106 Gurgaon"/>
    <n v="0"/>
    <n v="0"/>
    <n v="5"/>
    <n v="7"/>
    <n v="3"/>
    <x v="2"/>
    <n v="24"/>
    <n v="1"/>
    <n v="0"/>
    <n v="0"/>
    <n v="0"/>
    <n v="2295.0642617993303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1413612565401E-2"/>
    <n v="13400000"/>
    <n v="9.5500000000000002E-2"/>
    <x v="2"/>
    <s v="Todo bien"/>
    <x v="0"/>
    <x v="1"/>
    <n v="611.20872901151643"/>
    <x v="1"/>
    <x v="2"/>
    <s v="Mediana"/>
    <x v="2"/>
    <n v="1403.1413612565445"/>
  </r>
  <r>
    <s v="Paras Dews"/>
    <x v="98"/>
    <n v="5605"/>
    <n v="4"/>
    <x v="6"/>
    <x v="0"/>
    <s v=" Sector 106 Gurgaon"/>
    <n v="0"/>
    <n v="0"/>
    <n v="5"/>
    <n v="11"/>
    <n v="3"/>
    <x v="2"/>
    <n v="24"/>
    <n v="1"/>
    <n v="0"/>
    <n v="0"/>
    <n v="0"/>
    <n v="1100.0293341155764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401427296998E-2"/>
    <n v="13200000"/>
    <n v="5.6050000000000003E-2"/>
    <x v="2"/>
    <s v="Todo bien"/>
    <x v="0"/>
    <x v="1"/>
    <n v="1025.8560770526292"/>
    <x v="1"/>
    <x v="0"/>
    <s v="Mediana"/>
    <x v="2"/>
    <n v="2355.0401427297056"/>
  </r>
  <r>
    <s v="Paras Dews"/>
    <x v="281"/>
    <n v="6406"/>
    <n v="3"/>
    <x v="7"/>
    <x v="0"/>
    <s v=" Sector 106 Gurgaon"/>
    <n v="0"/>
    <n v="0"/>
    <n v="4"/>
    <n v="18"/>
    <n v="3"/>
    <x v="1"/>
    <n v="24"/>
    <n v="1"/>
    <n v="1"/>
    <n v="0"/>
    <n v="0"/>
    <n v="1770.2248185519561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9712769278799E-2"/>
    <n v="11300000"/>
    <n v="6.4060000000000006E-2"/>
    <x v="2"/>
    <s v="Todo bien"/>
    <x v="0"/>
    <x v="1"/>
    <n v="768.38633081017792"/>
    <x v="1"/>
    <x v="2"/>
    <s v="Mediana"/>
    <x v="1"/>
    <n v="1763.9712769278799"/>
  </r>
  <r>
    <s v="Pareena Coban Residences"/>
    <x v="65"/>
    <n v="7150"/>
    <n v="4"/>
    <x v="3"/>
    <x v="0"/>
    <s v=" Sector 99A Gurgaon"/>
    <n v="0"/>
    <n v="0"/>
    <n v="5"/>
    <n v="1"/>
    <n v="3"/>
    <x v="2"/>
    <n v="20"/>
    <n v="1"/>
    <n v="0"/>
    <n v="0"/>
    <n v="0"/>
    <n v="650.01392886990436"/>
    <n v="2150"/>
    <n v="23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006993006993E-2"/>
    <n v="13800000"/>
    <n v="7.1499999999999994E-2"/>
    <x v="2"/>
    <s v="Todo bien"/>
    <x v="1"/>
    <x v="1"/>
    <n v="840.73894579300702"/>
    <x v="1"/>
    <x v="0"/>
    <s v="Grande"/>
    <x v="2"/>
    <n v="1930.0699300699303"/>
  </r>
  <r>
    <s v="Pareena Coban Residences"/>
    <x v="201"/>
    <n v="5808"/>
    <n v="3"/>
    <x v="2"/>
    <x v="0"/>
    <s v=" Sector 99A Gurgaon"/>
    <n v="0"/>
    <n v="0"/>
    <n v="3"/>
    <n v="3"/>
    <n v="3"/>
    <x v="1"/>
    <n v="20"/>
    <n v="1"/>
    <n v="0"/>
    <n v="0"/>
    <n v="0"/>
    <n v="1358.015867343292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2451790633599E-2"/>
    <n v="11600000"/>
    <n v="5.808E-2"/>
    <x v="2"/>
    <s v="Todo bien"/>
    <x v="0"/>
    <x v="1"/>
    <n v="870.000501108815"/>
    <x v="1"/>
    <x v="2"/>
    <s v="Mediana"/>
    <x v="1"/>
    <n v="1997.2451790633609"/>
  </r>
  <r>
    <s v="La Vida by Tata Housing"/>
    <x v="105"/>
    <n v="12533"/>
    <n v="3"/>
    <x v="5"/>
    <x v="2"/>
    <s v=" Sector 113 Gurgaon"/>
    <n v="0"/>
    <n v="0"/>
    <n v="3"/>
    <n v="3"/>
    <n v="3"/>
    <x v="1"/>
    <n v="25"/>
    <n v="1"/>
    <n v="0"/>
    <n v="0"/>
    <n v="0"/>
    <n v="700"/>
    <n v="2098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909199712758E-2"/>
    <n v="23300000"/>
    <n v="0.12533"/>
    <x v="3"/>
    <s v="Todo bien"/>
    <x v="0"/>
    <x v="5"/>
    <n v="809.82094039495598"/>
    <x v="1"/>
    <x v="0"/>
    <s v="Grande"/>
    <x v="2"/>
    <n v="1859.0919971275832"/>
  </r>
  <r>
    <s v="La Vida by Tata Housing"/>
    <x v="200"/>
    <n v="11338"/>
    <n v="3"/>
    <x v="2"/>
    <x v="2"/>
    <s v=" Sector 113 Gurgaon"/>
    <n v="0"/>
    <n v="0"/>
    <n v="4"/>
    <n v="15"/>
    <n v="3"/>
    <x v="1"/>
    <n v="25"/>
    <n v="1"/>
    <n v="0"/>
    <n v="0"/>
    <n v="0"/>
    <n v="1690.1408450704225"/>
    <n v="2600"/>
    <n v="26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6900687952019699E-2"/>
    <n v="30500000"/>
    <n v="0.11337999999999999"/>
    <x v="5"/>
    <s v="Todo bien"/>
    <x v="0"/>
    <x v="5"/>
    <n v="1171.7946421282388"/>
    <x v="1"/>
    <x v="2"/>
    <s v="Muy grande"/>
    <x v="2"/>
    <n v="2690.0687952019757"/>
  </r>
  <r>
    <s v="Vatika Lifestyle Homes"/>
    <x v="43"/>
    <n v="6839"/>
    <n v="3"/>
    <x v="6"/>
    <x v="0"/>
    <s v=" Sector 83 Gurgaon"/>
    <n v="0"/>
    <n v="0"/>
    <n v="2"/>
    <n v="6"/>
    <n v="1"/>
    <x v="1"/>
    <n v="15"/>
    <n v="1"/>
    <n v="1"/>
    <n v="1"/>
    <n v="1"/>
    <n v="1827.7525954086852"/>
    <m/>
    <n v="1827.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4"/>
    <n v="1"/>
    <n v="1"/>
    <n v="1"/>
    <n v="1"/>
    <n v="1"/>
    <n v="1"/>
    <n v="1"/>
    <n v="1"/>
    <n v="2"/>
    <n v="1"/>
    <n v="1"/>
    <n v="2"/>
    <n v="1"/>
    <n v="1"/>
    <n v="0"/>
    <n v="0"/>
    <n v="0"/>
    <n v="0"/>
    <n v="0"/>
    <n v="1"/>
    <n v="1.8277525954086798E-2"/>
    <n v="12500000"/>
    <n v="6.8390000000000006E-2"/>
    <x v="2"/>
    <s v="Todo bien"/>
    <x v="2"/>
    <x v="5"/>
    <n v="796.16948914314719"/>
    <x v="1"/>
    <x v="2"/>
    <s v="Pequeña"/>
    <x v="1"/>
    <n v="1827.7525954086852"/>
  </r>
  <r>
    <s v="Mapsko Mount Ville"/>
    <x v="43"/>
    <n v="7716"/>
    <n v="3"/>
    <x v="6"/>
    <x v="0"/>
    <s v=" Sector 79 Gurgaon"/>
    <n v="0"/>
    <n v="0"/>
    <n v="3"/>
    <n v="1"/>
    <n v="2"/>
    <x v="1"/>
    <n v="30"/>
    <n v="0"/>
    <n v="1"/>
    <n v="1"/>
    <n v="0"/>
    <n v="3150.15750787539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200103680663502E-2"/>
    <n v="12500000"/>
    <n v="7.7160000000000006E-2"/>
    <x v="2"/>
    <s v="Todo bien"/>
    <x v="1"/>
    <x v="5"/>
    <n v="705.67692279030348"/>
    <x v="1"/>
    <x v="3"/>
    <s v="Pequeña"/>
    <x v="1"/>
    <n v="1620.0103680663556"/>
  </r>
  <r>
    <s v="Vatika Lifestyle Homes"/>
    <x v="16"/>
    <n v="5982"/>
    <n v="3"/>
    <x v="6"/>
    <x v="0"/>
    <s v=" Sector 83 Gurgaon"/>
    <n v="0"/>
    <n v="0"/>
    <n v="3"/>
    <n v="14"/>
    <n v="2"/>
    <x v="1"/>
    <n v="15"/>
    <n v="1"/>
    <n v="1"/>
    <n v="1"/>
    <n v="1"/>
    <n v="1755.2657973921766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526579739217E-2"/>
    <n v="10500000"/>
    <n v="5.9819999999999998E-2"/>
    <x v="2"/>
    <s v="Todo bien"/>
    <x v="1"/>
    <x v="5"/>
    <n v="764.59422174021779"/>
    <x v="1"/>
    <x v="2"/>
    <s v="Pequeña"/>
    <x v="1"/>
    <n v="1755.2657973921766"/>
  </r>
  <r>
    <s v="Mapsko Mount Ville"/>
    <x v="43"/>
    <n v="8389"/>
    <n v="3"/>
    <x v="6"/>
    <x v="0"/>
    <s v=" Sector 79 Gurgaon"/>
    <n v="0"/>
    <n v="0"/>
    <n v="3"/>
    <n v="22"/>
    <n v="3"/>
    <x v="1"/>
    <n v="25"/>
    <n v="0"/>
    <n v="1"/>
    <n v="1"/>
    <n v="0"/>
    <n v="2176.3815291445876"/>
    <m/>
    <n v="14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9004648945047E-2"/>
    <n v="12500000"/>
    <n v="8.3890000000000006E-2"/>
    <x v="2"/>
    <s v="Todo bien"/>
    <x v="0"/>
    <x v="5"/>
    <n v="649.06462465728896"/>
    <x v="1"/>
    <x v="2"/>
    <s v="Pequeña"/>
    <x v="1"/>
    <n v="1490.0464894504707"/>
  </r>
  <r>
    <s v="Mapsko Mount Ville"/>
    <x v="8"/>
    <n v="12732"/>
    <n v="3"/>
    <x v="6"/>
    <x v="0"/>
    <s v=" Sector 79 Gurgaon"/>
    <n v="0"/>
    <n v="0"/>
    <n v="3"/>
    <n v="22"/>
    <n v="3"/>
    <x v="1"/>
    <n v="30"/>
    <n v="0"/>
    <n v="1"/>
    <n v="1"/>
    <n v="0"/>
    <n v="1603.1350195938724"/>
    <m/>
    <n v="149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6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6396481306943006E-3"/>
    <n v="11000000"/>
    <n v="0.12731999999999999"/>
    <x v="2"/>
    <s v="Todo bien"/>
    <x v="1"/>
    <x v="5"/>
    <n v="376.34328934181536"/>
    <x v="0"/>
    <x v="2"/>
    <s v="Pequeña"/>
    <x v="1"/>
    <n v="863.96481306943144"/>
  </r>
  <r>
    <s v="Emaar Palm Gardens"/>
    <x v="35"/>
    <n v="11868"/>
    <n v="3"/>
    <x v="5"/>
    <x v="0"/>
    <s v=" Sector 83 Gurgaon"/>
    <n v="0"/>
    <n v="0"/>
    <n v="3"/>
    <n v="16"/>
    <n v="3"/>
    <x v="1"/>
    <n v="16"/>
    <n v="1"/>
    <n v="0"/>
    <n v="0"/>
    <n v="0"/>
    <n v="2090.909090909091"/>
    <m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09538254128749E-2"/>
    <n v="13000000"/>
    <n v="0.11867999999999999"/>
    <x v="2"/>
    <s v="Todo bien"/>
    <x v="1"/>
    <x v="5"/>
    <n v="477.14890981631027"/>
    <x v="0"/>
    <x v="2"/>
    <s v="Pequeña"/>
    <x v="1"/>
    <n v="1095.3825412874958"/>
  </r>
  <r>
    <s v="Alpha Corp GurgaonOne "/>
    <x v="204"/>
    <n v="8769"/>
    <n v="4"/>
    <x v="3"/>
    <x v="0"/>
    <s v=" Sector 84 Gurgaon"/>
    <n v="0"/>
    <n v="0"/>
    <n v="4"/>
    <n v="8"/>
    <n v="3"/>
    <x v="2"/>
    <n v="26"/>
    <n v="1"/>
    <n v="0"/>
    <n v="0"/>
    <n v="0"/>
    <n v="1210.0902913525085"/>
    <m/>
    <n v="3434"/>
    <n v="0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06842285323E-2"/>
    <n v="22800000"/>
    <n v="8.7690000000000004E-2"/>
    <x v="3"/>
    <s v="Todo bien"/>
    <x v="0"/>
    <x v="3"/>
    <n v="1132.5904573520343"/>
    <x v="1"/>
    <x v="2"/>
    <s v="Pequeña"/>
    <x v="3"/>
    <n v="2600.0684228532327"/>
  </r>
  <r>
    <s v="SS The Leaf"/>
    <x v="56"/>
    <n v="12371"/>
    <n v="2"/>
    <x v="4"/>
    <x v="0"/>
    <s v=" Sector 85 Gurgaon"/>
    <n v="0"/>
    <n v="0"/>
    <n v="2"/>
    <n v="4"/>
    <n v="2"/>
    <x v="0"/>
    <n v="26"/>
    <n v="1"/>
    <n v="0"/>
    <n v="0"/>
    <n v="1"/>
    <n v="2834.9746344374817"/>
    <n v="1190"/>
    <n v="1671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7001050844716993E-3"/>
    <n v="12000000"/>
    <n v="0.12371"/>
    <x v="2"/>
    <s v="Todo bien"/>
    <x v="0"/>
    <x v="3"/>
    <n v="422.53682085522382"/>
    <x v="0"/>
    <x v="3"/>
    <s v="Mediana"/>
    <x v="1"/>
    <n v="970.01050844717486"/>
  </r>
  <r>
    <s v="SS The Leaf"/>
    <x v="282"/>
    <n v="13318"/>
    <n v="2"/>
    <x v="2"/>
    <x v="0"/>
    <s v=" Sector 85 Gurgaon"/>
    <n v="0"/>
    <n v="0"/>
    <n v="2"/>
    <n v="16"/>
    <n v="3"/>
    <x v="0"/>
    <n v="26"/>
    <n v="0"/>
    <n v="0"/>
    <n v="0"/>
    <n v="1"/>
    <n v="1529.8776097912169"/>
    <n v="1300"/>
    <n v="1772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605346148070001E-3"/>
    <n v="12200000"/>
    <n v="0.13317999999999999"/>
    <x v="2"/>
    <s v="Todo bien"/>
    <x v="0"/>
    <x v="3"/>
    <n v="399.03311765880642"/>
    <x v="0"/>
    <x v="2"/>
    <s v="Mediana"/>
    <x v="1"/>
    <n v="916.05346148070282"/>
  </r>
  <r>
    <s v="SS The Leaf"/>
    <x v="8"/>
    <n v="12471"/>
    <n v="2"/>
    <x v="5"/>
    <x v="0"/>
    <s v=" Sector 85 Gurgaon"/>
    <n v="0"/>
    <n v="0"/>
    <n v="2"/>
    <n v="12"/>
    <n v="3"/>
    <x v="0"/>
    <n v="26"/>
    <n v="0"/>
    <n v="1"/>
    <n v="0"/>
    <n v="0"/>
    <n v="1270.6480304955526"/>
    <n v="1173"/>
    <n v="1640"/>
    <n v="0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204634752626007E-3"/>
    <n v="11000000"/>
    <n v="0.12471"/>
    <x v="2"/>
    <s v="Todo bien"/>
    <x v="0"/>
    <x v="3"/>
    <n v="384.21961028786751"/>
    <x v="0"/>
    <x v="2"/>
    <s v="Mediana"/>
    <x v="1"/>
    <n v="882.04634752626089"/>
  </r>
  <r>
    <s v="SS The Leaf"/>
    <x v="81"/>
    <n v="11966"/>
    <n v="2"/>
    <x v="2"/>
    <x v="0"/>
    <s v=" Sector 85 Gurgaon"/>
    <n v="0"/>
    <n v="0"/>
    <n v="2"/>
    <n v="20"/>
    <n v="3"/>
    <x v="0"/>
    <n v="26"/>
    <n v="0"/>
    <n v="0"/>
    <n v="1"/>
    <n v="0"/>
    <n v="2039.8556409854073"/>
    <n v="1263"/>
    <n v="174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105632625772992E-3"/>
    <n v="11500000"/>
    <n v="0.11966"/>
    <x v="2"/>
    <s v="Todo bien"/>
    <x v="0"/>
    <x v="3"/>
    <n v="418.63637684689945"/>
    <x v="0"/>
    <x v="2"/>
    <s v="Mediana"/>
    <x v="1"/>
    <n v="961.05632625773023"/>
  </r>
  <r>
    <s v="Mapsko Mount Ville"/>
    <x v="56"/>
    <n v="13837"/>
    <n v="3"/>
    <x v="5"/>
    <x v="0"/>
    <s v=" Sector 79 Gurgaon"/>
    <n v="0"/>
    <n v="0"/>
    <n v="3"/>
    <n v="18"/>
    <n v="3"/>
    <x v="1"/>
    <n v="30"/>
    <n v="0"/>
    <n v="1"/>
    <n v="1"/>
    <n v="0"/>
    <n v="1366.1202185792351"/>
    <m/>
    <n v="15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8.6724000867239998E-3"/>
    <n v="12000000"/>
    <n v="0.13836999999999999"/>
    <x v="2"/>
    <s v="Todo bien"/>
    <x v="1"/>
    <x v="5"/>
    <n v="377.76996536821565"/>
    <x v="0"/>
    <x v="2"/>
    <s v="Pequeña"/>
    <x v="1"/>
    <n v="867.24000867240011"/>
  </r>
  <r>
    <s v="Emaar Palm Gardens"/>
    <x v="100"/>
    <n v="8139"/>
    <n v="3"/>
    <x v="7"/>
    <x v="0"/>
    <s v=" Sector 83 Gurgaon"/>
    <n v="0"/>
    <n v="0"/>
    <n v="3"/>
    <n v="2"/>
    <n v="3"/>
    <x v="1"/>
    <n v="16"/>
    <n v="1"/>
    <n v="1"/>
    <n v="1"/>
    <n v="1"/>
    <n v="1550"/>
    <m/>
    <n v="17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201130359995001E-2"/>
    <n v="14000000"/>
    <n v="8.1390000000000004E-2"/>
    <x v="2"/>
    <s v="Todo bien"/>
    <x v="1"/>
    <x v="5"/>
    <n v="749.28167005774299"/>
    <x v="1"/>
    <x v="2"/>
    <s v="Pequeña"/>
    <x v="1"/>
    <n v="1720.1130359995084"/>
  </r>
  <r>
    <s v="Vatika Lifestyle Homes"/>
    <x v="8"/>
    <n v="6267"/>
    <n v="3"/>
    <x v="8"/>
    <x v="0"/>
    <s v=" Sector 83 Gurgaon"/>
    <n v="0"/>
    <n v="0"/>
    <n v="3"/>
    <n v="8"/>
    <n v="2"/>
    <x v="1"/>
    <n v="15"/>
    <n v="0"/>
    <n v="1"/>
    <n v="1"/>
    <n v="1"/>
    <n v="1755.2257858624541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5522578586245E-2"/>
    <n v="11000000"/>
    <n v="6.2670000000000003E-2"/>
    <x v="2"/>
    <s v="Todo bien"/>
    <x v="1"/>
    <x v="5"/>
    <n v="764.57679270783296"/>
    <x v="1"/>
    <x v="2"/>
    <s v="Pequeña"/>
    <x v="1"/>
    <n v="1755.2257858624541"/>
  </r>
  <r>
    <s v="Vatika City Homes"/>
    <x v="50"/>
    <n v="5747"/>
    <n v="3"/>
    <x v="3"/>
    <x v="0"/>
    <s v=" Sector 83 Gurgaon"/>
    <n v="0"/>
    <n v="0"/>
    <n v="3"/>
    <n v="2"/>
    <n v="2"/>
    <x v="1"/>
    <n v="8"/>
    <n v="0"/>
    <n v="0"/>
    <n v="0"/>
    <n v="1"/>
    <n v="1740.0382808421784"/>
    <m/>
    <n v="17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003828084217E-2"/>
    <n v="10000000"/>
    <n v="5.747E-2"/>
    <x v="1"/>
    <s v="Todo bien"/>
    <x v="1"/>
    <x v="5"/>
    <n v="757.96111171045402"/>
    <x v="1"/>
    <x v="2"/>
    <s v="Pequeña"/>
    <x v="1"/>
    <n v="1740.0382808421784"/>
  </r>
  <r>
    <s v="Alpha Corp GurgaonOne "/>
    <x v="203"/>
    <n v="7904"/>
    <n v="3"/>
    <x v="8"/>
    <x v="0"/>
    <s v=" Sector 84 Gurgaon"/>
    <n v="0"/>
    <n v="0"/>
    <n v="4"/>
    <n v="15"/>
    <n v="3"/>
    <x v="1"/>
    <n v="26"/>
    <n v="1"/>
    <n v="0"/>
    <n v="0"/>
    <n v="0"/>
    <n v="843.77397085144469"/>
    <m/>
    <n v="1923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30769230769201E-2"/>
    <n v="15200000"/>
    <n v="7.9039999999999999E-2"/>
    <x v="3"/>
    <s v="Todo bien"/>
    <x v="0"/>
    <x v="3"/>
    <n v="837.69279019230646"/>
    <x v="1"/>
    <x v="0"/>
    <s v="Pequeña"/>
    <x v="1"/>
    <n v="1923.0769230769231"/>
  </r>
  <r>
    <s v="Emaar Palm Gardens"/>
    <x v="7"/>
    <n v="9473"/>
    <n v="3"/>
    <x v="0"/>
    <x v="0"/>
    <s v=" Sector 83 Gurgaon"/>
    <n v="0"/>
    <n v="0"/>
    <n v="4"/>
    <n v="4"/>
    <n v="3"/>
    <x v="1"/>
    <n v="16"/>
    <n v="1"/>
    <n v="1"/>
    <n v="1"/>
    <n v="1"/>
    <n v="4200.1120029867461"/>
    <m/>
    <n v="19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1372321334298E-2"/>
    <n v="18000000"/>
    <n v="9.4729999999999995E-2"/>
    <x v="3"/>
    <s v="Todo bien"/>
    <x v="1"/>
    <x v="5"/>
    <n v="827.70025506175364"/>
    <x v="1"/>
    <x v="3"/>
    <s v="Pequeña"/>
    <x v="1"/>
    <n v="1900.137232133432"/>
  </r>
  <r>
    <s v="Emaar Palm Gardens"/>
    <x v="26"/>
    <n v="8648"/>
    <n v="3"/>
    <x v="4"/>
    <x v="0"/>
    <s v=" Sector 83 Gurgaon"/>
    <n v="0"/>
    <n v="0"/>
    <n v="3"/>
    <n v="6"/>
    <n v="3"/>
    <x v="1"/>
    <n v="16"/>
    <n v="1"/>
    <n v="1"/>
    <n v="1"/>
    <n v="1"/>
    <n v="1850.1387604070305"/>
    <m/>
    <n v="18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8501387604070298E-2"/>
    <n v="16000000"/>
    <n v="8.6480000000000001E-2"/>
    <x v="3"/>
    <s v="Todo bien"/>
    <x v="1"/>
    <x v="5"/>
    <n v="805.92090823311719"/>
    <x v="1"/>
    <x v="2"/>
    <s v="Pequeña"/>
    <x v="1"/>
    <n v="1850.1387604070305"/>
  </r>
  <r>
    <s v="Mapsko Mount Ville"/>
    <x v="46"/>
    <n v="8539"/>
    <n v="3"/>
    <x v="6"/>
    <x v="0"/>
    <s v=" Sector 79 Gurgaon"/>
    <n v="0"/>
    <n v="0"/>
    <n v="4"/>
    <n v="11"/>
    <n v="3"/>
    <x v="1"/>
    <n v="15"/>
    <n v="1"/>
    <n v="0"/>
    <n v="0"/>
    <n v="0"/>
    <n v="1956.3426688632619"/>
    <m/>
    <n v="1815"/>
    <n v="1"/>
    <n v="1"/>
    <n v="0"/>
    <n v="1"/>
    <n v="1"/>
    <n v="1"/>
    <n v="1"/>
    <n v="1"/>
    <n v="1"/>
    <n v="1"/>
    <n v="1"/>
    <n v="1"/>
    <n v="1"/>
    <n v="1"/>
    <n v="1"/>
    <n v="1"/>
    <n v="1"/>
    <n v="52"/>
    <x v="1"/>
    <x v="1"/>
    <x v="1"/>
    <x v="1"/>
    <x v="1"/>
    <x v="0"/>
    <x v="0"/>
    <x v="1"/>
    <x v="1"/>
    <n v="0"/>
    <n v="5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152008431900599E-2"/>
    <n v="15500000"/>
    <n v="8.5389999999999994E-2"/>
    <x v="3"/>
    <s v="Todo bien"/>
    <x v="1"/>
    <x v="5"/>
    <n v="790.70194272748176"/>
    <x v="1"/>
    <x v="2"/>
    <s v="Pequeña"/>
    <x v="1"/>
    <n v="1815.2008431900692"/>
  </r>
  <r>
    <s v="Mapsko Mount Ville"/>
    <x v="35"/>
    <n v="8024"/>
    <n v="3"/>
    <x v="0"/>
    <x v="0"/>
    <s v=" Sector 79 Gurgaon"/>
    <n v="0"/>
    <n v="0"/>
    <n v="3"/>
    <n v="6"/>
    <n v="2"/>
    <x v="1"/>
    <n v="25"/>
    <n v="0"/>
    <n v="1"/>
    <n v="1"/>
    <n v="0"/>
    <n v="1780.063291139240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2"/>
    <n v="1.6201395812562299E-2"/>
    <n v="13000000"/>
    <n v="8.0240000000000006E-2"/>
    <x v="2"/>
    <s v="Todo bien"/>
    <x v="1"/>
    <x v="5"/>
    <n v="705.73320808823473"/>
    <x v="1"/>
    <x v="2"/>
    <s v="Pequeña"/>
    <x v="1"/>
    <n v="1620.1395812562312"/>
  </r>
  <r>
    <s v="Bestech Park View Grand Spa"/>
    <x v="39"/>
    <n v="8458"/>
    <n v="3"/>
    <x v="0"/>
    <x v="0"/>
    <s v=" Sector 81 Gurgaon"/>
    <n v="0"/>
    <n v="0"/>
    <n v="4"/>
    <n v="8"/>
    <n v="3"/>
    <x v="1"/>
    <n v="20"/>
    <n v="1"/>
    <n v="1"/>
    <n v="0"/>
    <n v="1"/>
    <n v="597.03589239306029"/>
    <n v="2300"/>
    <n v="266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6602033577677899E-2"/>
    <n v="22500000"/>
    <n v="8.4580000000000002E-2"/>
    <x v="3"/>
    <s v="Todo bien"/>
    <x v="1"/>
    <x v="4"/>
    <n v="1158.7852500886718"/>
    <x v="1"/>
    <x v="1"/>
    <s v="Grande"/>
    <x v="2"/>
    <n v="2660.2033577677939"/>
  </r>
  <r>
    <s v="Orchid Petals"/>
    <x v="283"/>
    <n v="11628"/>
    <n v="5"/>
    <x v="8"/>
    <x v="0"/>
    <s v=" Sector 49 Gurgaon"/>
    <n v="0"/>
    <n v="0"/>
    <n v="5"/>
    <n v="14"/>
    <n v="3"/>
    <x v="4"/>
    <n v="14"/>
    <n v="1"/>
    <n v="1"/>
    <n v="1"/>
    <n v="0"/>
    <n v="4119.36704506364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93670450636398E-2"/>
    <n v="47900000"/>
    <n v="0.11627999999999999"/>
    <x v="4"/>
    <s v="Todo bien"/>
    <x v="0"/>
    <x v="1"/>
    <n v="1794.3973183789133"/>
    <x v="3"/>
    <x v="3"/>
    <s v="Pequeña"/>
    <x v="3"/>
    <n v="4119.36704506364"/>
  </r>
  <r>
    <s v="DLF Regal Gardens"/>
    <x v="43"/>
    <n v="6459"/>
    <n v="3"/>
    <x v="8"/>
    <x v="0"/>
    <s v=" Sector 90 Gurgaon"/>
    <n v="0"/>
    <n v="0"/>
    <n v="3"/>
    <n v="10"/>
    <n v="3"/>
    <x v="1"/>
    <n v="30"/>
    <n v="0"/>
    <n v="0"/>
    <n v="0"/>
    <n v="0"/>
    <n v="3249.9237107110162"/>
    <n v="1650"/>
    <n v="1703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528409970583E-2"/>
    <n v="12500000"/>
    <n v="6.4589999999999995E-2"/>
    <x v="2"/>
    <s v="Todo bien"/>
    <x v="1"/>
    <x v="0"/>
    <n v="843.01023939464028"/>
    <x v="1"/>
    <x v="3"/>
    <s v="Mediana"/>
    <x v="1"/>
    <n v="1935.284099705837"/>
  </r>
  <r>
    <s v="TARC Maceo"/>
    <x v="100"/>
    <n v="7407"/>
    <n v="3"/>
    <x v="5"/>
    <x v="0"/>
    <s v=" Sector 91 Gurgaon"/>
    <n v="0"/>
    <n v="0"/>
    <n v="3"/>
    <n v="7"/>
    <n v="3"/>
    <x v="1"/>
    <n v="13"/>
    <n v="0"/>
    <n v="0"/>
    <n v="0"/>
    <n v="0"/>
    <n v="1367.5213675213674"/>
    <n v="1700"/>
    <n v="189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1039557175599E-2"/>
    <n v="14000000"/>
    <n v="7.4069999999999997E-2"/>
    <x v="2"/>
    <s v="Todo bien"/>
    <x v="0"/>
    <x v="3"/>
    <n v="823.32975733765159"/>
    <x v="1"/>
    <x v="2"/>
    <s v="Mediana"/>
    <x v="1"/>
    <n v="1890.1039557175645"/>
  </r>
  <r>
    <s v="Godrej Oasis"/>
    <x v="65"/>
    <n v="6679"/>
    <n v="3"/>
    <x v="5"/>
    <x v="0"/>
    <s v=" Sector 88A Gurgaon"/>
    <n v="0"/>
    <n v="0"/>
    <n v="3"/>
    <n v="7"/>
    <n v="3"/>
    <x v="1"/>
    <n v="17"/>
    <n v="1"/>
    <n v="0"/>
    <n v="0"/>
    <n v="0"/>
    <n v="1479.0045656227894"/>
    <m/>
    <m/>
    <n v="0"/>
    <n v="0"/>
    <n v="1"/>
    <n v="1"/>
    <n v="0"/>
    <n v="0"/>
    <n v="0"/>
    <n v="1"/>
    <n v="1"/>
    <n v="1"/>
    <n v="1"/>
    <n v="0"/>
    <n v="0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61775714927302E-2"/>
    <n v="13800000"/>
    <n v="6.6790000000000002E-2"/>
    <x v="2"/>
    <s v="Todo bien"/>
    <x v="0"/>
    <x v="3"/>
    <n v="900.02746854618601"/>
    <x v="1"/>
    <x v="2"/>
    <s v="Pequeña"/>
    <x v="0"/>
    <n v="2066.1775714927385"/>
  </r>
  <r>
    <s v="Godrej Oasis"/>
    <x v="35"/>
    <n v="7258"/>
    <n v="3"/>
    <x v="7"/>
    <x v="0"/>
    <s v=" Sector 88A Gurgaon"/>
    <n v="0"/>
    <n v="0"/>
    <n v="3"/>
    <n v="4"/>
    <n v="3"/>
    <x v="1"/>
    <n v="17"/>
    <n v="0"/>
    <n v="0"/>
    <n v="0"/>
    <n v="0"/>
    <n v="1950.1180334599198"/>
    <m/>
    <m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11270322402799E-2"/>
    <n v="13000000"/>
    <n v="7.2580000000000006E-2"/>
    <x v="2"/>
    <s v="Todo bien"/>
    <x v="0"/>
    <x v="3"/>
    <n v="780.21538463763841"/>
    <x v="1"/>
    <x v="2"/>
    <s v="Pequeña"/>
    <x v="0"/>
    <n v="1791.1270322402866"/>
  </r>
  <r>
    <s v="Godrej Aria"/>
    <x v="50"/>
    <n v="6653"/>
    <n v="2"/>
    <x v="7"/>
    <x v="0"/>
    <s v=" Sector 79 Gurgaon"/>
    <n v="0"/>
    <n v="0"/>
    <n v="2"/>
    <n v="4"/>
    <n v="2"/>
    <x v="0"/>
    <n v="15"/>
    <n v="0"/>
    <n v="1"/>
    <n v="0"/>
    <n v="0"/>
    <n v="2400.0960038401536"/>
    <n v="1300"/>
    <n v="15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30813166992301E-2"/>
    <n v="10000000"/>
    <n v="6.6530000000000006E-2"/>
    <x v="1"/>
    <s v="Todo bien"/>
    <x v="0"/>
    <x v="1"/>
    <n v="654.74259867728699"/>
    <x v="1"/>
    <x v="2"/>
    <s v="Mediana"/>
    <x v="1"/>
    <n v="1503.0813166992332"/>
  </r>
  <r>
    <s v="Godrej Oasis"/>
    <x v="50"/>
    <n v="6896"/>
    <n v="2"/>
    <x v="1"/>
    <x v="0"/>
    <s v=" Sector 88A Gurgaon"/>
    <n v="0"/>
    <n v="0"/>
    <n v="2"/>
    <n v="7"/>
    <n v="3"/>
    <x v="0"/>
    <n v="17"/>
    <n v="0"/>
    <n v="1"/>
    <n v="0"/>
    <n v="0"/>
    <n v="1537.4180420529053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1600928074E-2"/>
    <n v="10000000"/>
    <n v="6.8959999999999994E-2"/>
    <x v="1"/>
    <s v="Todo bien"/>
    <x v="0"/>
    <x v="3"/>
    <n v="631.67089747679711"/>
    <x v="1"/>
    <x v="2"/>
    <s v="Pequeña"/>
    <x v="0"/>
    <n v="1450.1160092807427"/>
  </r>
  <r>
    <s v="Godrej Oasis"/>
    <x v="13"/>
    <n v="7268"/>
    <n v="2"/>
    <x v="7"/>
    <x v="0"/>
    <s v=" Sector 88A Gurgaon"/>
    <n v="0"/>
    <n v="0"/>
    <n v="2"/>
    <n v="6"/>
    <n v="2"/>
    <x v="0"/>
    <n v="17"/>
    <n v="0"/>
    <n v="0"/>
    <n v="0"/>
    <n v="0"/>
    <n v="2295.062672865297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709961474958E-2"/>
    <n v="9500000"/>
    <n v="7.2679999999999995E-2"/>
    <x v="1"/>
    <s v="Todo bien"/>
    <x v="0"/>
    <x v="4"/>
    <n v="569.37292013621038"/>
    <x v="1"/>
    <x v="2"/>
    <s v="Pequeña"/>
    <x v="0"/>
    <n v="1307.0996147495873"/>
  </r>
  <r>
    <s v="Ireo Uptown"/>
    <x v="20"/>
    <n v="12567"/>
    <n v="2"/>
    <x v="3"/>
    <x v="0"/>
    <s v=" Sector 66 Gurgaon"/>
    <n v="0"/>
    <n v="0"/>
    <n v="3"/>
    <n v="16"/>
    <n v="3"/>
    <x v="0"/>
    <n v="25"/>
    <n v="1"/>
    <n v="0"/>
    <n v="0"/>
    <n v="0"/>
    <n v="1834.5864661654134"/>
    <n v="1470"/>
    <n v="1472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4721094931168899E-2"/>
    <n v="18500000"/>
    <n v="0.12567"/>
    <x v="3"/>
    <s v="Todo bien"/>
    <x v="1"/>
    <x v="4"/>
    <n v="641.25126455398913"/>
    <x v="1"/>
    <x v="2"/>
    <s v="Mediana"/>
    <x v="1"/>
    <n v="1472.1094931168934"/>
  </r>
  <r>
    <s v="Emaar MGF Palm Hills"/>
    <x v="71"/>
    <n v="8461"/>
    <n v="4"/>
    <x v="8"/>
    <x v="0"/>
    <s v=" Sector 77 Gurgaon"/>
    <n v="0"/>
    <n v="0"/>
    <n v="3"/>
    <n v="9"/>
    <n v="3"/>
    <x v="2"/>
    <n v="9"/>
    <n v="1"/>
    <n v="0"/>
    <n v="0"/>
    <n v="0"/>
    <n v="1950.1240988062875"/>
    <m/>
    <n v="195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5"/>
    <n v="849.47454672615208"/>
    <x v="1"/>
    <x v="2"/>
    <s v="Pequeña"/>
    <x v="1"/>
    <n v="1950.1240988062875"/>
  </r>
  <r>
    <s v="MM Woodshire"/>
    <x v="98"/>
    <n v="6330"/>
    <n v="3"/>
    <x v="4"/>
    <x v="0"/>
    <s v=" Sector 107 Gurgaon"/>
    <n v="0"/>
    <n v="0"/>
    <n v="3"/>
    <n v="10"/>
    <n v="3"/>
    <x v="1"/>
    <n v="14"/>
    <n v="0"/>
    <n v="0"/>
    <n v="0"/>
    <n v="0"/>
    <n v="2085.3080568720379"/>
    <m/>
    <n v="1943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530805687203E-2"/>
    <n v="13200000"/>
    <n v="6.3299999999999995E-2"/>
    <x v="2"/>
    <s v="Todo bien"/>
    <x v="0"/>
    <x v="5"/>
    <n v="908.36071277724773"/>
    <x v="1"/>
    <x v="2"/>
    <s v="Pequeña"/>
    <x v="1"/>
    <n v="2085.3080568720379"/>
  </r>
  <r>
    <s v="MM Woodshire"/>
    <x v="257"/>
    <n v="6649"/>
    <n v="2"/>
    <x v="2"/>
    <x v="0"/>
    <s v=" Sector 107 Gurgaon"/>
    <n v="0"/>
    <n v="0"/>
    <n v="2"/>
    <n v="6"/>
    <n v="3"/>
    <x v="0"/>
    <n v="14"/>
    <n v="0"/>
    <n v="1"/>
    <n v="0"/>
    <n v="0"/>
    <n v="1534.0652729733797"/>
    <m/>
    <n v="1534"/>
    <n v="0"/>
    <n v="0"/>
    <n v="1"/>
    <n v="1"/>
    <n v="1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06527297337E-2"/>
    <n v="10200000"/>
    <n v="6.6489999999999994E-2"/>
    <x v="2"/>
    <s v="Todo bien"/>
    <x v="0"/>
    <x v="4"/>
    <n v="668.23921780417697"/>
    <x v="1"/>
    <x v="2"/>
    <s v="Pequeña"/>
    <x v="1"/>
    <n v="1534.0652729733797"/>
  </r>
  <r>
    <s v="SBTL Caladium"/>
    <x v="284"/>
    <n v="6153"/>
    <n v="4"/>
    <x v="2"/>
    <x v="0"/>
    <s v=" Sector 109 Gurgaon"/>
    <n v="0"/>
    <n v="0"/>
    <n v="5"/>
    <n v="10"/>
    <n v="3"/>
    <x v="2"/>
    <n v="19"/>
    <n v="0"/>
    <n v="0"/>
    <n v="0"/>
    <n v="0"/>
    <n v="3055.4201202665367"/>
    <m/>
    <n v="305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4201202665301E-2"/>
    <n v="18800000"/>
    <n v="6.1530000000000001E-2"/>
    <x v="3"/>
    <s v="Todo bien"/>
    <x v="0"/>
    <x v="3"/>
    <n v="1330.9417709930087"/>
    <x v="1"/>
    <x v="3"/>
    <s v="Pequeña"/>
    <x v="3"/>
    <n v="3055.4201202665367"/>
  </r>
  <r>
    <s v="Conscient Heritage Max"/>
    <x v="86"/>
    <n v="9306"/>
    <n v="3"/>
    <x v="8"/>
    <x v="0"/>
    <s v=" Sector 102 Gurgaon"/>
    <n v="0"/>
    <n v="0"/>
    <n v="4"/>
    <n v="13"/>
    <n v="3"/>
    <x v="1"/>
    <n v="25"/>
    <n v="1"/>
    <n v="1"/>
    <n v="0"/>
    <n v="0"/>
    <n v="2310.3374167203951"/>
    <m/>
    <n v="214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03374167203899E-2"/>
    <n v="21500000"/>
    <n v="9.3060000000000004E-2"/>
    <x v="3"/>
    <s v="Todo bien"/>
    <x v="0"/>
    <x v="4"/>
    <n v="1006.3835583870598"/>
    <x v="1"/>
    <x v="2"/>
    <s v="Pequeña"/>
    <x v="2"/>
    <n v="2310.3374167203951"/>
  </r>
  <r>
    <s v="Puri Diplomatic Greens"/>
    <x v="259"/>
    <n v="11727"/>
    <n v="3"/>
    <x v="5"/>
    <x v="5"/>
    <s v=" Sector 111 Gurgaon"/>
    <n v="0"/>
    <n v="0"/>
    <n v="4"/>
    <n v="10"/>
    <n v="2"/>
    <x v="1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0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x v="5"/>
    <s v="Todo bien"/>
    <x v="0"/>
    <x v="4"/>
    <n v="958.34283902276468"/>
    <x v="1"/>
    <x v="2"/>
    <s v="Pequeña"/>
    <x v="2"/>
    <n v="2200.0511639805577"/>
  </r>
  <r>
    <s v="Puri Diplomatic Greens"/>
    <x v="39"/>
    <n v="13235"/>
    <n v="3"/>
    <x v="2"/>
    <x v="0"/>
    <s v=" Sector 111 Gurgaon"/>
    <n v="0"/>
    <n v="0"/>
    <n v="3"/>
    <n v="12"/>
    <n v="2"/>
    <x v="1"/>
    <n v="21"/>
    <n v="0"/>
    <n v="0"/>
    <n v="0"/>
    <n v="0"/>
    <n v="1700.0377786173026"/>
    <m/>
    <n v="17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377786172999E-2"/>
    <n v="22500000"/>
    <n v="0.13235"/>
    <x v="3"/>
    <s v="Todo bien"/>
    <x v="0"/>
    <x v="4"/>
    <n v="740.53688290517448"/>
    <x v="1"/>
    <x v="2"/>
    <s v="Pequeña"/>
    <x v="1"/>
    <n v="1700.0377786173026"/>
  </r>
  <r>
    <s v="ATS Tourmaline"/>
    <x v="68"/>
    <n v="8139"/>
    <n v="3"/>
    <x v="2"/>
    <x v="0"/>
    <s v=" Sector 109 Gurgaon"/>
    <n v="0"/>
    <n v="0"/>
    <n v="4"/>
    <n v="9"/>
    <n v="3"/>
    <x v="1"/>
    <n v="27"/>
    <n v="1"/>
    <n v="0"/>
    <n v="0"/>
    <n v="0"/>
    <n v="2150.1412949993855"/>
    <m/>
    <n v="2150"/>
    <n v="0"/>
    <n v="1"/>
    <n v="0"/>
    <n v="1"/>
    <n v="1"/>
    <n v="0"/>
    <n v="1"/>
    <n v="1"/>
    <n v="1"/>
    <n v="1"/>
    <n v="0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3"/>
    <n v="936.60208757218095"/>
    <x v="1"/>
    <x v="2"/>
    <s v="Pequeña"/>
    <x v="2"/>
    <n v="2150.1412949993855"/>
  </r>
  <r>
    <s v="Experion The Heartsong"/>
    <x v="55"/>
    <n v="6079"/>
    <n v="2"/>
    <x v="4"/>
    <x v="0"/>
    <s v=" Sector 108 Gurgaon"/>
    <n v="0"/>
    <n v="0"/>
    <n v="3"/>
    <n v="10"/>
    <n v="3"/>
    <x v="0"/>
    <n v="14"/>
    <n v="0"/>
    <n v="0"/>
    <n v="0"/>
    <n v="0"/>
    <n v="1529.8568843559797"/>
    <m/>
    <n v="1283"/>
    <n v="0"/>
    <n v="1"/>
    <n v="0"/>
    <n v="1"/>
    <n v="0"/>
    <n v="0"/>
    <n v="1"/>
    <n v="1"/>
    <n v="1"/>
    <n v="1"/>
    <n v="1"/>
    <n v="1"/>
    <n v="1"/>
    <n v="0"/>
    <n v="0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5688435597E-2"/>
    <n v="9300000"/>
    <n v="6.0789999999999997E-2"/>
    <x v="1"/>
    <s v="Todo bien"/>
    <x v="0"/>
    <x v="4"/>
    <n v="666.40604266655282"/>
    <x v="1"/>
    <x v="2"/>
    <s v="Pequeña"/>
    <x v="1"/>
    <n v="1529.8568843559797"/>
  </r>
  <r>
    <s v="Experion Windchants"/>
    <x v="9"/>
    <n v="12622"/>
    <n v="3"/>
    <x v="0"/>
    <x v="0"/>
    <s v=" Sector 112 Gurgaon"/>
    <n v="0"/>
    <n v="0"/>
    <n v="5"/>
    <n v="4"/>
    <n v="3"/>
    <x v="1"/>
    <n v="28"/>
    <n v="1"/>
    <n v="0"/>
    <n v="0"/>
    <n v="0"/>
    <n v="3763.2704801140867"/>
    <m/>
    <n v="3763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3.7632704801140802E-2"/>
    <n v="47500000"/>
    <n v="0.12622"/>
    <x v="4"/>
    <s v="Todo bien"/>
    <x v="1"/>
    <x v="1"/>
    <n v="1639.281565342257"/>
    <x v="3"/>
    <x v="3"/>
    <s v="Pequeña"/>
    <x v="3"/>
    <n v="3763.2704801140867"/>
  </r>
  <r>
    <s v="Bestech Altura"/>
    <x v="252"/>
    <n v="8000"/>
    <n v="3"/>
    <x v="2"/>
    <x v="0"/>
    <s v=" Sector 79 Gurgaon"/>
    <n v="0"/>
    <n v="0"/>
    <n v="4"/>
    <n v="5"/>
    <n v="3"/>
    <x v="1"/>
    <n v="20"/>
    <n v="1"/>
    <n v="0"/>
    <n v="0"/>
    <n v="0"/>
    <n v="650.01392886990436"/>
    <m/>
    <n v="2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9999999999998E-2"/>
    <n v="17200000"/>
    <n v="0.08"/>
    <x v="3"/>
    <s v="Todo bien"/>
    <x v="1"/>
    <x v="5"/>
    <n v="936.54053943500003"/>
    <x v="1"/>
    <x v="0"/>
    <s v="Pequeña"/>
    <x v="2"/>
    <n v="2150"/>
  </r>
  <r>
    <s v="Tata Primanti"/>
    <x v="183"/>
    <n v="19285"/>
    <n v="4"/>
    <x v="2"/>
    <x v="2"/>
    <s v=" Sector 72 Gurgaon"/>
    <n v="0"/>
    <n v="0"/>
    <n v="4"/>
    <n v="0"/>
    <n v="3"/>
    <x v="2"/>
    <n v="3"/>
    <n v="1"/>
    <n v="0"/>
    <n v="0"/>
    <n v="0"/>
    <n v="1358.015867343292"/>
    <n v="4000"/>
    <n v="4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3.5001296344308999E-2"/>
    <n v="67500000"/>
    <n v="0.19284999999999999"/>
    <x v="6"/>
    <s v="Todo bien"/>
    <x v="1"/>
    <x v="5"/>
    <n v="1524.6573469406253"/>
    <x v="3"/>
    <x v="2"/>
    <s v="Muy grande"/>
    <x v="3"/>
    <n v="3500.1296344309048"/>
  </r>
  <r>
    <s v="Emaar Digihomes"/>
    <x v="158"/>
    <n v="16000"/>
    <n v="2"/>
    <x v="2"/>
    <x v="2"/>
    <s v=" Sector 62 Gurgaon"/>
    <n v="0"/>
    <n v="0"/>
    <n v="2"/>
    <n v="7"/>
    <n v="2"/>
    <x v="0"/>
    <n v="32"/>
    <n v="0"/>
    <n v="1"/>
    <n v="0"/>
    <n v="0"/>
    <n v="700"/>
    <n v="12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2"/>
    <n v="1"/>
    <n v="0"/>
    <n v="0"/>
    <n v="1"/>
    <n v="1"/>
    <n v="1"/>
    <n v="1"/>
    <n v="1"/>
    <n v="2"/>
    <n v="1"/>
    <n v="1"/>
    <n v="1"/>
    <n v="1"/>
    <n v="1"/>
    <n v="0"/>
    <n v="0"/>
    <n v="0"/>
    <n v="0"/>
    <n v="0"/>
    <n v="1"/>
    <n v="1.53125E-2"/>
    <n v="24500000.000000004"/>
    <n v="0.16"/>
    <x v="3"/>
    <s v="Todo bien"/>
    <x v="2"/>
    <x v="5"/>
    <n v="667.01288419062507"/>
    <x v="1"/>
    <x v="0"/>
    <s v="Mediana"/>
    <x v="0"/>
    <n v="1531.2500000000002"/>
  </r>
  <r>
    <s v="SS The Leaf"/>
    <x v="18"/>
    <n v="6934"/>
    <n v="4"/>
    <x v="4"/>
    <x v="0"/>
    <s v=" Sector 85 Gurgaon"/>
    <n v="0"/>
    <n v="0"/>
    <n v="5"/>
    <n v="4"/>
    <n v="3"/>
    <x v="2"/>
    <n v="26"/>
    <n v="0"/>
    <n v="0"/>
    <n v="0"/>
    <n v="0"/>
    <n v="3172.771848860687"/>
    <m/>
    <n v="2812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27718488606803E-2"/>
    <n v="22000000.000000004"/>
    <n v="6.9339999999999999E-2"/>
    <x v="3"/>
    <s v="Todo bien"/>
    <x v="0"/>
    <x v="5"/>
    <n v="1382.0602134121693"/>
    <x v="1"/>
    <x v="3"/>
    <s v="Pequeña"/>
    <x v="2"/>
    <n v="3172.771848860687"/>
  </r>
  <r>
    <s v="Tata Primanti"/>
    <x v="223"/>
    <n v="15648"/>
    <n v="4"/>
    <x v="2"/>
    <x v="2"/>
    <s v=" Sector 72 Gurgaon"/>
    <n v="0"/>
    <n v="0"/>
    <n v="4"/>
    <n v="30"/>
    <n v="3"/>
    <x v="2"/>
    <n v="40"/>
    <n v="1"/>
    <n v="0"/>
    <n v="0"/>
    <n v="0"/>
    <n v="1989.8697539797395"/>
    <n v="3000"/>
    <n v="33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3550613496932502E-2"/>
    <n v="52500000"/>
    <n v="0.15648000000000001"/>
    <x v="4"/>
    <s v="Todo bien"/>
    <x v="1"/>
    <x v="5"/>
    <n v="1461.4655657112726"/>
    <x v="1"/>
    <x v="2"/>
    <s v="Muy grande"/>
    <x v="3"/>
    <n v="3355.0613496932515"/>
  </r>
  <r>
    <s v="Tata Primanti"/>
    <x v="227"/>
    <n v="11363"/>
    <n v="4"/>
    <x v="2"/>
    <x v="2"/>
    <s v=" Sector 72 Gurgaon"/>
    <n v="0"/>
    <n v="0"/>
    <n v="4"/>
    <n v="2"/>
    <n v="3"/>
    <x v="2"/>
    <n v="40"/>
    <n v="1"/>
    <n v="1"/>
    <n v="0"/>
    <n v="1"/>
    <n v="1530.0370430020937"/>
    <n v="4000"/>
    <n v="4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7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4.4002464137991699E-2"/>
    <n v="50000000"/>
    <n v="0.11362999999999999"/>
    <x v="4"/>
    <s v="Todo bien"/>
    <x v="1"/>
    <x v="5"/>
    <n v="1916.7484418727438"/>
    <x v="3"/>
    <x v="2"/>
    <s v="Muy grande"/>
    <x v="3"/>
    <n v="4400.2464137991728"/>
  </r>
  <r>
    <s v="Tata Primanti"/>
    <x v="227"/>
    <n v="11111"/>
    <n v="4"/>
    <x v="2"/>
    <x v="5"/>
    <s v=" Sector 72 Gurgaon"/>
    <n v="0"/>
    <n v="0"/>
    <n v="4"/>
    <n v="2"/>
    <n v="3"/>
    <x v="2"/>
    <n v="4"/>
    <n v="1"/>
    <n v="1"/>
    <n v="1"/>
    <n v="0"/>
    <n v="2176.3815291445876"/>
    <n v="45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0"/>
    <n v="0"/>
    <n v="0"/>
    <n v="1"/>
    <n v="7"/>
    <n v="1"/>
    <n v="0"/>
    <n v="0"/>
    <n v="0"/>
    <n v="0"/>
    <n v="0"/>
    <n v="0"/>
    <n v="2"/>
    <n v="4.5000450004500002E-2"/>
    <n v="50000000"/>
    <n v="0.11111"/>
    <x v="4"/>
    <s v="Todo bien"/>
    <x v="1"/>
    <x v="5"/>
    <n v="1960.2207312573107"/>
    <x v="3"/>
    <x v="2"/>
    <s v="Muy grande"/>
    <x v="0"/>
    <n v="4500.0450004500044"/>
  </r>
  <r>
    <s v="La Vida by Tata Housing"/>
    <x v="58"/>
    <n v="16363"/>
    <n v="3"/>
    <x v="7"/>
    <x v="0"/>
    <s v=" Sector 113 Gurgaon"/>
    <n v="0"/>
    <n v="0"/>
    <n v="4"/>
    <n v="4"/>
    <n v="3"/>
    <x v="1"/>
    <n v="25"/>
    <n v="1"/>
    <n v="0"/>
    <n v="0"/>
    <n v="0"/>
    <n v="1603.1350195938724"/>
    <n v="2217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6500641691621298E-2"/>
    <n v="27000000"/>
    <n v="0.16363"/>
    <x v="5"/>
    <s v="Todo bien"/>
    <x v="1"/>
    <x v="1"/>
    <n v="718.7683660881238"/>
    <x v="1"/>
    <x v="2"/>
    <s v="Grande"/>
    <x v="0"/>
    <n v="1650.064169162134"/>
  </r>
  <r>
    <s v="Bestech Park View City"/>
    <x v="97"/>
    <n v="10323"/>
    <n v="4"/>
    <x v="2"/>
    <x v="5"/>
    <s v=" Sector 48 Gurgaon"/>
    <n v="0"/>
    <n v="0"/>
    <n v="4"/>
    <n v="11"/>
    <n v="3"/>
    <x v="2"/>
    <n v="14"/>
    <n v="1"/>
    <n v="1"/>
    <n v="0"/>
    <n v="0"/>
    <n v="2090.909090909091"/>
    <m/>
    <n v="256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6"/>
    <n v="1"/>
    <n v="4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5670832122445E-2"/>
    <n v="26500000"/>
    <n v="0.10323"/>
    <x v="5"/>
    <s v="Todo bien"/>
    <x v="1"/>
    <x v="5"/>
    <n v="1118.2220913348822"/>
    <x v="1"/>
    <x v="2"/>
    <s v="Pequeña"/>
    <x v="2"/>
    <n v="2567.0832122445026"/>
  </r>
  <r>
    <s v="Ambience Creacions"/>
    <x v="71"/>
    <n v="11956"/>
    <n v="2"/>
    <x v="4"/>
    <x v="0"/>
    <s v=" Sector 22 Gurgaon"/>
    <n v="0"/>
    <n v="0"/>
    <n v="2"/>
    <n v="9"/>
    <n v="2"/>
    <x v="0"/>
    <n v="20"/>
    <n v="0"/>
    <n v="0"/>
    <n v="1"/>
    <n v="0"/>
    <n v="2834.9746344374817"/>
    <n v="1200"/>
    <n v="138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2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3800602208096299E-2"/>
    <n v="16500000"/>
    <n v="0.11956"/>
    <x v="3"/>
    <s v="Todo bien"/>
    <x v="2"/>
    <x v="5"/>
    <n v="601.15457844178422"/>
    <x v="1"/>
    <x v="3"/>
    <s v="Mediana"/>
    <x v="1"/>
    <n v="1380.0602208096354"/>
  </r>
  <r>
    <s v="Ambience Creacions"/>
    <x v="161"/>
    <n v="13709"/>
    <n v="3"/>
    <x v="2"/>
    <x v="0"/>
    <s v=" Sector 22 Gurgaon"/>
    <n v="0"/>
    <n v="0"/>
    <n v="3"/>
    <n v="8"/>
    <n v="3"/>
    <x v="1"/>
    <n v="20"/>
    <n v="0"/>
    <n v="0"/>
    <n v="0"/>
    <n v="0"/>
    <n v="1529.8776097912169"/>
    <n v="1600"/>
    <n v="1860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1.8600919104238001E-2"/>
    <n v="25500000"/>
    <n v="0.13708999999999999"/>
    <x v="5"/>
    <s v="Todo bien"/>
    <x v="1"/>
    <x v="5"/>
    <n v="810.25650287766769"/>
    <x v="1"/>
    <x v="2"/>
    <s v="Mediana"/>
    <x v="1"/>
    <n v="1860.0919104238094"/>
  </r>
  <r>
    <s v="Ambience Creacions"/>
    <x v="161"/>
    <n v="13709"/>
    <n v="3"/>
    <x v="2"/>
    <x v="0"/>
    <s v=" Sector 22 Gurgaon"/>
    <n v="0"/>
    <n v="0"/>
    <n v="3"/>
    <n v="5"/>
    <n v="3"/>
    <x v="1"/>
    <n v="20"/>
    <n v="0"/>
    <n v="0"/>
    <n v="0"/>
    <n v="0"/>
    <n v="2125.193199381762"/>
    <n v="1600"/>
    <n v="18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6"/>
    <n v="1"/>
    <n v="1"/>
    <n v="1"/>
    <n v="1"/>
    <n v="1"/>
    <n v="0"/>
    <n v="0"/>
    <n v="0"/>
    <n v="0"/>
    <n v="0"/>
    <n v="1"/>
    <n v="4"/>
    <n v="1"/>
    <n v="0"/>
    <n v="0"/>
    <n v="0"/>
    <n v="0"/>
    <n v="0"/>
    <n v="0"/>
    <n v="1"/>
    <n v="1.8600919104238001E-2"/>
    <n v="25500000"/>
    <n v="0.13708999999999999"/>
    <x v="5"/>
    <s v="Todo bien"/>
    <x v="2"/>
    <x v="1"/>
    <n v="810.25650287766769"/>
    <x v="1"/>
    <x v="2"/>
    <s v="Mediana"/>
    <x v="1"/>
    <n v="1860.0919104238094"/>
  </r>
  <r>
    <s v="Ambience Creacions"/>
    <x v="285"/>
    <n v="13915"/>
    <n v="3"/>
    <x v="6"/>
    <x v="0"/>
    <s v=" Sector 22 Gurgaon"/>
    <n v="0"/>
    <n v="0"/>
    <n v="4"/>
    <n v="6"/>
    <n v="3"/>
    <x v="1"/>
    <n v="18"/>
    <n v="1"/>
    <n v="0"/>
    <n v="0"/>
    <n v="0"/>
    <n v="1579.1196203567338"/>
    <n v="26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0901904419690901E-2"/>
    <n v="43000000"/>
    <n v="0.13915"/>
    <x v="4"/>
    <s v="Todo bien"/>
    <x v="2"/>
    <x v="4"/>
    <n v="1346.0877318505177"/>
    <x v="1"/>
    <x v="2"/>
    <s v="Muy grande"/>
    <x v="3"/>
    <n v="3090.1904419690982"/>
  </r>
  <r>
    <s v="Tulip Violet"/>
    <x v="74"/>
    <n v="8457"/>
    <n v="4"/>
    <x v="6"/>
    <x v="0"/>
    <s v=" Sector 69 Gurgaon"/>
    <n v="0"/>
    <n v="0"/>
    <n v="4"/>
    <n v="10"/>
    <n v="2"/>
    <x v="2"/>
    <n v="14"/>
    <n v="1"/>
    <n v="1"/>
    <n v="1"/>
    <n v="1"/>
    <n v="1157.701538895948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0101690906940899E-2"/>
    <n v="17000000"/>
    <n v="8.4570000000000006E-2"/>
    <x v="3"/>
    <s v="Todo bien"/>
    <x v="0"/>
    <x v="5"/>
    <n v="875.63016025777051"/>
    <x v="1"/>
    <x v="0"/>
    <s v="Pequeña"/>
    <x v="2"/>
    <n v="2010.1690906940994"/>
  </r>
  <r>
    <s v="Ambience Creacions"/>
    <x v="92"/>
    <n v="17391"/>
    <n v="2"/>
    <x v="3"/>
    <x v="0"/>
    <s v=" Sector 22 Gurgaon"/>
    <n v="0"/>
    <n v="0"/>
    <n v="2"/>
    <n v="8"/>
    <n v="2"/>
    <x v="0"/>
    <n v="18"/>
    <n v="0"/>
    <n v="0"/>
    <n v="0"/>
    <n v="0"/>
    <n v="483.98248444342016"/>
    <n v="1200"/>
    <n v="138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2"/>
    <n v="1"/>
    <n v="1"/>
    <n v="1"/>
    <n v="1"/>
    <n v="1"/>
    <n v="0"/>
    <n v="0"/>
    <n v="1"/>
    <n v="0"/>
    <n v="0"/>
    <n v="1"/>
    <n v="2"/>
    <n v="1"/>
    <n v="0"/>
    <n v="0"/>
    <n v="0"/>
    <n v="0"/>
    <n v="0"/>
    <n v="0"/>
    <n v="1"/>
    <n v="1.3800241504226299E-2"/>
    <n v="24000000"/>
    <n v="0.17391000000000001"/>
    <x v="3"/>
    <s v="Todo bien"/>
    <x v="2"/>
    <x v="4"/>
    <n v="601.13886617215701"/>
    <x v="1"/>
    <x v="1"/>
    <s v="Mediana"/>
    <x v="1"/>
    <n v="1380.0241504226324"/>
  </r>
  <r>
    <s v="Imperia The Esfera"/>
    <x v="147"/>
    <n v="5513"/>
    <n v="2"/>
    <x v="7"/>
    <x v="0"/>
    <s v=" Sector 37C Gurgaon"/>
    <n v="0"/>
    <n v="0"/>
    <n v="3"/>
    <n v="5"/>
    <n v="3"/>
    <x v="0"/>
    <n v="23"/>
    <n v="0"/>
    <n v="1"/>
    <n v="0"/>
    <n v="0"/>
    <n v="1423.1499051233395"/>
    <n v="1300"/>
    <n v="157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x v="1"/>
    <s v="Todo bien"/>
    <x v="0"/>
    <x v="5"/>
    <n v="687.41559637765135"/>
    <x v="1"/>
    <x v="2"/>
    <s v="Mediana"/>
    <x v="1"/>
    <n v="1578.0881552693634"/>
  </r>
  <r>
    <s v="Corona Optus"/>
    <x v="43"/>
    <n v="7090"/>
    <n v="3"/>
    <x v="7"/>
    <x v="0"/>
    <s v=" Sector 37C Gurgaon"/>
    <n v="0"/>
    <n v="0"/>
    <n v="3"/>
    <n v="4"/>
    <n v="3"/>
    <x v="1"/>
    <n v="14"/>
    <n v="0"/>
    <n v="0"/>
    <n v="0"/>
    <n v="0"/>
    <n v="602.02788339670474"/>
    <n v="1350"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0465444287698E-2"/>
    <n v="12500000"/>
    <n v="7.0900000000000005E-2"/>
    <x v="2"/>
    <s v="Todo bien"/>
    <x v="0"/>
    <x v="1"/>
    <n v="767.98351710155021"/>
    <x v="1"/>
    <x v="0"/>
    <s v="Mediana"/>
    <x v="1"/>
    <n v="1763.0465444287729"/>
  </r>
  <r>
    <s v="Imperia The Esfera"/>
    <x v="48"/>
    <n v="5454"/>
    <n v="3"/>
    <x v="7"/>
    <x v="0"/>
    <s v=" Sector 37C Gurgaon"/>
    <n v="0"/>
    <n v="0"/>
    <n v="5"/>
    <n v="5"/>
    <n v="3"/>
    <x v="1"/>
    <n v="23"/>
    <n v="1"/>
    <n v="0"/>
    <n v="0"/>
    <n v="0"/>
    <n v="2940.1121765876605"/>
    <n v="1400"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x v="1"/>
    <s v="Todo bien"/>
    <x v="0"/>
    <x v="1"/>
    <n v="790.69352473597144"/>
    <x v="1"/>
    <x v="3"/>
    <s v="Mediana"/>
    <x v="1"/>
    <n v="1815.1815181518152"/>
  </r>
  <r>
    <s v="Emaar Gurgaon Greens"/>
    <x v="274"/>
    <n v="8424"/>
    <n v="3"/>
    <x v="0"/>
    <x v="0"/>
    <s v=" Sector 102 Gurgaon"/>
    <n v="0"/>
    <n v="0"/>
    <n v="3"/>
    <n v="7"/>
    <n v="3"/>
    <x v="1"/>
    <n v="14"/>
    <n v="1"/>
    <n v="0"/>
    <n v="0"/>
    <n v="0"/>
    <n v="1650.0474833808169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3"/>
    <n v="1"/>
    <n v="0"/>
    <n v="0"/>
    <n v="0"/>
    <n v="1"/>
    <n v="1"/>
    <n v="1"/>
    <n v="0"/>
    <n v="0"/>
    <n v="0"/>
    <n v="0"/>
    <n v="0"/>
    <n v="0"/>
    <n v="2"/>
    <n v="1.65004748338081E-2"/>
    <n v="13900000"/>
    <n v="8.4239999999999995E-2"/>
    <x v="2"/>
    <s v="Todo bien"/>
    <x v="1"/>
    <x v="0"/>
    <n v="718.76109775759448"/>
    <x v="1"/>
    <x v="2"/>
    <s v="Pequeña"/>
    <x v="1"/>
    <n v="1650.0474833808169"/>
  </r>
  <r>
    <s v="The Close North"/>
    <x v="58"/>
    <n v="10364"/>
    <n v="3"/>
    <x v="4"/>
    <x v="5"/>
    <s v=" Nirvana Country"/>
    <n v="0"/>
    <n v="0"/>
    <n v="3"/>
    <n v="6"/>
    <n v="3"/>
    <x v="1"/>
    <n v="18"/>
    <n v="1"/>
    <n v="0"/>
    <n v="0"/>
    <n v="0"/>
    <n v="2323.8095238095239"/>
    <n v="2400"/>
    <n v="26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51717483597001E-2"/>
    <n v="27000000"/>
    <n v="0.10364"/>
    <x v="5"/>
    <s v="Todo bien"/>
    <x v="0"/>
    <x v="5"/>
    <n v="1134.8134672230772"/>
    <x v="1"/>
    <x v="2"/>
    <s v="Grande"/>
    <x v="2"/>
    <n v="2605.1717483597067"/>
  </r>
  <r>
    <s v="BPTP Terra"/>
    <x v="68"/>
    <n v="7987"/>
    <n v="4"/>
    <x v="0"/>
    <x v="0"/>
    <s v=" Sector 37D Gurgaon"/>
    <n v="0"/>
    <n v="0"/>
    <n v="4"/>
    <n v="7"/>
    <n v="3"/>
    <x v="2"/>
    <n v="23"/>
    <n v="0"/>
    <n v="0"/>
    <n v="0"/>
    <n v="0"/>
    <n v="1365.1877133105802"/>
    <n v="2100"/>
    <n v="219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0604732690599E-2"/>
    <n v="17500000"/>
    <n v="7.9869999999999997E-2"/>
    <x v="3"/>
    <s v="Todo bien"/>
    <x v="1"/>
    <x v="5"/>
    <n v="954.42649189307531"/>
    <x v="1"/>
    <x v="2"/>
    <s v="Grande"/>
    <x v="2"/>
    <n v="2191.0604732690622"/>
  </r>
  <r>
    <s v="BPTP Terra"/>
    <x v="46"/>
    <n v="7074"/>
    <n v="4"/>
    <x v="2"/>
    <x v="0"/>
    <s v=" Sector 37D Gurgaon"/>
    <n v="0"/>
    <n v="0"/>
    <n v="3"/>
    <n v="19"/>
    <n v="3"/>
    <x v="2"/>
    <n v="23"/>
    <n v="0"/>
    <n v="0"/>
    <n v="0"/>
    <n v="0"/>
    <n v="1361.0203764193498"/>
    <n v="21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911224201300501E-2"/>
    <n v="15500000"/>
    <n v="7.0739999999999997E-2"/>
    <x v="3"/>
    <s v="Todo bien"/>
    <x v="1"/>
    <x v="5"/>
    <n v="954.4534759612651"/>
    <x v="1"/>
    <x v="2"/>
    <s v="Grande"/>
    <x v="2"/>
    <n v="2191.1224201300538"/>
  </r>
  <r>
    <s v="BPTP Terra"/>
    <x v="26"/>
    <n v="7302"/>
    <n v="4"/>
    <x v="5"/>
    <x v="0"/>
    <s v=" Sector 37D Gurgaon"/>
    <n v="0"/>
    <n v="0"/>
    <n v="3"/>
    <n v="7"/>
    <n v="3"/>
    <x v="2"/>
    <n v="23"/>
    <n v="0"/>
    <n v="0"/>
    <n v="0"/>
    <n v="0"/>
    <n v="1960.169358632586"/>
    <n v="20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804984935598E-2"/>
    <n v="16000000"/>
    <n v="7.3020000000000002E-2"/>
    <x v="3"/>
    <s v="Todo bien"/>
    <x v="1"/>
    <x v="5"/>
    <n v="954.47877491098177"/>
    <x v="1"/>
    <x v="2"/>
    <s v="Grande"/>
    <x v="2"/>
    <n v="2191.1804984935634"/>
  </r>
  <r>
    <s v="ATS Tourmaline"/>
    <x v="100"/>
    <n v="8000"/>
    <n v="3"/>
    <x v="4"/>
    <x v="0"/>
    <s v=" Sector 109 Gurgaon"/>
    <n v="0"/>
    <n v="0"/>
    <n v="3"/>
    <n v="5"/>
    <n v="3"/>
    <x v="1"/>
    <n v="27"/>
    <n v="0"/>
    <n v="0"/>
    <n v="0"/>
    <n v="0"/>
    <n v="1750"/>
    <n v="1466"/>
    <n v="17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x v="2"/>
    <s v="Todo bien"/>
    <x v="0"/>
    <x v="1"/>
    <n v="762.3004390750001"/>
    <x v="1"/>
    <x v="2"/>
    <s v="Mediana"/>
    <x v="1"/>
    <n v="1750"/>
  </r>
  <r>
    <s v="BPTP Astaire Gardens"/>
    <x v="7"/>
    <n v="9350"/>
    <n v="3"/>
    <x v="7"/>
    <x v="0"/>
    <s v=" Sector 70A Gurgaon"/>
    <n v="0"/>
    <n v="0"/>
    <n v="3"/>
    <n v="3"/>
    <n v="3"/>
    <x v="1"/>
    <n v="3"/>
    <n v="0"/>
    <n v="1"/>
    <n v="0"/>
    <n v="0"/>
    <n v="1925.1336898395723"/>
    <n v="1925"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51336898395699E-2"/>
    <n v="18000000"/>
    <n v="9.35E-2"/>
    <x v="3"/>
    <s v="Todo bien"/>
    <x v="0"/>
    <x v="5"/>
    <n v="838.58871831015949"/>
    <x v="1"/>
    <x v="2"/>
    <s v="Grande"/>
    <x v="0"/>
    <n v="1925.1336898395723"/>
  </r>
  <r>
    <s v="MM Woodshire"/>
    <x v="71"/>
    <n v="5960"/>
    <n v="4"/>
    <x v="7"/>
    <x v="0"/>
    <s v=" Sector 107 Gurgaon"/>
    <n v="0"/>
    <n v="0"/>
    <n v="5"/>
    <n v="12"/>
    <n v="3"/>
    <x v="2"/>
    <n v="14"/>
    <n v="1"/>
    <n v="0"/>
    <n v="0"/>
    <n v="0"/>
    <n v="2768.4563758389263"/>
    <m/>
    <n v="276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4563758389201E-2"/>
    <n v="16500000"/>
    <n v="5.96E-2"/>
    <x v="3"/>
    <s v="Todo bien"/>
    <x v="0"/>
    <x v="0"/>
    <n v="1205.9402919211384"/>
    <x v="1"/>
    <x v="3"/>
    <s v="Pequeña"/>
    <x v="2"/>
    <n v="2768.4563758389263"/>
  </r>
  <r>
    <s v="Unitech Uniworld City"/>
    <x v="202"/>
    <n v="14991"/>
    <n v="3"/>
    <x v="5"/>
    <x v="1"/>
    <s v=" Sector 30 Gurgaon"/>
    <n v="0"/>
    <n v="0"/>
    <n v="5"/>
    <n v="16"/>
    <n v="3"/>
    <x v="1"/>
    <n v="19"/>
    <n v="1"/>
    <n v="0"/>
    <n v="0"/>
    <n v="0"/>
    <n v="699.9784622011631"/>
    <n v="2367"/>
    <n v="236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680875191781699E-2"/>
    <n v="35500000"/>
    <n v="0.14990999999999999"/>
    <x v="5"/>
    <s v="Todo bien"/>
    <x v="1"/>
    <x v="5"/>
    <n v="1031.5395175071694"/>
    <x v="1"/>
    <x v="0"/>
    <s v="Grande"/>
    <x v="2"/>
    <n v="2368.0875191781738"/>
  </r>
  <r>
    <s v="DLF The Icon"/>
    <x v="169"/>
    <n v="26086"/>
    <n v="4"/>
    <x v="2"/>
    <x v="1"/>
    <s v=" DLF Phase 5"/>
    <n v="0"/>
    <n v="0"/>
    <n v="4"/>
    <n v="18"/>
    <n v="3"/>
    <x v="2"/>
    <n v="18"/>
    <n v="1"/>
    <n v="0"/>
    <n v="0"/>
    <n v="0"/>
    <n v="1996.927803379416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3000843364256601E-2"/>
    <n v="60000000"/>
    <n v="0.26085999999999998"/>
    <x v="4"/>
    <s v="Todo bien"/>
    <x v="1"/>
    <x v="5"/>
    <n v="1001.9173140381776"/>
    <x v="1"/>
    <x v="2"/>
    <s v="Pequeña"/>
    <x v="0"/>
    <n v="2300.0843364256693"/>
  </r>
  <r>
    <s v="Bestech Park View City"/>
    <x v="7"/>
    <n v="10250"/>
    <n v="3"/>
    <x v="7"/>
    <x v="5"/>
    <s v=" Sector 48 Gurgaon"/>
    <n v="0"/>
    <n v="0"/>
    <n v="4"/>
    <n v="3"/>
    <n v="3"/>
    <x v="1"/>
    <n v="14"/>
    <n v="0"/>
    <n v="1"/>
    <n v="0"/>
    <n v="0"/>
    <n v="1523.0312035661218"/>
    <m/>
    <m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560975609756099E-2"/>
    <n v="18000000"/>
    <n v="0.10249999999999999"/>
    <x v="3"/>
    <s v="Todo bien"/>
    <x v="1"/>
    <x v="3"/>
    <n v="764.95653816585377"/>
    <x v="1"/>
    <x v="2"/>
    <s v="Pequeña"/>
    <x v="0"/>
    <n v="1756.0975609756099"/>
  </r>
  <r>
    <s v="AIPL The Peaceful Homes"/>
    <x v="51"/>
    <n v="10638"/>
    <n v="3"/>
    <x v="8"/>
    <x v="0"/>
    <s v=" Sector 70A Gurgaon"/>
    <n v="0"/>
    <n v="0"/>
    <n v="4"/>
    <n v="8"/>
    <n v="3"/>
    <x v="1"/>
    <n v="30"/>
    <n v="1"/>
    <n v="0"/>
    <n v="0"/>
    <n v="1"/>
    <n v="2350.0658018424515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7"/>
    <n v="1"/>
    <n v="5"/>
    <n v="1"/>
    <n v="0"/>
    <n v="0"/>
    <n v="0"/>
    <n v="0"/>
    <n v="0"/>
    <n v="0"/>
    <n v="0"/>
    <n v="0"/>
    <n v="0"/>
    <n v="1"/>
    <n v="6"/>
    <n v="1"/>
    <n v="0"/>
    <n v="0"/>
    <n v="0"/>
    <n v="0"/>
    <n v="0"/>
    <n v="0"/>
    <n v="2"/>
    <n v="2.3500658018424499E-2"/>
    <n v="25000000"/>
    <n v="0.10638"/>
    <x v="3"/>
    <s v="Todo bien"/>
    <x v="1"/>
    <x v="5"/>
    <n v="1023.689252914081"/>
    <x v="1"/>
    <x v="2"/>
    <s v="Pequeña"/>
    <x v="2"/>
    <n v="2350.0658018424515"/>
  </r>
  <r>
    <s v="Hector Trimurti Heights"/>
    <x v="78"/>
    <n v="6382"/>
    <n v="4"/>
    <x v="3"/>
    <x v="1"/>
    <s v=" Sector 39 Gurgaon"/>
    <n v="0"/>
    <n v="0"/>
    <n v="3"/>
    <n v="10"/>
    <n v="3"/>
    <x v="2"/>
    <n v="12"/>
    <n v="1"/>
    <n v="0"/>
    <n v="0"/>
    <n v="0"/>
    <n v="4060.50147193178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5"/>
    <n v="1"/>
    <n v="4"/>
    <n v="1"/>
    <n v="1"/>
    <n v="1"/>
    <n v="1"/>
    <n v="1"/>
    <n v="5"/>
    <n v="1"/>
    <n v="1"/>
    <n v="1"/>
    <n v="1"/>
    <n v="1"/>
    <n v="4"/>
    <n v="1"/>
    <n v="1"/>
    <n v="0"/>
    <n v="0"/>
    <n v="0"/>
    <n v="0"/>
    <n v="0"/>
    <n v="1"/>
    <n v="2.3503603885929099E-2"/>
    <n v="15000000"/>
    <n v="6.3820000000000002E-2"/>
    <x v="2"/>
    <s v="Todo bien"/>
    <x v="2"/>
    <x v="1"/>
    <n v="1023.8175749764931"/>
    <x v="1"/>
    <x v="3"/>
    <s v="Pequeña"/>
    <x v="0"/>
    <n v="2350.3603885929174"/>
  </r>
  <r>
    <s v="Vatika Lifestyle Homes"/>
    <x v="211"/>
    <n v="5699"/>
    <n v="3"/>
    <x v="6"/>
    <x v="5"/>
    <s v=" Sector 83 Gurgaon"/>
    <n v="0"/>
    <n v="0"/>
    <n v="2"/>
    <n v="2"/>
    <n v="2"/>
    <x v="1"/>
    <n v="7"/>
    <n v="0"/>
    <n v="0"/>
    <n v="0"/>
    <n v="0"/>
    <n v="1828.0342103545081"/>
    <n v="1500"/>
    <n v="175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48815581680899E-2"/>
    <n v="10400000"/>
    <n v="5.6989999999999999E-2"/>
    <x v="2"/>
    <s v="Todo bien"/>
    <x v="0"/>
    <x v="5"/>
    <n v="794.91886460080298"/>
    <x v="1"/>
    <x v="2"/>
    <s v="Mediana"/>
    <x v="1"/>
    <n v="1824.8815581680997"/>
  </r>
  <r>
    <s v="Pyramid Urban"/>
    <x v="286"/>
    <n v="8967"/>
    <n v="2"/>
    <x v="0"/>
    <x v="0"/>
    <s v=" Sector 67A Gurgaon"/>
    <n v="0"/>
    <n v="0"/>
    <n v="2"/>
    <n v="6"/>
    <n v="1"/>
    <x v="0"/>
    <n v="14"/>
    <n v="0"/>
    <n v="0"/>
    <n v="0"/>
    <n v="0"/>
    <n v="2850.08550256507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2"/>
    <n v="1"/>
    <n v="0"/>
    <n v="0"/>
    <n v="0"/>
    <n v="1"/>
    <n v="2"/>
    <n v="1"/>
    <n v="0"/>
    <n v="0"/>
    <n v="0"/>
    <n v="0"/>
    <n v="0"/>
    <n v="0"/>
    <n v="2"/>
    <n v="5.9105609456896998E-3"/>
    <n v="5300000"/>
    <n v="8.967E-2"/>
    <x v="1"/>
    <s v="Todo bien"/>
    <x v="1"/>
    <x v="1"/>
    <n v="257.46418309021749"/>
    <x v="0"/>
    <x v="3"/>
    <s v="Pequeña"/>
    <x v="0"/>
    <n v="591.05609456897514"/>
  </r>
  <r>
    <s v="Shree Vardhman Victoria"/>
    <x v="182"/>
    <n v="8410"/>
    <n v="3"/>
    <x v="2"/>
    <x v="0"/>
    <s v=" Sector 70 Gurgaon"/>
    <n v="0"/>
    <n v="0"/>
    <n v="5"/>
    <n v="8"/>
    <n v="3"/>
    <x v="1"/>
    <n v="18"/>
    <n v="1"/>
    <n v="0"/>
    <n v="0"/>
    <n v="0"/>
    <n v="990.09900990099004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594530320998E-2"/>
    <n v="16400000"/>
    <n v="8.4099999999999994E-2"/>
    <x v="3"/>
    <s v="Todo bien"/>
    <x v="1"/>
    <x v="4"/>
    <n v="849.44638701069948"/>
    <x v="1"/>
    <x v="0"/>
    <s v="Pequeña"/>
    <x v="1"/>
    <n v="1950.0594530321048"/>
  </r>
  <r>
    <s v="Emaar MGF Emerald Floors Premier"/>
    <x v="90"/>
    <n v="14683"/>
    <n v="4"/>
    <x v="2"/>
    <x v="0"/>
    <s v=" Sector 65 Gurgaon"/>
    <n v="0"/>
    <n v="0"/>
    <n v="4"/>
    <n v="4"/>
    <n v="3"/>
    <x v="2"/>
    <n v="4"/>
    <n v="1"/>
    <n v="1"/>
    <n v="0"/>
    <n v="0"/>
    <n v="1975.073213920861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97507321392086E-2"/>
    <n v="29000000"/>
    <n v="0.14682999999999999"/>
    <x v="5"/>
    <s v="Todo bien"/>
    <x v="1"/>
    <x v="5"/>
    <n v="860.34238752979604"/>
    <x v="1"/>
    <x v="2"/>
    <s v="Pequeña"/>
    <x v="1"/>
    <n v="1975.073213920861"/>
  </r>
  <r>
    <s v="Emaar MGF Emerald Floors Premier"/>
    <x v="269"/>
    <n v="14303"/>
    <n v="3"/>
    <x v="2"/>
    <x v="0"/>
    <s v=" Sector 65 Gurgaon"/>
    <n v="0"/>
    <n v="0"/>
    <n v="3"/>
    <n v="0"/>
    <n v="3"/>
    <x v="1"/>
    <n v="4"/>
    <n v="1"/>
    <n v="1"/>
    <n v="0"/>
    <n v="0"/>
    <n v="1650.0034957701182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0"/>
    <n v="4"/>
    <n v="1"/>
    <n v="1"/>
    <n v="0"/>
    <n v="0"/>
    <n v="0"/>
    <n v="0"/>
    <n v="0"/>
    <n v="2"/>
    <n v="1.6500034957701099E-2"/>
    <n v="23600000"/>
    <n v="0.14302999999999999"/>
    <x v="3"/>
    <s v="Todo bien"/>
    <x v="1"/>
    <x v="5"/>
    <n v="718.74193674333696"/>
    <x v="1"/>
    <x v="2"/>
    <s v="Pequeña"/>
    <x v="1"/>
    <n v="1650.0034957701182"/>
  </r>
  <r>
    <s v="DLF Park Place"/>
    <x v="287"/>
    <n v="30180"/>
    <n v="3"/>
    <x v="5"/>
    <x v="5"/>
    <s v=" Sector 54 Gurgaon"/>
    <n v="0"/>
    <n v="0"/>
    <n v="4"/>
    <n v="6"/>
    <n v="3"/>
    <x v="1"/>
    <n v="30"/>
    <n v="1"/>
    <n v="0"/>
    <n v="0"/>
    <n v="0"/>
    <n v="1429.9332697807436"/>
    <n v="1785"/>
    <n v="198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5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1.6070245195493701E-2"/>
    <n v="48500000"/>
    <n v="0.30180000000000001"/>
    <x v="4"/>
    <s v="Todo bien"/>
    <x v="2"/>
    <x v="5"/>
    <n v="700.02028391815759"/>
    <x v="1"/>
    <x v="2"/>
    <s v="Mediana"/>
    <x v="1"/>
    <n v="1607.0245195493703"/>
  </r>
  <r>
    <s v="Vatika Gurgaon "/>
    <x v="43"/>
    <n v="6313"/>
    <n v="3"/>
    <x v="0"/>
    <x v="0"/>
    <s v=" Sector 83 Gurgaon"/>
    <n v="0"/>
    <n v="0"/>
    <n v="3"/>
    <n v="2"/>
    <n v="2"/>
    <x v="1"/>
    <n v="18"/>
    <n v="1"/>
    <n v="0"/>
    <n v="0"/>
    <n v="0"/>
    <n v="1980.0411848566448"/>
    <m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x v="2"/>
    <s v="Todo bien"/>
    <x v="0"/>
    <x v="5"/>
    <n v="862.50643691588584"/>
    <x v="1"/>
    <x v="2"/>
    <s v="Pequeña"/>
    <x v="1"/>
    <n v="1980.0411848566448"/>
  </r>
  <r>
    <s v="Shree Vardhman Flora"/>
    <x v="119"/>
    <n v="4717"/>
    <n v="3"/>
    <x v="5"/>
    <x v="0"/>
    <s v=" Sector 90 Gurgaon"/>
    <n v="0"/>
    <n v="0"/>
    <n v="3"/>
    <n v="6"/>
    <n v="2"/>
    <x v="1"/>
    <n v="13"/>
    <n v="0"/>
    <n v="1"/>
    <n v="0"/>
    <n v="0"/>
    <n v="1826.150474799123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03921984312E-2"/>
    <n v="9200000"/>
    <n v="4.7169999999999997E-2"/>
    <x v="1"/>
    <s v="Todo bien"/>
    <x v="1"/>
    <x v="1"/>
    <n v="849.59133099003338"/>
    <x v="1"/>
    <x v="2"/>
    <s v="Pequeña"/>
    <x v="0"/>
    <n v="1950.3921984312065"/>
  </r>
  <r>
    <s v="DLF The Ultima"/>
    <x v="58"/>
    <n v="12802"/>
    <n v="3"/>
    <x v="5"/>
    <x v="0"/>
    <s v=" Sector 81 Gurgaon"/>
    <n v="0"/>
    <n v="0"/>
    <n v="3"/>
    <n v="15"/>
    <n v="3"/>
    <x v="1"/>
    <n v="29"/>
    <n v="1"/>
    <n v="0"/>
    <n v="0"/>
    <n v="0"/>
    <n v="1103.076357396739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090454616466098E-2"/>
    <n v="27000000"/>
    <n v="0.12801999999999999"/>
    <x v="5"/>
    <s v="Todo bien"/>
    <x v="1"/>
    <x v="1"/>
    <n v="918.70073225276963"/>
    <x v="1"/>
    <x v="0"/>
    <s v="Pequeña"/>
    <x v="0"/>
    <n v="2109.0454616466177"/>
  </r>
  <r>
    <s v="Shree Vardhman Flora"/>
    <x v="4"/>
    <n v="5177"/>
    <n v="2"/>
    <x v="5"/>
    <x v="0"/>
    <s v=" Sector 90 Gurgaon"/>
    <n v="0"/>
    <n v="0"/>
    <n v="3"/>
    <n v="7"/>
    <n v="2"/>
    <x v="0"/>
    <n v="13"/>
    <n v="0"/>
    <n v="1"/>
    <n v="0"/>
    <n v="0"/>
    <n v="1571.97395014596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5213444079582E-2"/>
    <n v="7000000"/>
    <n v="5.1769999999999997E-2"/>
    <x v="1"/>
    <s v="Todo bien"/>
    <x v="1"/>
    <x v="1"/>
    <n v="588.99010166119035"/>
    <x v="1"/>
    <x v="2"/>
    <s v="Pequeña"/>
    <x v="0"/>
    <n v="1352.1344407958277"/>
  </r>
  <r>
    <s v="SS The Leaf"/>
    <x v="43"/>
    <n v="7179"/>
    <n v="2"/>
    <x v="5"/>
    <x v="0"/>
    <s v=" Sector 85 Gurgaon"/>
    <n v="0"/>
    <n v="0"/>
    <n v="2"/>
    <n v="16"/>
    <n v="2"/>
    <x v="0"/>
    <n v="26"/>
    <n v="0"/>
    <n v="0"/>
    <n v="0"/>
    <n v="0"/>
    <n v="567.0005670005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11895807215399E-2"/>
    <n v="12500000"/>
    <n v="7.1790000000000007E-2"/>
    <x v="2"/>
    <s v="Todo bien"/>
    <x v="1"/>
    <x v="1"/>
    <n v="758.46261822676865"/>
    <x v="1"/>
    <x v="1"/>
    <s v="Pequeña"/>
    <x v="0"/>
    <n v="1741.1895807215487"/>
  </r>
  <r>
    <s v="SS The Leaf"/>
    <x v="133"/>
    <n v="8179"/>
    <n v="4"/>
    <x v="8"/>
    <x v="0"/>
    <s v=" Sector 85 Gurgaon"/>
    <n v="0"/>
    <n v="0"/>
    <n v="4"/>
    <n v="8"/>
    <n v="3"/>
    <x v="2"/>
    <n v="26"/>
    <n v="1"/>
    <n v="0"/>
    <n v="0"/>
    <n v="0"/>
    <n v="2812.0797163467414"/>
    <m/>
    <n v="281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797163467399E-2"/>
    <n v="23000000"/>
    <n v="8.1790000000000002E-2"/>
    <x v="3"/>
    <s v="Todo bien"/>
    <x v="0"/>
    <x v="0"/>
    <n v="1224.9426299914408"/>
    <x v="1"/>
    <x v="3"/>
    <s v="Pequeña"/>
    <x v="2"/>
    <n v="2812.0797163467414"/>
  </r>
  <r>
    <s v="SS The Leaf"/>
    <x v="6"/>
    <n v="8305"/>
    <n v="3"/>
    <x v="4"/>
    <x v="0"/>
    <s v=" Sector 85 Gurgaon"/>
    <n v="0"/>
    <n v="0"/>
    <n v="4"/>
    <n v="8"/>
    <n v="3"/>
    <x v="1"/>
    <n v="26"/>
    <n v="1"/>
    <n v="0"/>
    <n v="0"/>
    <n v="0"/>
    <n v="2408.1878386514149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0818783865141E-2"/>
    <n v="20000000"/>
    <n v="8.3049999999999999E-2"/>
    <x v="3"/>
    <s v="Todo bien"/>
    <x v="1"/>
    <x v="0"/>
    <n v="1049.0072267308828"/>
    <x v="1"/>
    <x v="2"/>
    <s v="Pequeña"/>
    <x v="2"/>
    <n v="2408.1878386514149"/>
  </r>
  <r>
    <s v="Vatika Gurgaon "/>
    <x v="85"/>
    <n v="6224"/>
    <n v="3"/>
    <x v="2"/>
    <x v="0"/>
    <s v=" Sector 83 Gurgaon"/>
    <n v="0"/>
    <n v="0"/>
    <n v="3"/>
    <n v="11"/>
    <n v="2"/>
    <x v="1"/>
    <n v="18"/>
    <n v="0"/>
    <n v="0"/>
    <n v="0"/>
    <n v="0"/>
    <n v="1735.2185089974294"/>
    <m/>
    <n v="1735"/>
    <n v="0"/>
    <n v="0"/>
    <n v="0"/>
    <n v="0"/>
    <n v="0"/>
    <n v="0"/>
    <n v="0"/>
    <n v="1"/>
    <n v="0"/>
    <n v="1"/>
    <n v="0"/>
    <n v="0"/>
    <n v="1"/>
    <n v="1"/>
    <n v="0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2185089974201E-2"/>
    <n v="10800000"/>
    <n v="6.2239999999999997E-2"/>
    <x v="2"/>
    <s v="Todo bien"/>
    <x v="0"/>
    <x v="2"/>
    <n v="755.86161788560014"/>
    <x v="1"/>
    <x v="2"/>
    <s v="Pequeña"/>
    <x v="1"/>
    <n v="1735.2185089974294"/>
  </r>
  <r>
    <s v="Emaar MGF Emerald Estate"/>
    <x v="217"/>
    <n v="12401"/>
    <n v="3"/>
    <x v="7"/>
    <x v="0"/>
    <s v=" Sector 65 Gurgaon"/>
    <n v="0"/>
    <n v="0"/>
    <n v="3"/>
    <n v="9"/>
    <n v="3"/>
    <x v="1"/>
    <n v="13"/>
    <n v="1"/>
    <n v="0"/>
    <n v="0"/>
    <n v="0"/>
    <n v="1395.0487863881945"/>
    <m/>
    <n v="139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5"/>
    <n v="1"/>
    <n v="3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3950487863881899E-2"/>
    <n v="17300000"/>
    <n v="0.12401"/>
    <x v="3"/>
    <s v="Todo bien"/>
    <x v="2"/>
    <x v="5"/>
    <n v="607.68360136843603"/>
    <x v="1"/>
    <x v="2"/>
    <s v="Pequeña"/>
    <x v="1"/>
    <n v="1395.0487863881945"/>
  </r>
  <r>
    <s v="Emaar MGF Emerald Estate"/>
    <x v="35"/>
    <n v="20602"/>
    <n v="2"/>
    <x v="0"/>
    <x v="0"/>
    <s v=" Sector 65 Gurgaon"/>
    <n v="0"/>
    <n v="0"/>
    <n v="2"/>
    <n v="7"/>
    <n v="2"/>
    <x v="0"/>
    <n v="13"/>
    <n v="0"/>
    <n v="1"/>
    <n v="0"/>
    <n v="0"/>
    <n v="1819.9233716475094"/>
    <m/>
    <n v="1020"/>
    <n v="1"/>
    <n v="1"/>
    <n v="1"/>
    <n v="0"/>
    <n v="0"/>
    <n v="0"/>
    <n v="0"/>
    <n v="1"/>
    <n v="1"/>
    <n v="1"/>
    <n v="0"/>
    <n v="0"/>
    <n v="1"/>
    <n v="0"/>
    <n v="0"/>
    <n v="1"/>
    <n v="1"/>
    <n v="3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100669837878997E-3"/>
    <n v="13000000"/>
    <n v="0.20602000000000001"/>
    <x v="2"/>
    <s v="Todo bien"/>
    <x v="0"/>
    <x v="3"/>
    <n v="274.86667613338153"/>
    <x v="0"/>
    <x v="2"/>
    <s v="Pequeña"/>
    <x v="1"/>
    <n v="631.00669837879809"/>
  </r>
  <r>
    <s v="Emaar MGF Emerald Floors Premier"/>
    <x v="22"/>
    <n v="14430"/>
    <n v="4"/>
    <x v="0"/>
    <x v="0"/>
    <s v=" Sector 65 Gurgaon"/>
    <n v="0"/>
    <n v="0"/>
    <n v="4"/>
    <n v="0"/>
    <n v="3"/>
    <x v="2"/>
    <n v="4"/>
    <n v="1"/>
    <n v="1"/>
    <n v="0"/>
    <n v="0"/>
    <n v="1975.051975051975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1"/>
    <n v="1"/>
    <n v="0"/>
    <n v="0"/>
    <n v="1"/>
    <n v="1"/>
    <n v="0"/>
    <n v="0"/>
    <n v="0"/>
    <n v="1"/>
    <n v="5"/>
    <n v="1"/>
    <n v="1"/>
    <n v="0"/>
    <n v="0"/>
    <n v="0"/>
    <n v="0"/>
    <n v="0"/>
    <n v="1"/>
    <n v="1.97505197505197E-2"/>
    <n v="28500000"/>
    <n v="0.14430000000000001"/>
    <x v="5"/>
    <s v="Todo bien"/>
    <x v="2"/>
    <x v="5"/>
    <n v="860.33313587317866"/>
    <x v="1"/>
    <x v="2"/>
    <s v="Pequeña"/>
    <x v="1"/>
    <n v="1975.051975051975"/>
  </r>
  <r>
    <s v="Emaar MGF Emerald Floors Premier"/>
    <x v="39"/>
    <n v="13636"/>
    <n v="3"/>
    <x v="8"/>
    <x v="0"/>
    <s v=" Sector 65 Gurgaon"/>
    <n v="0"/>
    <n v="0"/>
    <n v="3"/>
    <n v="3"/>
    <n v="3"/>
    <x v="1"/>
    <n v="4"/>
    <n v="1"/>
    <n v="1"/>
    <n v="0"/>
    <n v="0"/>
    <n v="1650.0440011733644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40011733598E-2"/>
    <n v="22500000"/>
    <n v="0.13636000000000001"/>
    <x v="3"/>
    <s v="Todo bien"/>
    <x v="0"/>
    <x v="5"/>
    <n v="718.75958090715551"/>
    <x v="1"/>
    <x v="2"/>
    <s v="Pequeña"/>
    <x v="1"/>
    <n v="1650.0440011733644"/>
  </r>
  <r>
    <s v="Emaar MGF Emerald Floors Premier"/>
    <x v="168"/>
    <n v="14242"/>
    <n v="3"/>
    <x v="0"/>
    <x v="0"/>
    <s v=" Sector 65 Gurgaon"/>
    <n v="0"/>
    <n v="0"/>
    <n v="3"/>
    <n v="2"/>
    <n v="3"/>
    <x v="1"/>
    <n v="4"/>
    <n v="1"/>
    <n v="1"/>
    <n v="0"/>
    <n v="0"/>
    <n v="1650.0491504002248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4"/>
    <n v="1"/>
    <n v="0"/>
    <n v="0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4915040022E-2"/>
    <n v="23500000"/>
    <n v="0.14241999999999999"/>
    <x v="3"/>
    <s v="Todo bien"/>
    <x v="1"/>
    <x v="5"/>
    <n v="718.76182391166776"/>
    <x v="1"/>
    <x v="2"/>
    <s v="Pequeña"/>
    <x v="1"/>
    <n v="1650.0491504002248"/>
  </r>
  <r>
    <s v="Emaar MGF Emerald Floors Premier"/>
    <x v="40"/>
    <n v="16969"/>
    <n v="4"/>
    <x v="5"/>
    <x v="0"/>
    <s v=" Sector 65 Gurgaon"/>
    <n v="0"/>
    <n v="0"/>
    <n v="4"/>
    <n v="2"/>
    <n v="3"/>
    <x v="2"/>
    <n v="4"/>
    <n v="0"/>
    <n v="1"/>
    <n v="0"/>
    <n v="0"/>
    <n v="980.178610324548"/>
    <n v="1800"/>
    <n v="197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6777064058E-2"/>
    <n v="28000000"/>
    <n v="0.16969000000000001"/>
    <x v="5"/>
    <s v="Todo bien"/>
    <x v="1"/>
    <x v="4"/>
    <n v="718.76993489304039"/>
    <x v="1"/>
    <x v="0"/>
    <s v="Mediana"/>
    <x v="1"/>
    <n v="1650.0677706405797"/>
  </r>
  <r>
    <s v="Emaar MGF Emerald Floors Premier"/>
    <x v="168"/>
    <n v="16206"/>
    <n v="3"/>
    <x v="3"/>
    <x v="0"/>
    <s v=" Sector 65 Gurgaon"/>
    <n v="0"/>
    <n v="0"/>
    <n v="3"/>
    <n v="2"/>
    <n v="3"/>
    <x v="1"/>
    <n v="4"/>
    <n v="1"/>
    <n v="1"/>
    <n v="0"/>
    <n v="0"/>
    <n v="2575.6600128783002"/>
    <n v="1500"/>
    <n v="1650"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4500802172034999E-2"/>
    <n v="23500000"/>
    <n v="0.16206000000000001"/>
    <x v="3"/>
    <s v="Todo bien"/>
    <x v="1"/>
    <x v="1"/>
    <n v="631.65530643897114"/>
    <x v="1"/>
    <x v="3"/>
    <s v="Mediana"/>
    <x v="1"/>
    <n v="1450.0802172035048"/>
  </r>
  <r>
    <s v="Emaar MGF Emerald Floors Premier"/>
    <x v="76"/>
    <n v="13924"/>
    <n v="4"/>
    <x v="7"/>
    <x v="0"/>
    <s v=" Sector 65 Gurgaon"/>
    <n v="0"/>
    <n v="0"/>
    <n v="4"/>
    <n v="3"/>
    <n v="3"/>
    <x v="2"/>
    <n v="4"/>
    <n v="1"/>
    <n v="1"/>
    <n v="0"/>
    <n v="0"/>
    <n v="1350.1817552362818"/>
    <n v="1750"/>
    <n v="197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9750071818442901E-2"/>
    <n v="27500000"/>
    <n v="0.13924"/>
    <x v="5"/>
    <s v="Todo bien"/>
    <x v="1"/>
    <x v="4"/>
    <n v="860.3136239406748"/>
    <x v="1"/>
    <x v="2"/>
    <s v="Mediana"/>
    <x v="1"/>
    <n v="1975.0071818442975"/>
  </r>
  <r>
    <s v="Emaar MGF Emerald Floors Premier"/>
    <x v="269"/>
    <n v="14303"/>
    <n v="3"/>
    <x v="2"/>
    <x v="0"/>
    <s v=" Sector 65 Gurgaon"/>
    <n v="0"/>
    <n v="0"/>
    <n v="3"/>
    <n v="2"/>
    <n v="3"/>
    <x v="1"/>
    <n v="4"/>
    <n v="1"/>
    <n v="1"/>
    <n v="0"/>
    <n v="0"/>
    <n v="1440.6028368794325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034957701099E-2"/>
    <n v="23600000"/>
    <n v="0.14302999999999999"/>
    <x v="3"/>
    <s v="Todo bien"/>
    <x v="1"/>
    <x v="5"/>
    <n v="718.74193674333696"/>
    <x v="1"/>
    <x v="2"/>
    <s v="Pequeña"/>
    <x v="1"/>
    <n v="1650.0034957701182"/>
  </r>
  <r>
    <s v="Emaar Mgf Palm Terraces Select"/>
    <x v="107"/>
    <n v="14107"/>
    <n v="4"/>
    <x v="2"/>
    <x v="0"/>
    <s v=" Sector 66 Gurgaon"/>
    <n v="0"/>
    <n v="0"/>
    <n v="4"/>
    <n v="2"/>
    <n v="3"/>
    <x v="2"/>
    <n v="12"/>
    <n v="1"/>
    <n v="0"/>
    <n v="0"/>
    <n v="0"/>
    <n v="487.53047065441586"/>
    <n v="2210"/>
    <n v="241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1"/>
    <x v="0"/>
    <x v="1"/>
    <x v="1"/>
    <n v="0"/>
    <n v="7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4101509888707701E-2"/>
    <n v="34000000"/>
    <n v="0.14107"/>
    <x v="5"/>
    <s v="Todo bien"/>
    <x v="1"/>
    <x v="5"/>
    <n v="1049.8623754589908"/>
    <x v="1"/>
    <x v="1"/>
    <s v="Grande"/>
    <x v="2"/>
    <n v="2410.1509888707733"/>
  </r>
  <r>
    <s v="Umang Winter Hills"/>
    <x v="42"/>
    <n v="5961"/>
    <n v="2"/>
    <x v="5"/>
    <x v="0"/>
    <s v=" Sector 77 Gurgaon"/>
    <n v="0"/>
    <n v="0"/>
    <n v="2"/>
    <n v="10"/>
    <n v="2"/>
    <x v="0"/>
    <n v="18"/>
    <n v="0"/>
    <n v="0"/>
    <n v="0"/>
    <n v="0"/>
    <n v="1245.048104131296"/>
    <m/>
    <n v="134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420567018956501E-2"/>
    <n v="8000000"/>
    <n v="5.9610000000000003E-2"/>
    <x v="1"/>
    <s v="Todo bien"/>
    <x v="1"/>
    <x v="1"/>
    <n v="584.60023606777168"/>
    <x v="1"/>
    <x v="2"/>
    <s v="Pequeña"/>
    <x v="1"/>
    <n v="1342.0567018956551"/>
  </r>
  <r>
    <s v="Unknown"/>
    <x v="288"/>
    <n v="11000"/>
    <n v="4"/>
    <x v="6"/>
    <x v="0"/>
    <s v=" Gwal Pahari"/>
    <n v="0"/>
    <n v="0"/>
    <n v="4"/>
    <n v="6"/>
    <n v="3"/>
    <x v="2"/>
    <n v="31"/>
    <n v="1"/>
    <n v="0"/>
    <n v="0"/>
    <n v="0"/>
    <n v="6363.636363636364"/>
    <m/>
    <n v="6000"/>
    <n v="0"/>
    <n v="1"/>
    <n v="0"/>
    <n v="1"/>
    <n v="0"/>
    <n v="0"/>
    <n v="0"/>
    <n v="1"/>
    <n v="1"/>
    <n v="1"/>
    <n v="0"/>
    <n v="1"/>
    <n v="1"/>
    <n v="0"/>
    <n v="1"/>
    <n v="0"/>
    <n v="1"/>
    <n v="28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36363636363602E-2"/>
    <n v="70000000"/>
    <n v="0.11"/>
    <x v="6"/>
    <s v="Todo bien"/>
    <x v="0"/>
    <x v="1"/>
    <n v="2772.0015966363621"/>
    <x v="2"/>
    <x v="3"/>
    <s v="Pequeña"/>
    <x v="3"/>
    <n v="6363.636363636364"/>
  </r>
  <r>
    <s v="Unitech Fresco"/>
    <x v="7"/>
    <n v="9589"/>
    <n v="3"/>
    <x v="2"/>
    <x v="5"/>
    <s v=" Nirvana Country"/>
    <n v="0"/>
    <n v="0"/>
    <n v="4"/>
    <n v="6"/>
    <n v="3"/>
    <x v="1"/>
    <n v="19"/>
    <n v="1"/>
    <n v="0"/>
    <n v="0"/>
    <n v="0"/>
    <n v="2630.1946344029461"/>
    <n v="1870"/>
    <n v="187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1.8771509020752902E-2"/>
    <n v="18000000"/>
    <n v="9.5890000000000003E-2"/>
    <x v="3"/>
    <s v="Todo bien"/>
    <x v="1"/>
    <x v="5"/>
    <n v="817.68740392115774"/>
    <x v="1"/>
    <x v="3"/>
    <s v="Grande"/>
    <x v="1"/>
    <n v="1877.1509020752947"/>
  </r>
  <r>
    <s v="The Close North"/>
    <x v="97"/>
    <n v="10685"/>
    <n v="3"/>
    <x v="5"/>
    <x v="5"/>
    <s v=" Nirvana Country"/>
    <n v="0"/>
    <n v="0"/>
    <n v="4"/>
    <n v="6"/>
    <n v="3"/>
    <x v="1"/>
    <n v="18"/>
    <n v="1"/>
    <n v="0"/>
    <n v="0"/>
    <n v="0"/>
    <n v="2782.608695652174"/>
    <n v="2470"/>
    <n v="24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4801123069723902E-2"/>
    <n v="26500000"/>
    <n v="0.10685"/>
    <x v="5"/>
    <s v="Todo bien"/>
    <x v="1"/>
    <x v="5"/>
    <n v="1080.3375431773511"/>
    <x v="1"/>
    <x v="3"/>
    <s v="Grande"/>
    <x v="2"/>
    <n v="2480.1123069723913"/>
  </r>
  <r>
    <s v="Vatika Gurgaon "/>
    <x v="16"/>
    <n v="7000"/>
    <n v="3"/>
    <x v="6"/>
    <x v="0"/>
    <s v=" Sector 83 Gurgaon"/>
    <n v="0"/>
    <n v="0"/>
    <n v="3"/>
    <n v="3"/>
    <n v="3"/>
    <x v="1"/>
    <n v="18"/>
    <n v="0"/>
    <n v="0"/>
    <n v="0"/>
    <n v="1"/>
    <n v="1245.0940587359589"/>
    <m/>
    <n v="1735"/>
    <n v="0"/>
    <n v="0"/>
    <n v="1"/>
    <n v="0"/>
    <n v="0"/>
    <n v="0"/>
    <n v="0"/>
    <n v="1"/>
    <n v="1"/>
    <n v="1"/>
    <n v="0"/>
    <n v="1"/>
    <n v="1"/>
    <n v="1"/>
    <n v="1"/>
    <n v="1"/>
    <n v="1"/>
    <n v="3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10500000"/>
    <n v="7.0000000000000007E-2"/>
    <x v="2"/>
    <s v="Todo bien"/>
    <x v="0"/>
    <x v="3"/>
    <n v="653.40037634999999"/>
    <x v="1"/>
    <x v="2"/>
    <s v="Pequeña"/>
    <x v="1"/>
    <n v="1499.9999999999998"/>
  </r>
  <r>
    <s v="Unitech Fresco"/>
    <x v="284"/>
    <n v="10479"/>
    <n v="3"/>
    <x v="5"/>
    <x v="5"/>
    <s v=" Nirvana Country"/>
    <n v="0"/>
    <n v="0"/>
    <n v="3"/>
    <n v="14"/>
    <n v="3"/>
    <x v="1"/>
    <n v="19"/>
    <n v="0"/>
    <n v="0"/>
    <n v="0"/>
    <n v="0"/>
    <n v="1360.0697471665214"/>
    <n v="1790"/>
    <n v="179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0"/>
    <n v="3"/>
    <n v="1"/>
    <n v="0"/>
    <n v="0"/>
    <n v="0"/>
    <n v="1"/>
    <n v="4"/>
    <n v="1"/>
    <n v="0"/>
    <n v="0"/>
    <n v="0"/>
    <n v="0"/>
    <n v="0"/>
    <n v="0"/>
    <n v="2"/>
    <n v="1.79406431911441E-2"/>
    <n v="18800000"/>
    <n v="0.10478999999999999"/>
    <x v="3"/>
    <s v="Todo bien"/>
    <x v="1"/>
    <x v="5"/>
    <n v="781.49486753697465"/>
    <x v="1"/>
    <x v="2"/>
    <s v="Mediana"/>
    <x v="1"/>
    <n v="1794.0643191144195"/>
  </r>
  <r>
    <s v="Alpha Corp GurgaonOne "/>
    <x v="81"/>
    <n v="7496"/>
    <n v="2"/>
    <x v="2"/>
    <x v="0"/>
    <s v=" Sector 84 Gurgaon"/>
    <n v="0"/>
    <n v="0"/>
    <n v="2"/>
    <n v="8"/>
    <n v="3"/>
    <x v="0"/>
    <n v="26"/>
    <n v="0"/>
    <n v="1"/>
    <n v="0"/>
    <n v="0"/>
    <n v="1950.3182098131799"/>
    <m/>
    <n v="1534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4"/>
    <n v="1"/>
    <n v="1"/>
    <n v="1"/>
    <n v="0"/>
    <n v="0"/>
    <n v="0"/>
    <n v="0"/>
    <n v="1"/>
    <n v="1"/>
    <n v="0"/>
    <n v="1"/>
    <n v="1"/>
    <n v="1"/>
    <n v="2"/>
    <n v="1"/>
    <n v="1"/>
    <n v="0"/>
    <n v="0"/>
    <n v="0"/>
    <n v="0"/>
    <n v="0"/>
    <n v="2"/>
    <n v="1.53415154749199E-2"/>
    <n v="11500000"/>
    <n v="7.4959999999999999E-2"/>
    <x v="2"/>
    <s v="Todo bien"/>
    <x v="1"/>
    <x v="1"/>
    <n v="668.27679900613418"/>
    <x v="1"/>
    <x v="2"/>
    <s v="Pequeña"/>
    <x v="1"/>
    <n v="1534.1515474919956"/>
  </r>
  <r>
    <s v="Vatika Gurgaon "/>
    <x v="207"/>
    <n v="5564"/>
    <n v="4"/>
    <x v="4"/>
    <x v="0"/>
    <s v=" Sector 83 Gurgaon"/>
    <n v="0"/>
    <n v="0"/>
    <n v="4"/>
    <n v="3"/>
    <n v="3"/>
    <x v="2"/>
    <n v="18"/>
    <n v="1"/>
    <n v="0"/>
    <n v="0"/>
    <n v="0"/>
    <n v="1789.0687896949637"/>
    <m/>
    <n v="2390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3666427030901E-2"/>
    <n v="13300000"/>
    <n v="5.5640000000000002E-2"/>
    <x v="2"/>
    <s v="Todo bien"/>
    <x v="0"/>
    <x v="0"/>
    <n v="1041.2443093044567"/>
    <x v="1"/>
    <x v="2"/>
    <s v="Pequeña"/>
    <x v="2"/>
    <n v="2390.3666427030912"/>
  </r>
  <r>
    <s v="Unitech Harmony"/>
    <x v="153"/>
    <n v="9590"/>
    <n v="3"/>
    <x v="2"/>
    <x v="0"/>
    <s v=" Nirvana Country"/>
    <n v="0"/>
    <n v="0"/>
    <n v="4"/>
    <n v="15"/>
    <n v="2"/>
    <x v="1"/>
    <n v="19"/>
    <n v="1"/>
    <n v="0"/>
    <n v="0"/>
    <n v="0"/>
    <n v="600.10911074740864"/>
    <n v="2700"/>
    <n v="27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1"/>
    <n v="4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7111574556830002E-2"/>
    <n v="26000000"/>
    <n v="9.5899999999999999E-2"/>
    <x v="5"/>
    <s v="Todo bien"/>
    <x v="1"/>
    <x v="5"/>
    <n v="1180.9808679249206"/>
    <x v="1"/>
    <x v="0"/>
    <s v="Muy grande"/>
    <x v="2"/>
    <n v="2711.1574556830033"/>
  </r>
  <r>
    <s v="The Close North"/>
    <x v="289"/>
    <n v="11401"/>
    <n v="3"/>
    <x v="5"/>
    <x v="5"/>
    <s v=" Nirvana Country"/>
    <n v="0"/>
    <n v="0"/>
    <n v="3"/>
    <n v="8"/>
    <n v="3"/>
    <x v="1"/>
    <n v="18"/>
    <n v="1"/>
    <n v="0"/>
    <n v="0"/>
    <n v="0"/>
    <n v="1550.0871924045728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4"/>
    <n v="1"/>
    <n v="0"/>
    <n v="0"/>
    <n v="0"/>
    <n v="0"/>
    <n v="0"/>
    <n v="0"/>
    <n v="2"/>
    <n v="2.6050346460836701E-2"/>
    <n v="29700000"/>
    <n v="0.11401"/>
    <x v="5"/>
    <s v="Todo bien"/>
    <x v="1"/>
    <x v="5"/>
    <n v="1134.7537454372396"/>
    <x v="1"/>
    <x v="2"/>
    <s v="Muy grande"/>
    <x v="2"/>
    <n v="2605.0346460836768"/>
  </r>
  <r>
    <s v="Tulip Violet"/>
    <x v="7"/>
    <n v="8955"/>
    <n v="4"/>
    <x v="6"/>
    <x v="0"/>
    <s v=" Sector 69 Gurgaon"/>
    <n v="0"/>
    <n v="0"/>
    <n v="4"/>
    <n v="9"/>
    <n v="2"/>
    <x v="2"/>
    <n v="14"/>
    <n v="0"/>
    <n v="0"/>
    <n v="1"/>
    <n v="0"/>
    <n v="2010.0502512562814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05025125628E-2"/>
    <n v="18000000"/>
    <n v="8.9550000000000005E-2"/>
    <x v="3"/>
    <s v="Todo bien"/>
    <x v="1"/>
    <x v="5"/>
    <n v="875.57839376884374"/>
    <x v="1"/>
    <x v="2"/>
    <s v="Pequeña"/>
    <x v="2"/>
    <n v="2010.0502512562814"/>
  </r>
  <r>
    <s v="Tulip Violet"/>
    <x v="186"/>
    <n v="8855"/>
    <n v="4"/>
    <x v="2"/>
    <x v="0"/>
    <s v=" Sector 69 Gurgaon"/>
    <n v="0"/>
    <n v="0"/>
    <n v="4"/>
    <n v="10"/>
    <n v="2"/>
    <x v="2"/>
    <n v="14"/>
    <n v="0"/>
    <n v="0"/>
    <n v="1"/>
    <n v="0"/>
    <n v="2010.1637492941841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1637492941801E-2"/>
    <n v="17800000"/>
    <n v="8.8550000000000004E-2"/>
    <x v="3"/>
    <s v="Todo bien"/>
    <x v="1"/>
    <x v="5"/>
    <n v="875.62783354262956"/>
    <x v="1"/>
    <x v="2"/>
    <s v="Pequeña"/>
    <x v="2"/>
    <n v="2010.1637492941841"/>
  </r>
  <r>
    <s v="Tulip Violet"/>
    <x v="203"/>
    <n v="9632"/>
    <n v="3"/>
    <x v="6"/>
    <x v="0"/>
    <s v=" Sector 69 Gurgaon"/>
    <n v="0"/>
    <n v="0"/>
    <n v="3"/>
    <n v="4"/>
    <n v="2"/>
    <x v="1"/>
    <n v="14"/>
    <n v="0"/>
    <n v="0"/>
    <n v="1"/>
    <n v="0"/>
    <n v="1578.073089700996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7308970099E-2"/>
    <n v="15200000"/>
    <n v="9.6320000000000003E-2"/>
    <x v="3"/>
    <s v="Todo bien"/>
    <x v="1"/>
    <x v="5"/>
    <n v="687.40903381228952"/>
    <x v="1"/>
    <x v="2"/>
    <s v="Pequeña"/>
    <x v="1"/>
    <n v="1578.0730897009967"/>
  </r>
  <r>
    <s v="Tulip Violet"/>
    <x v="46"/>
    <n v="9822"/>
    <n v="3"/>
    <x v="2"/>
    <x v="0"/>
    <s v=" Sector 69 Gurgaon"/>
    <n v="0"/>
    <n v="0"/>
    <n v="3"/>
    <n v="9"/>
    <n v="2"/>
    <x v="1"/>
    <n v="14"/>
    <n v="0"/>
    <n v="0"/>
    <n v="1"/>
    <n v="0"/>
    <n v="1578.0900020362451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9000203624E-2"/>
    <n v="15500000"/>
    <n v="9.8220000000000002E-2"/>
    <x v="3"/>
    <s v="Todo bien"/>
    <x v="1"/>
    <x v="5"/>
    <n v="687.41640082976767"/>
    <x v="1"/>
    <x v="2"/>
    <s v="Pequeña"/>
    <x v="1"/>
    <n v="1578.0900020362451"/>
  </r>
  <r>
    <s v="DLF The Skycourt"/>
    <x v="46"/>
    <n v="8031"/>
    <n v="3"/>
    <x v="2"/>
    <x v="0"/>
    <s v=" Sector 86 Gurgaon"/>
    <n v="0"/>
    <n v="0"/>
    <n v="3"/>
    <n v="12"/>
    <n v="1"/>
    <x v="1"/>
    <n v="19"/>
    <n v="0"/>
    <n v="0"/>
    <n v="1"/>
    <n v="0"/>
    <n v="650.04136626876254"/>
    <n v="1900"/>
    <n v="193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300211679741001E-2"/>
    <n v="15500000"/>
    <n v="8.0310000000000006E-2"/>
    <x v="3"/>
    <s v="Todo bien"/>
    <x v="1"/>
    <x v="5"/>
    <n v="840.71770501182914"/>
    <x v="1"/>
    <x v="0"/>
    <s v="Grande"/>
    <x v="1"/>
    <n v="1930.0211679741003"/>
  </r>
  <r>
    <s v="Sapphire Eighty Three"/>
    <x v="2"/>
    <n v="8547"/>
    <n v="1"/>
    <x v="2"/>
    <x v="0"/>
    <s v=" Sector 83 Gurgaon"/>
    <n v="0"/>
    <n v="0"/>
    <n v="1"/>
    <n v="6"/>
    <n v="1"/>
    <x v="3"/>
    <n v="11"/>
    <n v="0"/>
    <n v="0"/>
    <n v="0"/>
    <n v="0"/>
    <n v="1615.0092777128721"/>
    <m/>
    <m/>
    <n v="0"/>
    <n v="0"/>
    <n v="1"/>
    <n v="1"/>
    <n v="0"/>
    <n v="0"/>
    <n v="0"/>
    <n v="1"/>
    <n v="0"/>
    <n v="1"/>
    <n v="0"/>
    <n v="1"/>
    <n v="1"/>
    <n v="0"/>
    <n v="1"/>
    <n v="0"/>
    <n v="1"/>
    <n v="32"/>
    <x v="0"/>
    <x v="0"/>
    <x v="1"/>
    <x v="1"/>
    <x v="1"/>
    <x v="1"/>
    <x v="1"/>
    <x v="0"/>
    <x v="0"/>
    <n v="0"/>
    <n v="2"/>
    <n v="1"/>
    <n v="1"/>
    <n v="1"/>
    <n v="1"/>
    <n v="1"/>
    <n v="1"/>
    <n v="1"/>
    <n v="1"/>
    <n v="1"/>
    <n v="0"/>
    <n v="2"/>
    <n v="1"/>
    <n v="1"/>
    <n v="1"/>
    <n v="1"/>
    <n v="0"/>
    <n v="0"/>
    <n v="0"/>
    <n v="0"/>
    <n v="0"/>
    <n v="0"/>
    <n v="1"/>
    <n v="4.6800046800046001E-3"/>
    <n v="4000000"/>
    <n v="8.5470000000000004E-2"/>
    <x v="0"/>
    <s v="Todo bien"/>
    <x v="2"/>
    <x v="3"/>
    <n v="203.86112128231781"/>
    <x v="0"/>
    <x v="2"/>
    <s v="Pequeña"/>
    <x v="0"/>
    <n v="468.000468000468"/>
  </r>
  <r>
    <s v="AIPL The Peaceful Homes"/>
    <x v="92"/>
    <n v="11162"/>
    <n v="3"/>
    <x v="6"/>
    <x v="0"/>
    <s v=" Sector 70A Gurgaon"/>
    <n v="0"/>
    <n v="0"/>
    <n v="3"/>
    <n v="11"/>
    <n v="3"/>
    <x v="1"/>
    <n v="30"/>
    <n v="1"/>
    <n v="0"/>
    <n v="0"/>
    <n v="0"/>
    <n v="2150.1523024547573"/>
    <m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1501523024547501E-2"/>
    <n v="24000000"/>
    <n v="0.11162"/>
    <x v="3"/>
    <s v="Todo bien"/>
    <x v="0"/>
    <x v="5"/>
    <n v="936.60688242250194"/>
    <x v="1"/>
    <x v="2"/>
    <s v="Pequeña"/>
    <x v="2"/>
    <n v="2150.1523024547573"/>
  </r>
  <r>
    <s v="Vatika The Seven Lamps"/>
    <x v="226"/>
    <n v="8753"/>
    <n v="3"/>
    <x v="8"/>
    <x v="0"/>
    <s v=" Sector 82 Gurgaon"/>
    <n v="0"/>
    <n v="0"/>
    <n v="3"/>
    <n v="11"/>
    <n v="3"/>
    <x v="1"/>
    <n v="16"/>
    <n v="1"/>
    <n v="1"/>
    <n v="1"/>
    <n v="0"/>
    <n v="1700"/>
    <n v="2000"/>
    <n v="216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651776533759799E-2"/>
    <n v="13700000"/>
    <n v="8.7529999999999997E-2"/>
    <x v="2"/>
    <s v="Todo bien"/>
    <x v="1"/>
    <x v="5"/>
    <n v="681.79177851365012"/>
    <x v="1"/>
    <x v="2"/>
    <s v="Grande"/>
    <x v="2"/>
    <n v="1565.1776533759855"/>
  </r>
  <r>
    <s v="Vatika City"/>
    <x v="97"/>
    <n v="11770"/>
    <n v="3"/>
    <x v="4"/>
    <x v="5"/>
    <s v=" Sector 49 Gurgaon"/>
    <n v="0"/>
    <n v="0"/>
    <n v="4"/>
    <n v="11"/>
    <n v="3"/>
    <x v="1"/>
    <n v="17"/>
    <n v="1"/>
    <n v="0"/>
    <n v="1"/>
    <n v="0"/>
    <n v="2251.4868309260833"/>
    <n v="1750.75"/>
    <n v="2251.42"/>
    <n v="1"/>
    <n v="1"/>
    <n v="1"/>
    <n v="1"/>
    <n v="1"/>
    <n v="1"/>
    <n v="1"/>
    <n v="1"/>
    <n v="1"/>
    <n v="1"/>
    <n v="1"/>
    <n v="1"/>
    <n v="1"/>
    <n v="1"/>
    <n v="0"/>
    <n v="1"/>
    <n v="1"/>
    <n v="62"/>
    <x v="0"/>
    <x v="0"/>
    <x v="1"/>
    <x v="0"/>
    <x v="0"/>
    <x v="1"/>
    <x v="1"/>
    <x v="0"/>
    <x v="0"/>
    <n v="0"/>
    <n v="12"/>
    <n v="1"/>
    <n v="4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2.2514868309260801E-2"/>
    <n v="26500000"/>
    <n v="0.1177"/>
    <x v="5"/>
    <s v="Todo bien"/>
    <x v="1"/>
    <x v="5"/>
    <n v="980.7482284494464"/>
    <x v="1"/>
    <x v="2"/>
    <s v="Mediana"/>
    <x v="2"/>
    <n v="2251.4868309260833"/>
  </r>
  <r>
    <s v="Godrej Summit"/>
    <x v="201"/>
    <n v="6387"/>
    <n v="3"/>
    <x v="4"/>
    <x v="0"/>
    <s v=" Sector 104 Gurgaon"/>
    <n v="0"/>
    <n v="0"/>
    <n v="4"/>
    <n v="8"/>
    <n v="3"/>
    <x v="1"/>
    <n v="17"/>
    <n v="1"/>
    <n v="0"/>
    <n v="0"/>
    <n v="0"/>
    <n v="3482.073768377611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161891341788E-2"/>
    <n v="11600000"/>
    <n v="6.3869999999999996E-2"/>
    <x v="2"/>
    <s v="Todo bien"/>
    <x v="1"/>
    <x v="5"/>
    <n v="791.13244253013909"/>
    <x v="1"/>
    <x v="3"/>
    <s v="Pequeña"/>
    <x v="0"/>
    <n v="1816.1891341788007"/>
  </r>
  <r>
    <s v="Godrej Summit"/>
    <x v="16"/>
    <n v="5833"/>
    <n v="3"/>
    <x v="4"/>
    <x v="0"/>
    <s v=" Sector 104 Gurgaon"/>
    <n v="0"/>
    <n v="0"/>
    <n v="4"/>
    <n v="7"/>
    <n v="3"/>
    <x v="1"/>
    <n v="17"/>
    <n v="1"/>
    <n v="0"/>
    <n v="0"/>
    <n v="0"/>
    <n v="1502.6833631484792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001028630207399E-2"/>
    <n v="10500000"/>
    <n v="5.833E-2"/>
    <x v="2"/>
    <s v="Todo bien"/>
    <x v="1"/>
    <x v="5"/>
    <n v="784.12525877764267"/>
    <x v="1"/>
    <x v="2"/>
    <s v="Pequeña"/>
    <x v="0"/>
    <n v="1800.1028630207441"/>
  </r>
  <r>
    <s v="Godrej Summit"/>
    <x v="12"/>
    <n v="5000"/>
    <n v="4"/>
    <x v="2"/>
    <x v="0"/>
    <s v=" Sector 104 Gurgaon"/>
    <n v="0"/>
    <n v="0"/>
    <n v="5"/>
    <n v="0"/>
    <n v="3"/>
    <x v="2"/>
    <n v="17"/>
    <n v="1"/>
    <n v="1"/>
    <n v="1"/>
    <n v="1"/>
    <n v="2430.267881800607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E-2"/>
    <n v="13500000"/>
    <n v="0.05"/>
    <x v="2"/>
    <s v="Todo bien"/>
    <x v="0"/>
    <x v="5"/>
    <n v="1176.1206774300001"/>
    <x v="1"/>
    <x v="2"/>
    <s v="Pequeña"/>
    <x v="0"/>
    <n v="2700"/>
  </r>
  <r>
    <s v="Godrej Summit"/>
    <x v="12"/>
    <n v="5014"/>
    <n v="4"/>
    <x v="3"/>
    <x v="0"/>
    <s v=" Sector 104 Gurgaon"/>
    <n v="0"/>
    <n v="0"/>
    <n v="5"/>
    <n v="0"/>
    <n v="3"/>
    <x v="2"/>
    <n v="17"/>
    <n v="1"/>
    <n v="1"/>
    <n v="1"/>
    <n v="1"/>
    <n v="2600.2542470819371"/>
    <m/>
    <m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246110889509E-2"/>
    <n v="13500000"/>
    <n v="5.0139999999999997E-2"/>
    <x v="2"/>
    <s v="Todo bien"/>
    <x v="0"/>
    <x v="4"/>
    <n v="1172.8367345731936"/>
    <x v="1"/>
    <x v="3"/>
    <s v="Pequeña"/>
    <x v="0"/>
    <n v="2692.4611088950937"/>
  </r>
  <r>
    <s v="Emaar MGF The Palm Drive"/>
    <x v="22"/>
    <n v="14615"/>
    <n v="3"/>
    <x v="2"/>
    <x v="0"/>
    <s v=" Sector 66 Gurgaon"/>
    <n v="0"/>
    <n v="0"/>
    <n v="3"/>
    <n v="11"/>
    <n v="3"/>
    <x v="1"/>
    <n v="17"/>
    <n v="0"/>
    <n v="1"/>
    <n v="0"/>
    <n v="0"/>
    <n v="1338.2352941176471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0513171399201E-2"/>
    <n v="28500000"/>
    <n v="0.14615"/>
    <x v="5"/>
    <s v="Todo bien"/>
    <x v="1"/>
    <x v="4"/>
    <n v="849.44284301402467"/>
    <x v="1"/>
    <x v="2"/>
    <s v="Grande"/>
    <x v="1"/>
    <n v="1950.0513171399248"/>
  </r>
  <r>
    <s v="Pivotal Devaan"/>
    <x v="290"/>
    <n v="6003"/>
    <n v="2"/>
    <x v="4"/>
    <x v="0"/>
    <s v=" Sector 84 Gurgaon"/>
    <n v="0"/>
    <n v="0"/>
    <n v="2"/>
    <n v="4"/>
    <n v="1"/>
    <x v="0"/>
    <n v="14"/>
    <n v="0"/>
    <n v="0"/>
    <n v="0"/>
    <n v="0"/>
    <n v="583.04181242711979"/>
    <m/>
    <n v="583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181242710999E-3"/>
    <n v="3500000"/>
    <n v="6.003E-2"/>
    <x v="0"/>
    <s v="Todo bien"/>
    <x v="0"/>
    <x v="0"/>
    <n v="253.97315977843988"/>
    <x v="0"/>
    <x v="1"/>
    <s v="Pequeña"/>
    <x v="0"/>
    <n v="583.04181242711979"/>
  </r>
  <r>
    <s v="MM Woodshire"/>
    <x v="83"/>
    <n v="6442"/>
    <n v="2"/>
    <x v="4"/>
    <x v="0"/>
    <s v=" Sector 107 Gurgaon"/>
    <n v="0"/>
    <n v="0"/>
    <n v="2"/>
    <n v="3"/>
    <n v="3"/>
    <x v="0"/>
    <n v="14"/>
    <n v="0"/>
    <n v="0"/>
    <n v="0"/>
    <n v="0"/>
    <n v="1366.0353927351753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3660353927351701E-2"/>
    <n v="8800000"/>
    <n v="6.4420000000000005E-2"/>
    <x v="1"/>
    <s v="Todo bien"/>
    <x v="0"/>
    <x v="3"/>
    <n v="595.04535981372021"/>
    <x v="1"/>
    <x v="2"/>
    <s v="Pequeña"/>
    <x v="1"/>
    <n v="1366.0353927351753"/>
  </r>
  <r>
    <s v="Adani MK Oyster Grande"/>
    <x v="92"/>
    <n v="9305"/>
    <n v="3"/>
    <x v="2"/>
    <x v="0"/>
    <s v=" Sector 102 Gurgaon"/>
    <n v="0"/>
    <n v="0"/>
    <n v="4"/>
    <n v="3"/>
    <n v="3"/>
    <x v="1"/>
    <n v="24"/>
    <n v="0"/>
    <n v="1"/>
    <n v="0"/>
    <n v="0"/>
    <n v="2176.0633036597428"/>
    <m/>
    <n v="2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5792584631918299E-2"/>
    <n v="24000000"/>
    <n v="9.3049999999999994E-2"/>
    <x v="3"/>
    <s v="Todo bien"/>
    <x v="1"/>
    <x v="1"/>
    <n v="1123.5256337023095"/>
    <x v="1"/>
    <x v="2"/>
    <s v="Pequeña"/>
    <x v="2"/>
    <n v="2579.2584631918326"/>
  </r>
  <r>
    <s v="Ireo Skyon"/>
    <x v="185"/>
    <n v="12815"/>
    <n v="4"/>
    <x v="2"/>
    <x v="0"/>
    <s v=" Sector 60 Gurgaon"/>
    <n v="0"/>
    <n v="0"/>
    <n v="5"/>
    <n v="24"/>
    <n v="3"/>
    <x v="2"/>
    <n v="39"/>
    <n v="1"/>
    <n v="0"/>
    <n v="0"/>
    <n v="0"/>
    <n v="1549.9070055796651"/>
    <m/>
    <n v="280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6"/>
    <n v="1"/>
    <n v="7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92079594225501E-2"/>
    <n v="36000000"/>
    <n v="0.12814999999999999"/>
    <x v="5"/>
    <s v="Todo bien"/>
    <x v="1"/>
    <x v="1"/>
    <n v="1223.69169195474"/>
    <x v="1"/>
    <x v="2"/>
    <s v="Pequeña"/>
    <x v="2"/>
    <n v="2809.207959422552"/>
  </r>
  <r>
    <s v="Paras Quartier"/>
    <x v="242"/>
    <n v="14018"/>
    <n v="4"/>
    <x v="2"/>
    <x v="2"/>
    <s v=" Gwal Pahari"/>
    <n v="0"/>
    <n v="0"/>
    <n v="4"/>
    <n v="20"/>
    <n v="3"/>
    <x v="2"/>
    <n v="43"/>
    <n v="1"/>
    <n v="0"/>
    <n v="1"/>
    <n v="0"/>
    <n v="5350.2639463546866"/>
    <m/>
    <n v="5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7"/>
    <n v="1"/>
    <n v="4"/>
    <n v="1"/>
    <n v="1"/>
    <n v="1"/>
    <n v="0"/>
    <n v="1"/>
    <n v="5"/>
    <n v="1"/>
    <n v="0"/>
    <n v="0"/>
    <n v="0"/>
    <n v="1"/>
    <n v="1"/>
    <n v="1"/>
    <n v="0"/>
    <n v="0"/>
    <n v="0"/>
    <n v="0"/>
    <n v="0"/>
    <n v="0"/>
    <n v="2"/>
    <n v="5.3502639463546803E-2"/>
    <n v="75000000"/>
    <n v="0.14018"/>
    <x v="6"/>
    <s v="Todo bien"/>
    <x v="1"/>
    <x v="1"/>
    <n v="2330.5763174133231"/>
    <x v="3"/>
    <x v="3"/>
    <s v="Pequeña"/>
    <x v="3"/>
    <n v="5350.2639463546866"/>
  </r>
  <r>
    <s v="La Vida by Tata Housing"/>
    <x v="59"/>
    <n v="11363"/>
    <n v="2"/>
    <x v="8"/>
    <x v="0"/>
    <s v=" Sector 113 Gurgaon"/>
    <n v="0"/>
    <n v="0"/>
    <n v="2"/>
    <n v="6"/>
    <n v="2"/>
    <x v="0"/>
    <n v="13"/>
    <n v="0"/>
    <n v="0"/>
    <n v="0"/>
    <n v="0"/>
    <n v="1150.0146498681511"/>
    <m/>
    <n v="1276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2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760714600017599E-2"/>
    <n v="14500000"/>
    <n v="0.11362999999999999"/>
    <x v="2"/>
    <s v="Todo bien"/>
    <x v="1"/>
    <x v="4"/>
    <n v="555.85704814309599"/>
    <x v="1"/>
    <x v="0"/>
    <s v="Pequeña"/>
    <x v="1"/>
    <n v="1276.0714600017602"/>
  </r>
  <r>
    <s v="The Close North"/>
    <x v="168"/>
    <n v="11767"/>
    <n v="3"/>
    <x v="2"/>
    <x v="5"/>
    <s v=" Nirvana Country"/>
    <n v="0"/>
    <n v="0"/>
    <n v="3"/>
    <n v="8"/>
    <n v="3"/>
    <x v="1"/>
    <n v="16"/>
    <n v="0"/>
    <n v="0"/>
    <n v="0"/>
    <n v="0"/>
    <e v="#DIV/0!"/>
    <n v="1950"/>
    <n v="199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0"/>
    <n v="1"/>
    <n v="1"/>
    <n v="1"/>
    <n v="0"/>
    <n v="0"/>
    <n v="0"/>
    <n v="1"/>
    <n v="3"/>
    <n v="1"/>
    <n v="0"/>
    <n v="0"/>
    <n v="0"/>
    <n v="0"/>
    <n v="0"/>
    <n v="0"/>
    <n v="2"/>
    <n v="1.9971105634401201E-2"/>
    <n v="23500000"/>
    <n v="0.11767"/>
    <x v="3"/>
    <s v="Todo bien"/>
    <x v="1"/>
    <x v="5"/>
    <n v="869.9418625095567"/>
    <x v="1"/>
    <x v="4"/>
    <s v="Grande"/>
    <x v="1"/>
    <n v="1997.1105634401292"/>
  </r>
  <r>
    <s v="Vatika The Seven Lamps"/>
    <x v="291"/>
    <n v="6567"/>
    <n v="2"/>
    <x v="4"/>
    <x v="0"/>
    <s v=" Sector 82 Gurgaon"/>
    <n v="0"/>
    <n v="0"/>
    <n v="2"/>
    <n v="12"/>
    <n v="2"/>
    <x v="0"/>
    <n v="16"/>
    <n v="0"/>
    <n v="1"/>
    <n v="0"/>
    <n v="0"/>
    <n v="1435.206334703822"/>
    <m/>
    <n v="143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3520633470382E-2"/>
    <n v="9425000"/>
    <n v="6.5670000000000006E-2"/>
    <x v="1"/>
    <s v="Todo bien"/>
    <x v="1"/>
    <x v="5"/>
    <n v="625.17623949025347"/>
    <x v="1"/>
    <x v="2"/>
    <s v="Pequeña"/>
    <x v="1"/>
    <n v="1435.206334703822"/>
  </r>
  <r>
    <s v="Vatika The Seven Lamps"/>
    <x v="292"/>
    <n v="6192"/>
    <n v="2"/>
    <x v="0"/>
    <x v="0"/>
    <s v=" Sector 82 Gurgaon"/>
    <n v="0"/>
    <n v="0"/>
    <n v="2"/>
    <n v="15"/>
    <n v="2"/>
    <x v="0"/>
    <n v="16"/>
    <n v="0"/>
    <n v="0"/>
    <n v="0"/>
    <n v="0"/>
    <n v="1300.0645994832041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1"/>
    <n v="1"/>
    <n v="1"/>
    <n v="1"/>
    <n v="1"/>
    <n v="0"/>
    <n v="0"/>
    <n v="0"/>
    <n v="0"/>
    <n v="0"/>
    <n v="0"/>
    <n v="2"/>
    <n v="1.3000645994832E-2"/>
    <n v="8050000"/>
    <n v="6.1920000000000003E-2"/>
    <x v="1"/>
    <s v="Todo bien"/>
    <x v="1"/>
    <x v="5"/>
    <n v="566.30846572108999"/>
    <x v="1"/>
    <x v="2"/>
    <s v="Pequeña"/>
    <x v="1"/>
    <n v="1300.0645994832041"/>
  </r>
  <r>
    <s v="The Close South"/>
    <x v="293"/>
    <n v="12444"/>
    <n v="3"/>
    <x v="2"/>
    <x v="5"/>
    <s v=" Nirvana Country"/>
    <n v="0"/>
    <n v="0"/>
    <n v="4"/>
    <n v="4"/>
    <n v="3"/>
    <x v="1"/>
    <n v="18"/>
    <n v="1"/>
    <n v="0"/>
    <n v="0"/>
    <n v="0"/>
    <n v="0"/>
    <n v="2450"/>
    <n v="249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0"/>
    <x v="0"/>
    <x v="1"/>
    <x v="0"/>
    <x v="0"/>
    <n v="0"/>
    <n v="5"/>
    <n v="1"/>
    <n v="4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4911603985856599E-2"/>
    <n v="31000000"/>
    <n v="0.12444"/>
    <x v="5"/>
    <s v="Todo bien"/>
    <x v="1"/>
    <x v="5"/>
    <n v="1085.1500946560575"/>
    <x v="1"/>
    <x v="1"/>
    <s v="Grande"/>
    <x v="2"/>
    <n v="2491.1603985856641"/>
  </r>
  <r>
    <s v="Vatika The Seven Lamps"/>
    <x v="274"/>
    <n v="6412"/>
    <n v="3"/>
    <x v="4"/>
    <x v="0"/>
    <s v=" Sector 82 Gurgaon"/>
    <n v="0"/>
    <n v="0"/>
    <n v="3"/>
    <n v="11"/>
    <n v="3"/>
    <x v="1"/>
    <n v="16"/>
    <n v="1"/>
    <n v="1"/>
    <n v="0"/>
    <n v="0"/>
    <n v="2167.8103555832813"/>
    <m/>
    <n v="2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5"/>
    <n v="1"/>
    <n v="1"/>
    <n v="1"/>
    <n v="0"/>
    <n v="0"/>
    <n v="1"/>
    <n v="1"/>
    <n v="0"/>
    <n v="0"/>
    <n v="0"/>
    <n v="1"/>
    <n v="3"/>
    <n v="1"/>
    <n v="0"/>
    <n v="0"/>
    <n v="0"/>
    <n v="0"/>
    <n v="0"/>
    <n v="0"/>
    <n v="2"/>
    <n v="2.1678103555832801E-2"/>
    <n v="13900000"/>
    <n v="6.4119999999999996E-2"/>
    <x v="2"/>
    <s v="Todo bien"/>
    <x v="1"/>
    <x v="5"/>
    <n v="944.29873479569505"/>
    <x v="1"/>
    <x v="2"/>
    <s v="Pequeña"/>
    <x v="2"/>
    <n v="2167.8103555832813"/>
  </r>
  <r>
    <s v="Vatika The Seven Lamps"/>
    <x v="294"/>
    <n v="6533"/>
    <n v="2"/>
    <x v="5"/>
    <x v="0"/>
    <s v=" Sector 82 Gurgaon"/>
    <n v="0"/>
    <n v="0"/>
    <n v="2"/>
    <n v="9"/>
    <n v="3"/>
    <x v="0"/>
    <n v="16"/>
    <n v="0"/>
    <n v="1"/>
    <n v="0"/>
    <n v="0"/>
    <n v="1435.0221950099494"/>
    <m/>
    <n v="143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3502219500994E-2"/>
    <n v="9375000"/>
    <n v="6.5329999999999999E-2"/>
    <x v="1"/>
    <s v="Todo bien"/>
    <x v="1"/>
    <x v="5"/>
    <n v="625.09602819339864"/>
    <x v="1"/>
    <x v="2"/>
    <s v="Pequeña"/>
    <x v="1"/>
    <n v="1435.0221950099494"/>
  </r>
  <r>
    <s v="Vatika The Seven Lamps"/>
    <x v="295"/>
    <n v="5932"/>
    <n v="2"/>
    <x v="7"/>
    <x v="0"/>
    <s v=" Sector 82 Gurgaon"/>
    <n v="0"/>
    <n v="0"/>
    <n v="2"/>
    <n v="0"/>
    <n v="2"/>
    <x v="0"/>
    <n v="16"/>
    <n v="0"/>
    <n v="0"/>
    <n v="0"/>
    <n v="0"/>
    <n v="1306.473364801079"/>
    <m/>
    <n v="1298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64733648010699E-2"/>
    <n v="7750000"/>
    <n v="5.9319999999999998E-2"/>
    <x v="1"/>
    <s v="Todo bien"/>
    <x v="1"/>
    <x v="5"/>
    <n v="569.10012550151328"/>
    <x v="1"/>
    <x v="2"/>
    <s v="Pequeña"/>
    <x v="1"/>
    <n v="1306.473364801079"/>
  </r>
  <r>
    <s v="Vatika The Seven Lamps"/>
    <x v="296"/>
    <n v="5979"/>
    <n v="2"/>
    <x v="2"/>
    <x v="0"/>
    <s v=" Sector 82 Gurgaon"/>
    <n v="0"/>
    <n v="0"/>
    <n v="2"/>
    <n v="9"/>
    <n v="2"/>
    <x v="0"/>
    <n v="16"/>
    <n v="0"/>
    <n v="1"/>
    <n v="0"/>
    <n v="0"/>
    <n v="1430.0050175614651"/>
    <m/>
    <n v="143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0050175614599E-2"/>
    <n v="8550000"/>
    <n v="5.9790000000000003E-2"/>
    <x v="1"/>
    <s v="Todo bien"/>
    <x v="0"/>
    <x v="5"/>
    <n v="622.91054443803091"/>
    <x v="1"/>
    <x v="2"/>
    <s v="Pequeña"/>
    <x v="1"/>
    <n v="1430.0050175614651"/>
  </r>
  <r>
    <s v="Orris Aster Court"/>
    <x v="297"/>
    <n v="5221"/>
    <n v="2"/>
    <x v="6"/>
    <x v="0"/>
    <s v=" Sector 85 Gurgaon"/>
    <n v="0"/>
    <n v="0"/>
    <n v="2"/>
    <n v="5"/>
    <n v="2"/>
    <x v="0"/>
    <n v="12"/>
    <n v="0"/>
    <n v="0"/>
    <n v="0"/>
    <n v="0"/>
    <n v="1150.0171644352902"/>
    <n v="1075"/>
    <n v="1312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200919364106E-2"/>
    <n v="6850000"/>
    <n v="5.2209999999999999E-2"/>
    <x v="1"/>
    <s v="Todo bien"/>
    <x v="0"/>
    <x v="0"/>
    <n v="571.51153393315246"/>
    <x v="1"/>
    <x v="0"/>
    <s v="Mediana"/>
    <x v="1"/>
    <n v="1312.0091936410649"/>
  </r>
  <r>
    <s v="Godrej "/>
    <x v="209"/>
    <n v="9046"/>
    <n v="3"/>
    <x v="3"/>
    <x v="0"/>
    <s v=" Sector 79 Gurgaon"/>
    <n v="0"/>
    <n v="0"/>
    <n v="4"/>
    <n v="7"/>
    <n v="3"/>
    <x v="1"/>
    <n v="15"/>
    <n v="1"/>
    <n v="0"/>
    <n v="0"/>
    <n v="0"/>
    <n v="2244.0857837718327"/>
    <m/>
    <n v="22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440857837718299E-2"/>
    <n v="20300000"/>
    <n v="9.0459999999999999E-2"/>
    <x v="3"/>
    <s v="Todo bien"/>
    <x v="1"/>
    <x v="4"/>
    <n v="977.52433045213229"/>
    <x v="1"/>
    <x v="2"/>
    <s v="Pequeña"/>
    <x v="2"/>
    <n v="2244.0857837718327"/>
  </r>
  <r>
    <s v="Orris Carnation Residency"/>
    <x v="298"/>
    <n v="4857"/>
    <n v="3"/>
    <x v="0"/>
    <x v="0"/>
    <s v=" Sector 85 Gurgaon"/>
    <n v="0"/>
    <n v="0"/>
    <n v="4"/>
    <n v="4"/>
    <n v="3"/>
    <x v="1"/>
    <n v="12"/>
    <n v="1"/>
    <n v="0"/>
    <n v="0"/>
    <n v="0"/>
    <n v="1360.0697471665214"/>
    <n v="1390"/>
    <n v="164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50483837759902E-2"/>
    <n v="7990000.0000000009"/>
    <n v="4.8570000000000002E-2"/>
    <x v="1"/>
    <s v="Todo bien"/>
    <x v="1"/>
    <x v="1"/>
    <n v="716.58348871546082"/>
    <x v="1"/>
    <x v="2"/>
    <s v="Mediana"/>
    <x v="1"/>
    <n v="1645.0483837759934"/>
  </r>
  <r>
    <s v="Shree Vardhman Flora"/>
    <x v="279"/>
    <n v="6789"/>
    <n v="2"/>
    <x v="3"/>
    <x v="0"/>
    <s v=" Sector 90 Gurgaon"/>
    <n v="0"/>
    <n v="0"/>
    <n v="2"/>
    <n v="9"/>
    <n v="3"/>
    <x v="0"/>
    <n v="13"/>
    <n v="0"/>
    <n v="1"/>
    <n v="0"/>
    <n v="0"/>
    <n v="1081.007115489874"/>
    <n v="1050"/>
    <n v="1350"/>
    <n v="0"/>
    <n v="1"/>
    <n v="1"/>
    <n v="1"/>
    <n v="0"/>
    <n v="0"/>
    <n v="0"/>
    <n v="1"/>
    <n v="0"/>
    <n v="1"/>
    <n v="1"/>
    <n v="1"/>
    <n v="1"/>
    <n v="0"/>
    <n v="1"/>
    <n v="0"/>
    <n v="0"/>
    <n v="4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628369421007E-3"/>
    <n v="6450000"/>
    <n v="6.7890000000000006E-2"/>
    <x v="1"/>
    <s v="Todo bien"/>
    <x v="0"/>
    <x v="4"/>
    <n v="413.84911154882849"/>
    <x v="0"/>
    <x v="0"/>
    <s v="Mediana"/>
    <x v="1"/>
    <n v="950.06628369421117"/>
  </r>
  <r>
    <s v="SS The Coralwood"/>
    <x v="19"/>
    <n v="5771"/>
    <n v="3"/>
    <x v="7"/>
    <x v="0"/>
    <s v=" Sector 84 Gurgaon"/>
    <n v="0"/>
    <n v="0"/>
    <n v="3"/>
    <n v="18"/>
    <n v="2"/>
    <x v="1"/>
    <n v="21"/>
    <n v="0"/>
    <n v="0"/>
    <n v="0"/>
    <n v="0"/>
    <n v="1620.983606557377"/>
    <n v="1475"/>
    <n v="17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299601455501E-2"/>
    <n v="10100000"/>
    <n v="5.7709999999999997E-2"/>
    <x v="2"/>
    <s v="Todo bien"/>
    <x v="0"/>
    <x v="1"/>
    <n v="762.35704974700866"/>
    <x v="1"/>
    <x v="2"/>
    <s v="Mediana"/>
    <x v="1"/>
    <n v="1750.1299601455555"/>
  </r>
  <r>
    <s v="Shree Vardhman Flora"/>
    <x v="143"/>
    <n v="4951"/>
    <n v="4"/>
    <x v="2"/>
    <x v="2"/>
    <s v=" Sector 90 Gurgaon"/>
    <n v="0"/>
    <n v="0"/>
    <n v="5"/>
    <n v="9"/>
    <n v="2"/>
    <x v="2"/>
    <n v="13"/>
    <n v="1"/>
    <n v="1"/>
    <n v="0"/>
    <n v="0"/>
    <n v="2025.0723240115719"/>
    <m/>
    <n v="2575"/>
    <n v="0"/>
    <n v="0"/>
    <n v="1"/>
    <n v="1"/>
    <n v="1"/>
    <n v="0"/>
    <n v="0"/>
    <n v="1"/>
    <n v="1"/>
    <n v="1"/>
    <n v="1"/>
    <n v="0"/>
    <n v="1"/>
    <n v="0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51383558876899E-2"/>
    <n v="12700000"/>
    <n v="4.9509999999999998E-2"/>
    <x v="2"/>
    <s v="Todo bien"/>
    <x v="0"/>
    <x v="3"/>
    <n v="1117.3749114178913"/>
    <x v="1"/>
    <x v="2"/>
    <s v="Pequeña"/>
    <x v="2"/>
    <n v="2565.1383558876996"/>
  </r>
  <r>
    <s v="Vatika Gurgaon "/>
    <x v="299"/>
    <n v="6746"/>
    <n v="2"/>
    <x v="4"/>
    <x v="5"/>
    <s v=" Sector 83 Gurgaon"/>
    <n v="0"/>
    <n v="0"/>
    <n v="2"/>
    <n v="7"/>
    <n v="2"/>
    <x v="0"/>
    <n v="18"/>
    <n v="0"/>
    <n v="0"/>
    <n v="0"/>
    <n v="0"/>
    <n v="1245.1823302697894"/>
    <m/>
    <n v="124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8233026978E-2"/>
    <n v="8400000"/>
    <n v="6.7460000000000006E-2"/>
    <x v="1"/>
    <s v="Todo bien"/>
    <x v="1"/>
    <x v="5"/>
    <n v="542.4017354817629"/>
    <x v="1"/>
    <x v="2"/>
    <s v="Pequeña"/>
    <x v="1"/>
    <n v="1245.1823302697894"/>
  </r>
  <r>
    <s v="SS The Leaf"/>
    <x v="197"/>
    <n v="7350"/>
    <n v="3"/>
    <x v="3"/>
    <x v="5"/>
    <s v=" Sector 85 Gurgaon"/>
    <n v="0"/>
    <n v="0"/>
    <n v="4"/>
    <n v="6"/>
    <n v="3"/>
    <x v="1"/>
    <n v="26"/>
    <n v="1"/>
    <n v="0"/>
    <n v="0"/>
    <n v="0"/>
    <n v="2191.1519198664441"/>
    <n v="1450"/>
    <n v="240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6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81632653061201E-2"/>
    <n v="17700000"/>
    <n v="7.3499999999999996E-2"/>
    <x v="3"/>
    <s v="Todo bien"/>
    <x v="1"/>
    <x v="5"/>
    <n v="1048.9965225755093"/>
    <x v="1"/>
    <x v="2"/>
    <s v="Mediana"/>
    <x v="2"/>
    <n v="2408.1632653061224"/>
  </r>
  <r>
    <s v="Tulip Violet"/>
    <x v="235"/>
    <n v="8348"/>
    <n v="4"/>
    <x v="6"/>
    <x v="0"/>
    <s v=" Sector 69 Gurgaon"/>
    <n v="0"/>
    <n v="0"/>
    <n v="4"/>
    <n v="1"/>
    <n v="2"/>
    <x v="2"/>
    <n v="14"/>
    <n v="0"/>
    <n v="0"/>
    <n v="1"/>
    <n v="0"/>
    <n v="2012.45807379012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24580737901201E-2"/>
    <n v="16800000"/>
    <n v="8.3479999999999999E-2"/>
    <x v="3"/>
    <s v="Todo bien"/>
    <x v="0"/>
    <x v="5"/>
    <n v="876.62724186870707"/>
    <x v="1"/>
    <x v="2"/>
    <s v="Pequeña"/>
    <x v="2"/>
    <n v="2012.4580737901294"/>
  </r>
  <r>
    <s v="Tulip Violet"/>
    <x v="300"/>
    <n v="8408"/>
    <n v="4"/>
    <x v="3"/>
    <x v="0"/>
    <s v=" Sector 69 Gurgaon"/>
    <n v="0"/>
    <n v="0"/>
    <n v="4"/>
    <n v="12"/>
    <n v="1"/>
    <x v="2"/>
    <n v="14"/>
    <n v="0"/>
    <n v="0"/>
    <n v="1"/>
    <n v="0"/>
    <n v="1974.3101807802093"/>
    <m/>
    <n v="197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43101807802001E-2"/>
    <n v="16600000"/>
    <n v="8.4080000000000002E-2"/>
    <x v="3"/>
    <s v="Todo bien"/>
    <x v="0"/>
    <x v="5"/>
    <n v="860.01001010227958"/>
    <x v="1"/>
    <x v="2"/>
    <s v="Pequeña"/>
    <x v="1"/>
    <n v="1974.3101807802093"/>
  </r>
  <r>
    <s v="Tulip Violet"/>
    <x v="100"/>
    <n v="8861"/>
    <n v="3"/>
    <x v="2"/>
    <x v="0"/>
    <s v=" Sector 69 Gurgaon"/>
    <n v="0"/>
    <n v="0"/>
    <n v="3"/>
    <n v="2"/>
    <n v="2"/>
    <x v="1"/>
    <n v="14"/>
    <n v="0"/>
    <n v="0"/>
    <n v="1"/>
    <n v="0"/>
    <n v="1579.9571154497237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9571154497202E-2"/>
    <n v="14000000"/>
    <n v="8.8609999999999994E-2"/>
    <x v="2"/>
    <s v="Todo bien"/>
    <x v="0"/>
    <x v="5"/>
    <n v="688.22971590113843"/>
    <x v="1"/>
    <x v="2"/>
    <s v="Pequeña"/>
    <x v="1"/>
    <n v="1579.9571154497237"/>
  </r>
  <r>
    <s v="DLF The Ultima"/>
    <x v="114"/>
    <n v="10928"/>
    <n v="3"/>
    <x v="0"/>
    <x v="0"/>
    <s v=" Sector 81 Gurgaon"/>
    <n v="0"/>
    <n v="0"/>
    <n v="4"/>
    <n v="15"/>
    <n v="3"/>
    <x v="1"/>
    <n v="29"/>
    <n v="1"/>
    <n v="0"/>
    <n v="0"/>
    <n v="0"/>
    <n v="2095.5344070278184"/>
    <m/>
    <n v="210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1"/>
    <n v="1"/>
    <n v="1"/>
    <n v="3"/>
    <n v="1"/>
    <n v="1"/>
    <n v="3"/>
    <n v="1"/>
    <n v="0"/>
    <n v="0"/>
    <n v="0"/>
    <n v="0"/>
    <n v="0"/>
    <n v="0"/>
    <n v="1"/>
    <n v="2.09553440702781E-2"/>
    <n v="22900000"/>
    <n v="0.10928"/>
    <x v="3"/>
    <s v="Todo bien"/>
    <x v="2"/>
    <x v="4"/>
    <n v="912.81531347089685"/>
    <x v="1"/>
    <x v="2"/>
    <s v="Pequeña"/>
    <x v="2"/>
    <n v="2095.5344070278184"/>
  </r>
  <r>
    <s v="DLF New Town Heights "/>
    <x v="255"/>
    <n v="6243"/>
    <n v="3"/>
    <x v="0"/>
    <x v="0"/>
    <s v=" Sector 90 Gurgaon"/>
    <n v="0"/>
    <n v="0"/>
    <n v="3"/>
    <n v="7"/>
    <n v="3"/>
    <x v="1"/>
    <n v="19"/>
    <n v="1"/>
    <n v="0"/>
    <n v="1"/>
    <n v="0"/>
    <n v="2023.4722784297855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81707512413901E-2"/>
    <n v="12100000"/>
    <n v="6.2429999999999999E-2"/>
    <x v="2"/>
    <s v="Todo bien"/>
    <x v="0"/>
    <x v="5"/>
    <n v="844.26766552779111"/>
    <x v="1"/>
    <x v="2"/>
    <s v="Grande"/>
    <x v="1"/>
    <n v="1938.1707512413905"/>
  </r>
  <r>
    <s v="Sare Homes"/>
    <x v="1"/>
    <n v="4237"/>
    <n v="3"/>
    <x v="5"/>
    <x v="0"/>
    <s v=" Sector 92 Gurgaon"/>
    <n v="0"/>
    <n v="0"/>
    <n v="3"/>
    <n v="1"/>
    <n v="2"/>
    <x v="1"/>
    <n v="4"/>
    <n v="0"/>
    <n v="0"/>
    <n v="0"/>
    <n v="0"/>
    <n v="1180.080245456691"/>
    <m/>
    <n v="1180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5000000"/>
    <n v="4.2369999999999998E-2"/>
    <x v="1"/>
    <s v="Todo bien"/>
    <x v="0"/>
    <x v="0"/>
    <n v="514.04325100306778"/>
    <x v="1"/>
    <x v="0"/>
    <s v="Pequeña"/>
    <x v="1"/>
    <n v="1180.080245456691"/>
  </r>
  <r>
    <s v="Umang Winter Hills"/>
    <x v="301"/>
    <n v="5305"/>
    <n v="2"/>
    <x v="7"/>
    <x v="0"/>
    <s v=" Sector 77 Gurgaon"/>
    <n v="0"/>
    <n v="0"/>
    <n v="2"/>
    <n v="6"/>
    <n v="2"/>
    <x v="0"/>
    <n v="18"/>
    <n v="0"/>
    <n v="1"/>
    <n v="0"/>
    <n v="0"/>
    <n v="1365.0740802397204"/>
    <m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21300659754901E-2"/>
    <n v="7120000"/>
    <n v="5.305E-2"/>
    <x v="1"/>
    <s v="Todo bien"/>
    <x v="0"/>
    <x v="5"/>
    <n v="584.63219347935706"/>
    <x v="1"/>
    <x v="2"/>
    <s v="Pequeña"/>
    <x v="1"/>
    <n v="1342.130065975495"/>
  </r>
  <r>
    <s v="Emaar MGF Emerald Floors Premier"/>
    <x v="101"/>
    <n v="15189"/>
    <n v="4"/>
    <x v="3"/>
    <x v="0"/>
    <s v=" Sector 65 Gurgaon"/>
    <n v="0"/>
    <n v="0"/>
    <n v="4"/>
    <n v="2"/>
    <n v="3"/>
    <x v="2"/>
    <n v="4"/>
    <n v="1"/>
    <n v="0"/>
    <n v="0"/>
    <n v="0"/>
    <n v="1975.1135690302192"/>
    <m/>
    <n v="1975"/>
    <n v="1"/>
    <n v="0"/>
    <n v="1"/>
    <n v="1"/>
    <n v="1"/>
    <n v="0"/>
    <n v="1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11356903021E-2"/>
    <n v="30000000"/>
    <n v="0.15189"/>
    <x v="5"/>
    <s v="Todo bien"/>
    <x v="0"/>
    <x v="4"/>
    <n v="860.35996622555399"/>
    <x v="1"/>
    <x v="2"/>
    <s v="Pequeña"/>
    <x v="1"/>
    <n v="1975.1135690302192"/>
  </r>
  <r>
    <s v="DLF Regal Gardens"/>
    <x v="56"/>
    <n v="6837"/>
    <n v="3"/>
    <x v="6"/>
    <x v="0"/>
    <s v=" Sector 90 Gurgaon"/>
    <n v="0"/>
    <n v="0"/>
    <n v="3"/>
    <n v="15"/>
    <n v="3"/>
    <x v="1"/>
    <n v="29"/>
    <n v="0"/>
    <n v="0"/>
    <n v="0"/>
    <n v="0"/>
    <n v="1303.7809647979141"/>
    <m/>
    <n v="175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557700745901E-2"/>
    <n v="12000000"/>
    <n v="6.837E-2"/>
    <x v="2"/>
    <s v="Todo bien"/>
    <x v="0"/>
    <x v="5"/>
    <n v="764.54629381307427"/>
    <x v="1"/>
    <x v="2"/>
    <s v="Pequeña"/>
    <x v="1"/>
    <n v="1755.1557700745941"/>
  </r>
  <r>
    <s v="Tata Primanti"/>
    <x v="27"/>
    <n v="10545"/>
    <n v="3"/>
    <x v="8"/>
    <x v="5"/>
    <s v=" Sector 72 Gurgaon"/>
    <n v="0"/>
    <n v="0"/>
    <n v="3"/>
    <n v="2"/>
    <n v="3"/>
    <x v="1"/>
    <n v="7"/>
    <n v="1"/>
    <n v="0"/>
    <n v="0"/>
    <n v="0"/>
    <n v="3082.0293978188715"/>
    <m/>
    <n v="3300"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820293978188699E-2"/>
    <n v="32500000"/>
    <n v="0.10545"/>
    <x v="5"/>
    <s v="Todo bien"/>
    <x v="0"/>
    <x v="3"/>
    <n v="1342.5327789710757"/>
    <x v="1"/>
    <x v="3"/>
    <s v="Pequeña"/>
    <x v="3"/>
    <n v="3082.0293978188715"/>
  </r>
  <r>
    <s v="Ashiana Mulberry"/>
    <x v="15"/>
    <n v="6143"/>
    <n v="2"/>
    <x v="2"/>
    <x v="5"/>
    <s v=" Sohna"/>
    <n v="0"/>
    <n v="0"/>
    <n v="2"/>
    <n v="7"/>
    <n v="3"/>
    <x v="0"/>
    <n v="17"/>
    <n v="0"/>
    <n v="1"/>
    <n v="0"/>
    <n v="0"/>
    <n v="2965.0579326703769"/>
    <n v="1100"/>
    <n v="146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50822073905201E-2"/>
    <n v="9000000"/>
    <n v="6.1429999999999998E-2"/>
    <x v="1"/>
    <s v="Todo bien"/>
    <x v="0"/>
    <x v="5"/>
    <n v="638.1901771284364"/>
    <x v="1"/>
    <x v="3"/>
    <s v="Mediana"/>
    <x v="1"/>
    <n v="1465.0822073905258"/>
  </r>
  <r>
    <s v="Ashiana Mulberry"/>
    <x v="146"/>
    <n v="6184"/>
    <n v="3"/>
    <x v="2"/>
    <x v="0"/>
    <s v=" Sohna"/>
    <n v="0"/>
    <n v="0"/>
    <n v="3"/>
    <n v="7"/>
    <n v="3"/>
    <x v="1"/>
    <n v="17"/>
    <n v="0"/>
    <n v="0"/>
    <n v="0"/>
    <n v="0"/>
    <n v="576.08695652173913"/>
    <n v="1600"/>
    <n v="17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2716688227599E-2"/>
    <n v="10700000"/>
    <n v="6.1839999999999999E-2"/>
    <x v="2"/>
    <s v="Todo bien"/>
    <x v="0"/>
    <x v="5"/>
    <n v="753.70677306435596"/>
    <x v="1"/>
    <x v="1"/>
    <s v="Mediana"/>
    <x v="1"/>
    <n v="1730.2716688227686"/>
  </r>
  <r>
    <s v="SS The Leaf"/>
    <x v="56"/>
    <n v="7317"/>
    <n v="2"/>
    <x v="8"/>
    <x v="0"/>
    <s v=" Sector 85 Gurgaon"/>
    <n v="0"/>
    <n v="0"/>
    <n v="2"/>
    <n v="12"/>
    <n v="3"/>
    <x v="0"/>
    <n v="26"/>
    <n v="0"/>
    <n v="0"/>
    <n v="0"/>
    <n v="0"/>
    <n v="1640.0164001640017"/>
    <m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6400164001639999E-2"/>
    <n v="12000000"/>
    <n v="7.3169999999999999E-2"/>
    <x v="2"/>
    <s v="Todo bien"/>
    <x v="1"/>
    <x v="5"/>
    <n v="714.3915553915532"/>
    <x v="1"/>
    <x v="2"/>
    <s v="Pequeña"/>
    <x v="1"/>
    <n v="1640.0164001640017"/>
  </r>
  <r>
    <s v="SS The Leaf"/>
    <x v="86"/>
    <n v="7645"/>
    <n v="4"/>
    <x v="8"/>
    <x v="0"/>
    <s v=" Sector 85 Gurgaon"/>
    <n v="0"/>
    <n v="0"/>
    <n v="5"/>
    <n v="1"/>
    <n v="3"/>
    <x v="2"/>
    <n v="15"/>
    <n v="1"/>
    <n v="0"/>
    <n v="0"/>
    <n v="0"/>
    <n v="2812.2956180510137"/>
    <m/>
    <n v="281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956180510101E-2"/>
    <n v="21500000"/>
    <n v="7.6450000000000004E-2"/>
    <x v="3"/>
    <s v="Todo bien"/>
    <x v="0"/>
    <x v="5"/>
    <n v="1225.0366768279907"/>
    <x v="1"/>
    <x v="3"/>
    <s v="Pequeña"/>
    <x v="2"/>
    <n v="2812.2956180510137"/>
  </r>
  <r>
    <s v="Tulip Violet"/>
    <x v="252"/>
    <n v="8730"/>
    <n v="4"/>
    <x v="2"/>
    <x v="0"/>
    <s v=" Sector 69 Gurgaon"/>
    <n v="0"/>
    <n v="0"/>
    <n v="4"/>
    <n v="12"/>
    <n v="1"/>
    <x v="2"/>
    <n v="14"/>
    <n v="0"/>
    <n v="0"/>
    <n v="0"/>
    <n v="0"/>
    <n v="1970.217640320733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176403207299E-2"/>
    <n v="17200000"/>
    <n v="8.7300000000000003E-2"/>
    <x v="3"/>
    <s v="Todo bien"/>
    <x v="0"/>
    <x v="4"/>
    <n v="858.22729845131596"/>
    <x v="1"/>
    <x v="2"/>
    <s v="Pequeña"/>
    <x v="1"/>
    <n v="1970.2176403207332"/>
  </r>
  <r>
    <s v="Tulip Violet"/>
    <x v="144"/>
    <n v="8841"/>
    <n v="3"/>
    <x v="7"/>
    <x v="0"/>
    <s v=" Sector 69 Gurgaon"/>
    <n v="0"/>
    <n v="0"/>
    <n v="3"/>
    <n v="12"/>
    <n v="1"/>
    <x v="1"/>
    <n v="14"/>
    <n v="0"/>
    <n v="0"/>
    <n v="1"/>
    <n v="0"/>
    <n v="1538.2875240357425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28752403574E-2"/>
    <n v="13600000"/>
    <n v="8.8410000000000002E-2"/>
    <x v="2"/>
    <s v="Todo bien"/>
    <x v="0"/>
    <x v="4"/>
    <n v="670.07843142630816"/>
    <x v="1"/>
    <x v="2"/>
    <s v="Pequeña"/>
    <x v="1"/>
    <n v="1538.2875240357425"/>
  </r>
  <r>
    <s v="Tulip Violet"/>
    <x v="68"/>
    <n v="8883"/>
    <n v="4"/>
    <x v="7"/>
    <x v="0"/>
    <s v=" Sector 69 Gurgaon"/>
    <n v="0"/>
    <n v="0"/>
    <n v="4"/>
    <n v="12"/>
    <n v="1"/>
    <x v="2"/>
    <n v="14"/>
    <n v="0"/>
    <n v="0"/>
    <n v="0"/>
    <n v="0"/>
    <n v="1970.0551615445231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0551615445198E-2"/>
    <n v="17500000"/>
    <n v="8.8830000000000006E-2"/>
    <x v="3"/>
    <s v="Todo bien"/>
    <x v="0"/>
    <x v="4"/>
    <n v="858.1565226556329"/>
    <x v="1"/>
    <x v="2"/>
    <s v="Pequeña"/>
    <x v="1"/>
    <n v="1970.0551615445231"/>
  </r>
  <r>
    <s v="Tulip Violet"/>
    <x v="68"/>
    <n v="8882"/>
    <n v="4"/>
    <x v="7"/>
    <x v="0"/>
    <s v=" Sector 69 Gurgaon"/>
    <n v="0"/>
    <n v="0"/>
    <n v="4"/>
    <n v="12"/>
    <n v="1"/>
    <x v="2"/>
    <n v="14"/>
    <n v="0"/>
    <n v="0"/>
    <n v="0"/>
    <n v="0"/>
    <n v="1970.27696464760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769646476E-2"/>
    <n v="17500000"/>
    <n v="8.8819999999999996E-2"/>
    <x v="3"/>
    <s v="Todo bien"/>
    <x v="0"/>
    <x v="4"/>
    <n v="858.25314014298499"/>
    <x v="1"/>
    <x v="2"/>
    <s v="Pequeña"/>
    <x v="1"/>
    <n v="1970.276964647602"/>
  </r>
  <r>
    <s v="Tulip Violet"/>
    <x v="65"/>
    <n v="8966"/>
    <n v="3"/>
    <x v="0"/>
    <x v="0"/>
    <s v=" Sector 69 Gurgaon"/>
    <n v="0"/>
    <n v="0"/>
    <n v="3"/>
    <n v="12"/>
    <n v="1"/>
    <x v="1"/>
    <n v="14"/>
    <n v="0"/>
    <n v="0"/>
    <n v="1"/>
    <n v="0"/>
    <n v="1539.1478920365826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1478920365799E-2"/>
    <n v="13800000"/>
    <n v="8.9660000000000004E-2"/>
    <x v="2"/>
    <s v="Todo bien"/>
    <x v="0"/>
    <x v="4"/>
    <n v="670.45320794334032"/>
    <x v="1"/>
    <x v="2"/>
    <s v="Pequeña"/>
    <x v="1"/>
    <n v="1539.1478920365826"/>
  </r>
  <r>
    <s v="Tulip Violet"/>
    <x v="70"/>
    <n v="8227"/>
    <n v="3"/>
    <x v="2"/>
    <x v="0"/>
    <s v=" Sector 69 Gurgaon"/>
    <n v="0"/>
    <n v="0"/>
    <n v="3"/>
    <n v="12"/>
    <n v="1"/>
    <x v="1"/>
    <n v="14"/>
    <n v="0"/>
    <n v="0"/>
    <n v="1"/>
    <n v="0"/>
    <n v="1568.007779263401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0077792634001E-2"/>
    <n v="12900000"/>
    <n v="8.2269999999999996E-2"/>
    <x v="2"/>
    <s v="Todo bien"/>
    <x v="0"/>
    <x v="4"/>
    <n v="683.02458206028894"/>
    <x v="1"/>
    <x v="2"/>
    <s v="Pequeña"/>
    <x v="1"/>
    <n v="1568.0077792634011"/>
  </r>
  <r>
    <s v="Tulip Violet"/>
    <x v="226"/>
    <n v="8675"/>
    <n v="3"/>
    <x v="4"/>
    <x v="0"/>
    <s v=" Sector 69 Gurgaon"/>
    <n v="0"/>
    <n v="0"/>
    <n v="3"/>
    <n v="12"/>
    <n v="1"/>
    <x v="1"/>
    <n v="14"/>
    <n v="0"/>
    <n v="0"/>
    <n v="1"/>
    <n v="0"/>
    <n v="0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2507204610898E-2"/>
    <n v="13700000"/>
    <n v="8.6749999999999994E-2"/>
    <x v="2"/>
    <s v="Todo bien"/>
    <x v="0"/>
    <x v="4"/>
    <n v="687.9220100668565"/>
    <x v="1"/>
    <x v="1"/>
    <s v="Pequeña"/>
    <x v="1"/>
    <n v="1579.2507204610952"/>
  </r>
  <r>
    <s v="Tulip Violet"/>
    <x v="98"/>
    <n v="8411"/>
    <n v="3"/>
    <x v="6"/>
    <x v="0"/>
    <s v=" Sector 69 Gurgaon"/>
    <n v="0"/>
    <n v="0"/>
    <n v="3"/>
    <n v="12"/>
    <n v="1"/>
    <x v="1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x v="2"/>
    <s v="Todo bien"/>
    <x v="0"/>
    <x v="4"/>
    <n v="683.61946402092281"/>
    <x v="1"/>
    <x v="2"/>
    <s v="Pequeña"/>
    <x v="1"/>
    <n v="1569.3734395434549"/>
  </r>
  <r>
    <s v="Tulip Violet"/>
    <x v="35"/>
    <n v="8445"/>
    <n v="3"/>
    <x v="0"/>
    <x v="0"/>
    <s v=" Sector 69 Gurgaon"/>
    <n v="0"/>
    <n v="0"/>
    <n v="3"/>
    <n v="12"/>
    <n v="1"/>
    <x v="1"/>
    <n v="14"/>
    <n v="0"/>
    <n v="0"/>
    <n v="1"/>
    <n v="0"/>
    <n v="1539.3724097098875"/>
    <m/>
    <n v="1538"/>
    <n v="1"/>
    <n v="1"/>
    <n v="1"/>
    <n v="1"/>
    <n v="0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37240970988E-2"/>
    <n v="13000000"/>
    <n v="8.4449999999999997E-2"/>
    <x v="2"/>
    <s v="Todo bien"/>
    <x v="0"/>
    <x v="4"/>
    <n v="670.5510078981614"/>
    <x v="1"/>
    <x v="2"/>
    <s v="Pequeña"/>
    <x v="1"/>
    <n v="1539.3724097098875"/>
  </r>
  <r>
    <s v="DLF New Town Heights "/>
    <x v="35"/>
    <n v="6735"/>
    <n v="3"/>
    <x v="5"/>
    <x v="5"/>
    <s v=" Sector 86 Gurgaon"/>
    <n v="0"/>
    <n v="0"/>
    <n v="3"/>
    <n v="12"/>
    <n v="3"/>
    <x v="1"/>
    <n v="22"/>
    <n v="1"/>
    <n v="0"/>
    <n v="0"/>
    <n v="0"/>
    <n v="1930.2152932442466"/>
    <m/>
    <n v="19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x v="2"/>
    <s v="Todo bien"/>
    <x v="1"/>
    <x v="5"/>
    <n v="840.80226602820812"/>
    <x v="1"/>
    <x v="2"/>
    <s v="Pequeña"/>
    <x v="1"/>
    <n v="1930.2152932442466"/>
  </r>
  <r>
    <s v="DLF The Skycourt"/>
    <x v="78"/>
    <n v="7776"/>
    <n v="3"/>
    <x v="3"/>
    <x v="0"/>
    <s v=" Sector 86 Gurgaon"/>
    <n v="0"/>
    <n v="0"/>
    <n v="3"/>
    <n v="15"/>
    <n v="1"/>
    <x v="1"/>
    <n v="19"/>
    <n v="0"/>
    <n v="0"/>
    <n v="0"/>
    <n v="0"/>
    <n v="1336.909090909091"/>
    <n v="15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123456790102E-2"/>
    <n v="15000000"/>
    <n v="7.7759999999999996E-2"/>
    <x v="2"/>
    <s v="Todo bien"/>
    <x v="0"/>
    <x v="5"/>
    <n v="840.27826176697442"/>
    <x v="1"/>
    <x v="2"/>
    <s v="Mediana"/>
    <x v="1"/>
    <n v="1929.0123456790125"/>
  </r>
  <r>
    <s v="Tulip Violet"/>
    <x v="235"/>
    <n v="8358"/>
    <n v="4"/>
    <x v="7"/>
    <x v="0"/>
    <s v=" Sector 69 Gurgaon"/>
    <n v="0"/>
    <n v="0"/>
    <n v="4"/>
    <n v="2"/>
    <n v="2"/>
    <x v="2"/>
    <n v="14"/>
    <n v="0"/>
    <n v="0"/>
    <n v="1"/>
    <n v="0"/>
    <n v="2010.0502512562814"/>
    <m/>
    <n v="2010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x v="3"/>
    <s v="Todo bien"/>
    <x v="0"/>
    <x v="4"/>
    <n v="875.57839376884374"/>
    <x v="1"/>
    <x v="2"/>
    <s v="Pequeña"/>
    <x v="2"/>
    <n v="2010.0502512562814"/>
  </r>
  <r>
    <s v="Tulip Violet"/>
    <x v="100"/>
    <n v="8871"/>
    <n v="3"/>
    <x v="5"/>
    <x v="0"/>
    <s v=" Sector 69 Gurgaon"/>
    <n v="0"/>
    <n v="0"/>
    <n v="3"/>
    <n v="11"/>
    <n v="2"/>
    <x v="1"/>
    <n v="14"/>
    <n v="0"/>
    <n v="0"/>
    <n v="1"/>
    <n v="0"/>
    <n v="1578.1760793597114"/>
    <m/>
    <n v="157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17607935971E-2"/>
    <n v="14000000"/>
    <n v="8.8709999999999997E-2"/>
    <x v="2"/>
    <s v="Todo bien"/>
    <x v="0"/>
    <x v="5"/>
    <n v="687.45389613346799"/>
    <x v="1"/>
    <x v="2"/>
    <s v="Pequeña"/>
    <x v="1"/>
    <n v="1578.1760793597114"/>
  </r>
  <r>
    <s v="DLF The Skycourt"/>
    <x v="78"/>
    <n v="7894"/>
    <n v="3"/>
    <x v="4"/>
    <x v="0"/>
    <s v=" Sector 86 Gurgaon"/>
    <n v="0"/>
    <n v="0"/>
    <n v="3"/>
    <n v="16"/>
    <n v="1"/>
    <x v="1"/>
    <n v="19"/>
    <n v="0"/>
    <n v="0"/>
    <n v="0"/>
    <n v="0"/>
    <n v="1900.1773498859895"/>
    <m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7734988598E-2"/>
    <n v="15000000"/>
    <n v="7.8939999999999996E-2"/>
    <x v="2"/>
    <s v="Todo bien"/>
    <x v="0"/>
    <x v="1"/>
    <n v="827.71773036483"/>
    <x v="1"/>
    <x v="2"/>
    <s v="Pequeña"/>
    <x v="1"/>
    <n v="1900.1773498859895"/>
  </r>
  <r>
    <s v="Signature Global Solera"/>
    <x v="1"/>
    <n v="7751"/>
    <n v="3"/>
    <x v="2"/>
    <x v="0"/>
    <s v=" Sector 107 Gurgaon"/>
    <n v="0"/>
    <n v="0"/>
    <n v="2"/>
    <n v="6"/>
    <n v="2"/>
    <x v="1"/>
    <n v="14"/>
    <n v="0"/>
    <n v="0"/>
    <n v="0"/>
    <n v="0"/>
    <n v="1377.95275590551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x v="1"/>
    <s v="Todo bien"/>
    <x v="0"/>
    <x v="1"/>
    <n v="280.99616236614293"/>
    <x v="0"/>
    <x v="2"/>
    <s v="Pequeña"/>
    <x v="0"/>
    <n v="645.07805444458779"/>
  </r>
  <r>
    <s v="Signature Global Solera"/>
    <x v="89"/>
    <n v="5980"/>
    <n v="2"/>
    <x v="7"/>
    <x v="0"/>
    <s v=" Sector 107 Gurgaon"/>
    <n v="0"/>
    <n v="0"/>
    <n v="2"/>
    <n v="7"/>
    <n v="1"/>
    <x v="0"/>
    <n v="14"/>
    <n v="0"/>
    <n v="0"/>
    <n v="0"/>
    <n v="0"/>
    <n v="1910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0668896320999E-3"/>
    <n v="3600000"/>
    <n v="5.9799999999999999E-2"/>
    <x v="0"/>
    <s v="Todo bien"/>
    <x v="0"/>
    <x v="1"/>
    <n v="262.23426475585256"/>
    <x v="0"/>
    <x v="2"/>
    <s v="Pequeña"/>
    <x v="0"/>
    <n v="602.00668896321076"/>
  </r>
  <r>
    <s v="Spaze Privy"/>
    <x v="293"/>
    <n v="6692"/>
    <n v="4"/>
    <x v="8"/>
    <x v="5"/>
    <s v=" Sector 72 Gurgaon"/>
    <n v="0"/>
    <n v="0"/>
    <n v="5"/>
    <n v="8"/>
    <n v="3"/>
    <x v="2"/>
    <n v="8"/>
    <n v="1"/>
    <n v="1"/>
    <n v="1"/>
    <n v="1"/>
    <n v="1996.7460434846914"/>
    <m/>
    <n v="46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6323968918111101E-2"/>
    <n v="31000000"/>
    <n v="6.6919999999999993E-2"/>
    <x v="5"/>
    <s v="Todo bien"/>
    <x v="0"/>
    <x v="5"/>
    <n v="2017.8732483412998"/>
    <x v="3"/>
    <x v="2"/>
    <s v="Pequeña"/>
    <x v="3"/>
    <n v="4632.3968918111186"/>
  </r>
  <r>
    <s v="ROF Ananda"/>
    <x v="302"/>
    <n v="5644"/>
    <n v="2"/>
    <x v="5"/>
    <x v="0"/>
    <s v=" Sector 95 Gurgaon"/>
    <n v="0"/>
    <n v="0"/>
    <n v="2"/>
    <n v="5"/>
    <n v="1"/>
    <x v="0"/>
    <n v="14"/>
    <n v="0"/>
    <n v="0"/>
    <n v="1"/>
    <n v="0"/>
    <n v="1844.7348193697158"/>
    <m/>
    <m/>
    <n v="0"/>
    <n v="1"/>
    <n v="1"/>
    <n v="1"/>
    <n v="1"/>
    <n v="0"/>
    <n v="0"/>
    <n v="1"/>
    <n v="0"/>
    <n v="1"/>
    <n v="1"/>
    <n v="1"/>
    <n v="1"/>
    <n v="0"/>
    <n v="1"/>
    <n v="1"/>
    <n v="1"/>
    <n v="53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25584691708001E-3"/>
    <n v="3100000"/>
    <n v="5.6439999999999997E-2"/>
    <x v="0"/>
    <s v="Todo bien"/>
    <x v="1"/>
    <x v="5"/>
    <n v="239.25598472537206"/>
    <x v="0"/>
    <x v="2"/>
    <s v="Pequeña"/>
    <x v="0"/>
    <n v="549.25584691708013"/>
  </r>
  <r>
    <s v="Sare Homes"/>
    <x v="109"/>
    <n v="5354"/>
    <n v="3"/>
    <x v="7"/>
    <x v="0"/>
    <s v=" Sector 92 Gurgaon"/>
    <n v="0"/>
    <n v="0"/>
    <n v="3"/>
    <n v="2"/>
    <n v="3"/>
    <x v="1"/>
    <n v="21"/>
    <n v="0"/>
    <n v="0"/>
    <n v="1"/>
    <n v="0"/>
    <n v="1434.720229555236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11131864026E-2"/>
    <n v="7100000"/>
    <n v="5.3539999999999997E-2"/>
    <x v="1"/>
    <s v="Todo bien"/>
    <x v="0"/>
    <x v="5"/>
    <n v="577.65442312102709"/>
    <x v="1"/>
    <x v="2"/>
    <s v="Pequeña"/>
    <x v="0"/>
    <n v="1326.111318640269"/>
  </r>
  <r>
    <s v="Vatika Lifestyle Homes"/>
    <x v="81"/>
    <n v="8214"/>
    <n v="3"/>
    <x v="6"/>
    <x v="5"/>
    <s v=" Sector 83 Gurgaon"/>
    <n v="0"/>
    <n v="0"/>
    <n v="3"/>
    <n v="7"/>
    <n v="1"/>
    <x v="1"/>
    <n v="15"/>
    <n v="0"/>
    <n v="0"/>
    <n v="0"/>
    <n v="0"/>
    <n v="2479.5437639474339"/>
    <m/>
    <n v="18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000486973459901E-2"/>
    <n v="11500000"/>
    <n v="8.2140000000000005E-2"/>
    <x v="2"/>
    <s v="Todo bien"/>
    <x v="1"/>
    <x v="5"/>
    <n v="609.8615638361315"/>
    <x v="1"/>
    <x v="2"/>
    <s v="Pequeña"/>
    <x v="1"/>
    <n v="1400.0486973459945"/>
  </r>
  <r>
    <s v="Vatika Lifestyle Homes"/>
    <x v="16"/>
    <n v="7500"/>
    <n v="3"/>
    <x v="6"/>
    <x v="5"/>
    <s v=" Sector 83 Gurgaon"/>
    <n v="0"/>
    <n v="0"/>
    <n v="2"/>
    <n v="1"/>
    <n v="2"/>
    <x v="1"/>
    <n v="7"/>
    <n v="0"/>
    <n v="0"/>
    <n v="0"/>
    <n v="0"/>
    <n v="2333.3333333333335"/>
    <n v="1600"/>
    <n v="175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E-2"/>
    <n v="10500000"/>
    <n v="7.4999999999999997E-2"/>
    <x v="2"/>
    <s v="Todo bien"/>
    <x v="1"/>
    <x v="5"/>
    <n v="609.84035126000003"/>
    <x v="1"/>
    <x v="2"/>
    <s v="Mediana"/>
    <x v="1"/>
    <n v="1400"/>
  </r>
  <r>
    <s v="Pioneer Park"/>
    <x v="69"/>
    <n v="11666"/>
    <n v="3"/>
    <x v="3"/>
    <x v="0"/>
    <s v=" Sector 61 Gurgaon"/>
    <n v="0"/>
    <n v="0"/>
    <n v="3"/>
    <n v="15"/>
    <n v="3"/>
    <x v="1"/>
    <n v="32"/>
    <n v="0"/>
    <n v="0"/>
    <n v="0"/>
    <n v="0"/>
    <n v="1621.0173281162661"/>
    <m/>
    <n v="1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2"/>
    <n v="1"/>
    <n v="3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1.8001028630207399E-2"/>
    <n v="21000000"/>
    <n v="0.11666"/>
    <x v="3"/>
    <s v="Todo bien"/>
    <x v="1"/>
    <x v="1"/>
    <n v="784.12525877764267"/>
    <x v="1"/>
    <x v="2"/>
    <s v="Pequeña"/>
    <x v="1"/>
    <n v="1800.1028630207441"/>
  </r>
  <r>
    <s v="Signature Global Solera"/>
    <x v="67"/>
    <n v="5828"/>
    <n v="2"/>
    <x v="2"/>
    <x v="0"/>
    <s v=" Sector 107 Gurgaon"/>
    <n v="0"/>
    <n v="0"/>
    <n v="2"/>
    <n v="0"/>
    <n v="2"/>
    <x v="0"/>
    <n v="14"/>
    <n v="0"/>
    <n v="0"/>
    <n v="0"/>
    <n v="0"/>
    <n v="300"/>
    <m/>
    <m/>
    <n v="0"/>
    <n v="0"/>
    <n v="1"/>
    <n v="1"/>
    <n v="0"/>
    <n v="0"/>
    <n v="0"/>
    <n v="1"/>
    <n v="0"/>
    <n v="1"/>
    <n v="0"/>
    <n v="0"/>
    <n v="1"/>
    <n v="0"/>
    <n v="1"/>
    <n v="0"/>
    <n v="1"/>
    <n v="2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1853122855004E-3"/>
    <n v="2850000"/>
    <n v="5.8279999999999998E-2"/>
    <x v="0"/>
    <s v="Todo bien"/>
    <x v="0"/>
    <x v="1"/>
    <n v="213.01659489790589"/>
    <x v="0"/>
    <x v="1"/>
    <s v="Pequeña"/>
    <x v="0"/>
    <n v="489.01853122855181"/>
  </r>
  <r>
    <s v="Signature Global Solera"/>
    <x v="221"/>
    <n v="5674"/>
    <n v="2"/>
    <x v="5"/>
    <x v="0"/>
    <s v=" Sector 107 Gurgaon"/>
    <n v="0"/>
    <n v="0"/>
    <n v="2"/>
    <n v="11"/>
    <n v="2"/>
    <x v="0"/>
    <n v="14"/>
    <n v="0"/>
    <n v="0"/>
    <n v="0"/>
    <n v="0"/>
    <n v="2200.3168456257699"/>
    <m/>
    <m/>
    <n v="0"/>
    <n v="0"/>
    <n v="0"/>
    <n v="0"/>
    <n v="1"/>
    <n v="0"/>
    <n v="0"/>
    <n v="1"/>
    <n v="0"/>
    <n v="1"/>
    <n v="0"/>
    <n v="1"/>
    <n v="1"/>
    <n v="0"/>
    <n v="0"/>
    <n v="0"/>
    <n v="1"/>
    <n v="14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x v="0"/>
    <s v="Todo bien"/>
    <x v="0"/>
    <x v="0"/>
    <n v="213.04030600061554"/>
    <x v="0"/>
    <x v="2"/>
    <s v="Pequeña"/>
    <x v="0"/>
    <n v="489.07296439901307"/>
  </r>
  <r>
    <s v="Signature Global Solera"/>
    <x v="303"/>
    <n v="5623"/>
    <n v="2"/>
    <x v="7"/>
    <x v="0"/>
    <s v=" Sector 107 Gurgaon"/>
    <n v="0"/>
    <n v="0"/>
    <n v="2"/>
    <n v="14"/>
    <n v="2"/>
    <x v="0"/>
    <n v="14"/>
    <n v="0"/>
    <n v="0"/>
    <n v="0"/>
    <n v="0"/>
    <n v="2321.4285714285716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6277787657002E-3"/>
    <n v="2750000"/>
    <n v="5.6230000000000002E-2"/>
    <x v="0"/>
    <s v="Todo bien"/>
    <x v="0"/>
    <x v="0"/>
    <n v="213.03586874888489"/>
    <x v="0"/>
    <x v="2"/>
    <s v="Pequeña"/>
    <x v="0"/>
    <n v="489.06277787657831"/>
  </r>
  <r>
    <s v="Signature Global Solera"/>
    <x v="63"/>
    <n v="5725"/>
    <n v="2"/>
    <x v="8"/>
    <x v="0"/>
    <s v=" Sector 107 Gurgaon"/>
    <n v="0"/>
    <n v="0"/>
    <n v="2"/>
    <n v="10"/>
    <n v="2"/>
    <x v="0"/>
    <n v="14"/>
    <n v="0"/>
    <n v="0"/>
    <n v="0"/>
    <n v="0"/>
    <n v="2670.2269692923901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x v="0"/>
    <s v="Todo bien"/>
    <x v="0"/>
    <x v="0"/>
    <n v="213.04466419563127"/>
    <x v="0"/>
    <x v="3"/>
    <s v="Pequeña"/>
    <x v="0"/>
    <n v="489.08296943231437"/>
  </r>
  <r>
    <s v="Signature Global Grand IVA"/>
    <x v="304"/>
    <n v="6527"/>
    <n v="1"/>
    <x v="2"/>
    <x v="0"/>
    <s v=" Sector 103 Gurgaon"/>
    <n v="0"/>
    <n v="0"/>
    <n v="1"/>
    <n v="4"/>
    <n v="1"/>
    <x v="3"/>
    <n v="14"/>
    <n v="0"/>
    <n v="0"/>
    <n v="0"/>
    <n v="0"/>
    <n v="2359.232463038691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004289872834999E-3"/>
    <n v="2350000"/>
    <n v="6.5269999999999995E-2"/>
    <x v="0"/>
    <s v="Todo bien"/>
    <x v="0"/>
    <x v="2"/>
    <n v="156.83477702083255"/>
    <x v="0"/>
    <x v="2"/>
    <s v="Pequeña"/>
    <x v="0"/>
    <n v="360.04289872835915"/>
  </r>
  <r>
    <s v="Signature Global Solera"/>
    <x v="305"/>
    <n v="6489"/>
    <n v="2"/>
    <x v="7"/>
    <x v="0"/>
    <s v=" Sector 107 Gurgaon"/>
    <n v="0"/>
    <n v="0"/>
    <n v="2"/>
    <n v="8"/>
    <n v="2"/>
    <x v="0"/>
    <n v="14"/>
    <n v="0"/>
    <n v="0"/>
    <n v="0"/>
    <n v="0"/>
    <n v="340.0309119010819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7967329326E-3"/>
    <n v="3550000"/>
    <n v="6.4890000000000003E-2"/>
    <x v="0"/>
    <s v="Todo bien"/>
    <x v="0"/>
    <x v="1"/>
    <n v="238.3080429488341"/>
    <x v="0"/>
    <x v="1"/>
    <s v="Pequeña"/>
    <x v="0"/>
    <n v="547.0796732932655"/>
  </r>
  <r>
    <s v="Signature Global Solera"/>
    <x v="306"/>
    <n v="7906"/>
    <n v="3"/>
    <x v="8"/>
    <x v="0"/>
    <s v=" Sector 107 Gurgaon"/>
    <n v="0"/>
    <n v="0"/>
    <n v="2"/>
    <n v="9"/>
    <n v="2"/>
    <x v="1"/>
    <n v="14"/>
    <n v="0"/>
    <n v="0"/>
    <n v="0"/>
    <n v="0"/>
    <n v="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968631418999E-3"/>
    <n v="5100000"/>
    <n v="7.9060000000000005E-2"/>
    <x v="1"/>
    <s v="Todo bien"/>
    <x v="0"/>
    <x v="2"/>
    <n v="280.99687320895447"/>
    <x v="0"/>
    <x v="1"/>
    <s v="Pequeña"/>
    <x v="0"/>
    <n v="645.07968631419169"/>
  </r>
  <r>
    <s v="Signature Global Solera"/>
    <x v="290"/>
    <n v="6398"/>
    <n v="2"/>
    <x v="8"/>
    <x v="0"/>
    <s v=" Sector 107 Gurgaon"/>
    <n v="0"/>
    <n v="0"/>
    <n v="2"/>
    <n v="8"/>
    <n v="2"/>
    <x v="0"/>
    <n v="14"/>
    <n v="0"/>
    <n v="0"/>
    <n v="0"/>
    <n v="0"/>
    <n v="1987.110633727175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4595185994997E-3"/>
    <n v="3500000"/>
    <n v="6.3979999999999995E-2"/>
    <x v="0"/>
    <s v="Todo bien"/>
    <x v="0"/>
    <x v="1"/>
    <n v="238.29335388402353"/>
    <x v="0"/>
    <x v="2"/>
    <s v="Pequeña"/>
    <x v="0"/>
    <n v="547.04595185995629"/>
  </r>
  <r>
    <s v="Signature Global Solera"/>
    <x v="67"/>
    <n v="5828"/>
    <n v="2"/>
    <x v="8"/>
    <x v="0"/>
    <s v=" Sector 107 Gurgaon"/>
    <n v="0"/>
    <n v="0"/>
    <n v="2"/>
    <n v="11"/>
    <n v="2"/>
    <x v="0"/>
    <n v="14"/>
    <n v="0"/>
    <n v="0"/>
    <n v="0"/>
    <n v="0"/>
    <n v="1294.917449012625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1853122855004E-3"/>
    <n v="2850000"/>
    <n v="5.8279999999999998E-2"/>
    <x v="0"/>
    <s v="Todo bien"/>
    <x v="0"/>
    <x v="1"/>
    <n v="213.01659489790589"/>
    <x v="0"/>
    <x v="2"/>
    <s v="Pequeña"/>
    <x v="0"/>
    <n v="489.01853122855181"/>
  </r>
  <r>
    <s v="Signature Global Solera"/>
    <x v="89"/>
    <n v="6581"/>
    <n v="2"/>
    <x v="3"/>
    <x v="0"/>
    <s v=" Sector 107 Gurgaon"/>
    <n v="0"/>
    <n v="0"/>
    <n v="2"/>
    <n v="8"/>
    <n v="2"/>
    <x v="0"/>
    <n v="14"/>
    <n v="0"/>
    <n v="0"/>
    <n v="0"/>
    <n v="0"/>
    <n v="1000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2932685001997E-3"/>
    <n v="3600000"/>
    <n v="6.5809999999999994E-2"/>
    <x v="0"/>
    <s v="Todo bien"/>
    <x v="0"/>
    <x v="1"/>
    <n v="238.28611202552682"/>
    <x v="0"/>
    <x v="0"/>
    <s v="Pequeña"/>
    <x v="0"/>
    <n v="547.02932685002281"/>
  </r>
  <r>
    <s v="Emaar MGF Emerald Floors Premier"/>
    <x v="6"/>
    <n v="12121"/>
    <n v="3"/>
    <x v="7"/>
    <x v="0"/>
    <s v=" Sector 65 Gurgaon"/>
    <n v="0"/>
    <n v="0"/>
    <n v="3"/>
    <n v="1"/>
    <n v="3"/>
    <x v="1"/>
    <n v="5"/>
    <n v="1"/>
    <n v="0"/>
    <n v="0"/>
    <n v="0"/>
    <n v="1295.0356964967625"/>
    <m/>
    <m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500288755053199E-2"/>
    <n v="20000000"/>
    <n v="0.12121"/>
    <x v="3"/>
    <s v="Todo bien"/>
    <x v="1"/>
    <x v="5"/>
    <n v="718.75299216236226"/>
    <x v="1"/>
    <x v="2"/>
    <s v="Pequeña"/>
    <x v="0"/>
    <n v="1650.0288755053214"/>
  </r>
  <r>
    <s v="BPTP Mansions Park Prime"/>
    <x v="58"/>
    <n v="9768"/>
    <n v="4"/>
    <x v="1"/>
    <x v="0"/>
    <s v=" Sector 66 Gurgaon"/>
    <n v="0"/>
    <n v="0"/>
    <n v="4"/>
    <n v="6"/>
    <n v="3"/>
    <x v="2"/>
    <n v="18"/>
    <n v="1"/>
    <n v="0"/>
    <n v="0"/>
    <n v="0"/>
    <n v="2764.1277641277638"/>
    <m/>
    <n v="276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0"/>
    <x v="0"/>
    <x v="1"/>
    <x v="0"/>
    <x v="0"/>
    <n v="0"/>
    <n v="1"/>
    <n v="1"/>
    <n v="4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41277641277599E-2"/>
    <n v="27000000"/>
    <n v="9.7680000000000003E-2"/>
    <x v="5"/>
    <s v="Todo bien"/>
    <x v="0"/>
    <x v="0"/>
    <n v="1204.0547475737083"/>
    <x v="1"/>
    <x v="3"/>
    <s v="Pequeña"/>
    <x v="2"/>
    <n v="2764.1277641277638"/>
  </r>
  <r>
    <s v="MM Golfestate"/>
    <x v="307"/>
    <n v="16233"/>
    <n v="3"/>
    <x v="2"/>
    <x v="5"/>
    <s v=" Sector 65 Gurgaon"/>
    <n v="0"/>
    <n v="0"/>
    <n v="4"/>
    <n v="15"/>
    <n v="3"/>
    <x v="1"/>
    <n v="40"/>
    <n v="1"/>
    <n v="0"/>
    <n v="0"/>
    <n v="0"/>
    <n v="3043.1836382677266"/>
    <m/>
    <n v="304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31836382677199E-2"/>
    <n v="49400000.000000007"/>
    <n v="0.16233"/>
    <x v="4"/>
    <s v="Todo bien"/>
    <x v="0"/>
    <x v="5"/>
    <n v="1325.6115563641938"/>
    <x v="1"/>
    <x v="3"/>
    <s v="Pequeña"/>
    <x v="3"/>
    <n v="3043.1836382677266"/>
  </r>
  <r>
    <s v="Tulip Violet"/>
    <x v="68"/>
    <n v="8706"/>
    <n v="4"/>
    <x v="2"/>
    <x v="0"/>
    <s v=" Sector 69 Gurgaon"/>
    <n v="0"/>
    <n v="0"/>
    <n v="4"/>
    <n v="10"/>
    <n v="2"/>
    <x v="2"/>
    <n v="14"/>
    <n v="0"/>
    <n v="0"/>
    <n v="0"/>
    <n v="0"/>
    <n v="2010.1079715138985"/>
    <m/>
    <n v="201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1010797151389E-2"/>
    <n v="17500000"/>
    <n v="8.7059999999999998E-2"/>
    <x v="3"/>
    <s v="Todo bien"/>
    <x v="1"/>
    <x v="4"/>
    <n v="875.60353672754059"/>
    <x v="1"/>
    <x v="2"/>
    <s v="Pequeña"/>
    <x v="2"/>
    <n v="2010.1079715138985"/>
  </r>
  <r>
    <s v="Shree Vardhman Flora"/>
    <x v="43"/>
    <n v="4854"/>
    <n v="4"/>
    <x v="8"/>
    <x v="0"/>
    <s v=" Sector 90 Gurgaon"/>
    <n v="0"/>
    <n v="0"/>
    <n v="5"/>
    <n v="8"/>
    <n v="2"/>
    <x v="2"/>
    <n v="14"/>
    <n v="1"/>
    <n v="1"/>
    <n v="0"/>
    <n v="0"/>
    <n v="2575.1957148743304"/>
    <m/>
    <n v="25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x v="2"/>
    <s v="Todo bien"/>
    <x v="0"/>
    <x v="5"/>
    <n v="1121.7558995158631"/>
    <x v="1"/>
    <x v="3"/>
    <s v="Pequeña"/>
    <x v="2"/>
    <n v="2575.1957148743304"/>
  </r>
  <r>
    <s v="Shree Vardhman Flora"/>
    <x v="119"/>
    <n v="4906"/>
    <n v="3"/>
    <x v="2"/>
    <x v="0"/>
    <s v=" Sector 90 Gurgaon"/>
    <n v="0"/>
    <n v="0"/>
    <n v="4"/>
    <n v="4"/>
    <n v="3"/>
    <x v="1"/>
    <n v="13"/>
    <n v="1"/>
    <n v="0"/>
    <n v="0"/>
    <n v="0"/>
    <n v="396.09993906154779"/>
    <m/>
    <n v="1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547900529899E-2"/>
    <n v="9200000"/>
    <n v="4.9059999999999999E-2"/>
    <x v="1"/>
    <s v="Todo bien"/>
    <x v="0"/>
    <x v="5"/>
    <n v="816.86145704850924"/>
    <x v="1"/>
    <x v="1"/>
    <s v="Pequeña"/>
    <x v="1"/>
    <n v="1875.2547900529964"/>
  </r>
  <r>
    <s v="Shree Vardhman Flora"/>
    <x v="35"/>
    <n v="5252"/>
    <n v="4"/>
    <x v="2"/>
    <x v="0"/>
    <s v=" Sector 90 Gurgaon"/>
    <n v="0"/>
    <n v="0"/>
    <n v="5"/>
    <n v="9"/>
    <n v="2"/>
    <x v="2"/>
    <n v="13"/>
    <n v="1"/>
    <n v="1"/>
    <n v="0"/>
    <n v="0"/>
    <n v="1850.0703026715016"/>
    <m/>
    <n v="2475"/>
    <n v="0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52475247524702E-2"/>
    <n v="13000000"/>
    <n v="5.2519999999999997E-2"/>
    <x v="2"/>
    <s v="Todo bien"/>
    <x v="0"/>
    <x v="4"/>
    <n v="1078.2184428217799"/>
    <x v="1"/>
    <x v="2"/>
    <s v="Pequeña"/>
    <x v="2"/>
    <n v="2475.2475247524753"/>
  </r>
  <r>
    <s v="Tulip Lemon"/>
    <x v="216"/>
    <n v="12863"/>
    <n v="2"/>
    <x v="2"/>
    <x v="0"/>
    <s v=" Sector 69 Gurgaon"/>
    <n v="0"/>
    <n v="0"/>
    <n v="2"/>
    <n v="4"/>
    <n v="1"/>
    <x v="0"/>
    <n v="11"/>
    <n v="0"/>
    <n v="0"/>
    <n v="0"/>
    <n v="0"/>
    <n v="1900.2375296912114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4.8200264324030004E-3"/>
    <n v="6200000"/>
    <n v="0.12862999999999999"/>
    <x v="1"/>
    <s v="Todo bien"/>
    <x v="1"/>
    <x v="5"/>
    <n v="209.96047232993789"/>
    <x v="0"/>
    <x v="2"/>
    <s v="Pequeña"/>
    <x v="0"/>
    <n v="482.00264324030167"/>
  </r>
  <r>
    <s v="Tulip Purple"/>
    <x v="308"/>
    <n v="8000"/>
    <n v="4"/>
    <x v="4"/>
    <x v="0"/>
    <s v=" Sector 69 Gurgaon"/>
    <n v="0"/>
    <n v="0"/>
    <n v="5"/>
    <n v="5"/>
    <n v="3"/>
    <x v="2"/>
    <n v="12"/>
    <n v="1"/>
    <n v="0"/>
    <n v="0"/>
    <n v="0"/>
    <n v="2400"/>
    <m/>
    <n v="2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4E-2"/>
    <n v="19200000"/>
    <n v="0.08"/>
    <x v="3"/>
    <s v="Todo bien"/>
    <x v="1"/>
    <x v="5"/>
    <n v="1045.44060216"/>
    <x v="1"/>
    <x v="2"/>
    <s v="Pequeña"/>
    <x v="2"/>
    <n v="2400"/>
  </r>
  <r>
    <s v="The Lions CGHS"/>
    <x v="6"/>
    <n v="8333"/>
    <n v="4"/>
    <x v="0"/>
    <x v="0"/>
    <s v=" Sector 56 Gurgaon"/>
    <n v="0"/>
    <n v="0"/>
    <n v="4"/>
    <n v="8"/>
    <n v="3"/>
    <x v="2"/>
    <n v="9"/>
    <n v="0"/>
    <n v="0"/>
    <n v="0"/>
    <n v="0"/>
    <n v="2040.1224073444405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Tulip Ivory"/>
    <x v="6"/>
    <n v="8333"/>
    <n v="4"/>
    <x v="3"/>
    <x v="0"/>
    <s v=" Sector 70 Gurgaon"/>
    <n v="0"/>
    <n v="0"/>
    <n v="5"/>
    <n v="2"/>
    <n v="3"/>
    <x v="2"/>
    <n v="12"/>
    <n v="1"/>
    <n v="0"/>
    <n v="0"/>
    <n v="0"/>
    <n v="2400.0960038401536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ProfeSS The Leafional Society"/>
    <x v="29"/>
    <n v="3067"/>
    <n v="3"/>
    <x v="4"/>
    <x v="0"/>
    <s v=" IMT Manesar"/>
    <n v="0"/>
    <n v="0"/>
    <n v="4"/>
    <n v="3"/>
    <n v="3"/>
    <x v="1"/>
    <n v="12"/>
    <n v="1"/>
    <n v="0"/>
    <n v="0"/>
    <n v="0"/>
    <n v="0"/>
    <m/>
    <m/>
    <n v="0"/>
    <n v="1"/>
    <n v="0"/>
    <n v="0"/>
    <n v="0"/>
    <n v="0"/>
    <n v="0"/>
    <n v="0"/>
    <n v="0"/>
    <n v="1"/>
    <n v="1"/>
    <n v="0"/>
    <n v="0"/>
    <n v="0"/>
    <n v="0"/>
    <n v="0"/>
    <n v="0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53863710466199E-2"/>
    <n v="7500000"/>
    <n v="3.0669999999999999E-2"/>
    <x v="1"/>
    <s v="Todo bien"/>
    <x v="0"/>
    <x v="0"/>
    <n v="1065.2109167753481"/>
    <x v="1"/>
    <x v="1"/>
    <s v="Pequeña"/>
    <x v="0"/>
    <n v="2445.3863710466253"/>
  </r>
  <r>
    <s v="SS The Leaf"/>
    <x v="20"/>
    <n v="7682"/>
    <n v="3"/>
    <x v="5"/>
    <x v="0"/>
    <s v=" Sector 85 Gurgaon"/>
    <n v="0"/>
    <n v="0"/>
    <n v="4"/>
    <n v="2"/>
    <n v="3"/>
    <x v="1"/>
    <n v="26"/>
    <n v="1"/>
    <n v="1"/>
    <n v="0"/>
    <n v="0"/>
    <n v="2408.227024212444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2.40822702421244E-2"/>
    <n v="18500000"/>
    <n v="7.6819999999999999E-2"/>
    <x v="3"/>
    <s v="Todo bien"/>
    <x v="1"/>
    <x v="1"/>
    <n v="1049.0242959710993"/>
    <x v="1"/>
    <x v="2"/>
    <s v="Pequeña"/>
    <x v="2"/>
    <n v="2408.2270242124446"/>
  </r>
  <r>
    <s v="TARC Maceo"/>
    <x v="309"/>
    <n v="6339"/>
    <n v="2"/>
    <x v="4"/>
    <x v="0"/>
    <s v=" Sector 91 Gurgaon"/>
    <n v="0"/>
    <n v="0"/>
    <n v="2"/>
    <n v="9"/>
    <n v="3"/>
    <x v="0"/>
    <n v="13"/>
    <n v="0"/>
    <n v="0"/>
    <n v="0"/>
    <n v="0"/>
    <n v="0"/>
    <m/>
    <n v="140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40069411579099E-2"/>
    <n v="8900000"/>
    <n v="6.3390000000000002E-2"/>
    <x v="1"/>
    <s v="Todo bien"/>
    <x v="0"/>
    <x v="0"/>
    <n v="611.5857758337271"/>
    <x v="1"/>
    <x v="1"/>
    <s v="Pequeña"/>
    <x v="1"/>
    <n v="1404.0069411579113"/>
  </r>
  <r>
    <s v="Orris Aster Court Premier"/>
    <x v="43"/>
    <n v="5896"/>
    <n v="3"/>
    <x v="4"/>
    <x v="0"/>
    <s v=" Sector 85 Gurgaon"/>
    <n v="0"/>
    <n v="0"/>
    <n v="4"/>
    <n v="6"/>
    <n v="2"/>
    <x v="1"/>
    <n v="12"/>
    <n v="1"/>
    <n v="0"/>
    <n v="0"/>
    <n v="0"/>
    <n v="2120.0814111261875"/>
    <n v="1616"/>
    <n v="21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12008141112618E-2"/>
    <n v="12500000"/>
    <n v="5.8959999999999999E-2"/>
    <x v="2"/>
    <s v="Todo bien"/>
    <x v="1"/>
    <x v="1"/>
    <n v="923.50799461499014"/>
    <x v="1"/>
    <x v="2"/>
    <s v="Mediana"/>
    <x v="2"/>
    <n v="2120.0814111261875"/>
  </r>
  <r>
    <s v="Shapoorji Pallonji Joyville Gurugram"/>
    <x v="86"/>
    <n v="12706"/>
    <n v="3"/>
    <x v="6"/>
    <x v="0"/>
    <s v=" Sector 102 Gurgaon"/>
    <n v="0"/>
    <n v="0"/>
    <n v="3"/>
    <n v="10"/>
    <n v="3"/>
    <x v="1"/>
    <n v="26"/>
    <n v="0"/>
    <n v="0"/>
    <n v="0"/>
    <n v="0"/>
    <n v="0"/>
    <n v="1690"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9211396190776E-2"/>
    <n v="21500000"/>
    <n v="0.12706000000000001"/>
    <x v="3"/>
    <s v="Todo bien"/>
    <x v="1"/>
    <x v="1"/>
    <n v="737.08526635841338"/>
    <x v="1"/>
    <x v="1"/>
    <s v="Mediana"/>
    <x v="1"/>
    <n v="1692.1139619077601"/>
  </r>
  <r>
    <s v="Ireo Victory Valley"/>
    <x v="200"/>
    <n v="12650"/>
    <n v="3"/>
    <x v="6"/>
    <x v="0"/>
    <s v=" Sector 67 Gurgaon"/>
    <n v="0"/>
    <n v="0"/>
    <n v="3"/>
    <n v="21"/>
    <n v="3"/>
    <x v="1"/>
    <n v="51"/>
    <n v="1"/>
    <n v="0"/>
    <n v="0"/>
    <n v="0"/>
    <n v="0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7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2.4110671936758799E-2"/>
    <n v="30500000"/>
    <n v="0.1265"/>
    <x v="5"/>
    <s v="Todo bien"/>
    <x v="2"/>
    <x v="5"/>
    <n v="1050.2614745019723"/>
    <x v="1"/>
    <x v="1"/>
    <s v="Pequeña"/>
    <x v="2"/>
    <n v="2411.0671936758895"/>
  </r>
  <r>
    <s v="MM Merlin"/>
    <x v="97"/>
    <n v="12945"/>
    <n v="3"/>
    <x v="2"/>
    <x v="0"/>
    <s v=" Sector 67 Gurgaon"/>
    <n v="0"/>
    <n v="0"/>
    <n v="3"/>
    <n v="0"/>
    <n v="3"/>
    <x v="1"/>
    <n v="21"/>
    <n v="0"/>
    <n v="0"/>
    <n v="0"/>
    <n v="0"/>
    <n v="0"/>
    <n v="1900"/>
    <n v="204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2.0471224410969401E-2"/>
    <n v="26500000"/>
    <n v="0.12945000000000001"/>
    <x v="5"/>
    <s v="Todo bien"/>
    <x v="1"/>
    <x v="5"/>
    <n v="891.72704896484765"/>
    <x v="1"/>
    <x v="1"/>
    <s v="Grande"/>
    <x v="2"/>
    <n v="2047.1224410969485"/>
  </r>
  <r>
    <s v="Signature Global Synera"/>
    <x v="214"/>
    <n v="6666"/>
    <n v="2"/>
    <x v="8"/>
    <x v="0"/>
    <s v=" Sector 81 Gurgaon"/>
    <n v="0"/>
    <n v="0"/>
    <n v="2"/>
    <n v="5"/>
    <n v="3"/>
    <x v="0"/>
    <n v="12"/>
    <n v="0"/>
    <n v="0"/>
    <n v="0"/>
    <n v="0"/>
    <n v="0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350735072998E-3"/>
    <n v="4900000"/>
    <n v="6.6659999999999997E-2"/>
    <x v="0"/>
    <s v="Todo bien"/>
    <x v="0"/>
    <x v="5"/>
    <n v="320.19820423192101"/>
    <x v="0"/>
    <x v="1"/>
    <s v="Pequeña"/>
    <x v="0"/>
    <n v="735.0735073507351"/>
  </r>
  <r>
    <s v="AIPL Zen Residences"/>
    <x v="258"/>
    <n v="10996"/>
    <n v="3"/>
    <x v="8"/>
    <x v="0"/>
    <s v=" Sector 70A Gurgaon"/>
    <n v="0"/>
    <n v="0"/>
    <n v="3"/>
    <n v="12"/>
    <n v="3"/>
    <x v="1"/>
    <n v="28"/>
    <n v="0"/>
    <n v="0"/>
    <n v="0"/>
    <n v="0"/>
    <n v="0"/>
    <n v="1600"/>
    <n v="1655"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51473263004698E-2"/>
    <n v="18200000"/>
    <n v="0.10996"/>
    <x v="3"/>
    <s v="Todo bien"/>
    <x v="0"/>
    <x v="5"/>
    <n v="720.98259061294891"/>
    <x v="1"/>
    <x v="1"/>
    <s v="Mediana"/>
    <x v="1"/>
    <n v="1655.147326300473"/>
  </r>
  <r>
    <s v="Signature Global Synera"/>
    <x v="1"/>
    <n v="6802"/>
    <n v="2"/>
    <x v="8"/>
    <x v="0"/>
    <s v=" Sector 81 Gurgaon"/>
    <n v="0"/>
    <n v="0"/>
    <n v="2"/>
    <n v="6"/>
    <n v="3"/>
    <x v="0"/>
    <n v="12"/>
    <n v="0"/>
    <n v="0"/>
    <n v="0"/>
    <n v="0"/>
    <n v="1550.0081579376733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791825932998E-3"/>
    <n v="5000000"/>
    <n v="6.8019999999999997E-2"/>
    <x v="1"/>
    <s v="Todo bien"/>
    <x v="0"/>
    <x v="5"/>
    <n v="320.20012562481384"/>
    <x v="0"/>
    <x v="2"/>
    <s v="Pequeña"/>
    <x v="0"/>
    <n v="735.07791825933555"/>
  </r>
  <r>
    <s v="Umang Winter Hills"/>
    <x v="119"/>
    <n v="5049"/>
    <n v="3"/>
    <x v="2"/>
    <x v="0"/>
    <s v=" Sector 77 Gurgaon"/>
    <n v="0"/>
    <n v="0"/>
    <n v="3"/>
    <n v="17"/>
    <n v="3"/>
    <x v="1"/>
    <n v="18"/>
    <n v="0"/>
    <n v="0"/>
    <n v="0"/>
    <n v="0"/>
    <n v="2117.2983273343211"/>
    <m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221429986135799E-2"/>
    <n v="9200000"/>
    <n v="5.049E-2"/>
    <x v="1"/>
    <s v="Todo bien"/>
    <x v="1"/>
    <x v="1"/>
    <n v="793.72594737175382"/>
    <x v="1"/>
    <x v="2"/>
    <s v="Pequeña"/>
    <x v="1"/>
    <n v="1822.1429986135868"/>
  </r>
  <r>
    <s v="Shree Vardhman Victoria"/>
    <x v="71"/>
    <n v="8461"/>
    <n v="3"/>
    <x v="5"/>
    <x v="0"/>
    <s v=" Sector 70 Gurgaon"/>
    <n v="0"/>
    <n v="0"/>
    <n v="4"/>
    <n v="1"/>
    <n v="3"/>
    <x v="1"/>
    <n v="14"/>
    <n v="1"/>
    <n v="0"/>
    <n v="0"/>
    <n v="0"/>
    <n v="1100.041511000415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1"/>
    <n v="1"/>
    <n v="1"/>
    <n v="0"/>
    <n v="0"/>
    <n v="0"/>
    <n v="1"/>
    <n v="1"/>
    <n v="1"/>
    <n v="0"/>
    <n v="2"/>
    <n v="1"/>
    <n v="1"/>
    <n v="0"/>
    <n v="0"/>
    <n v="0"/>
    <n v="0"/>
    <n v="0"/>
    <n v="1"/>
    <n v="1.9501240988062801E-2"/>
    <n v="16500000"/>
    <n v="8.4610000000000005E-2"/>
    <x v="3"/>
    <s v="Todo bien"/>
    <x v="2"/>
    <x v="5"/>
    <n v="849.47454672615208"/>
    <x v="1"/>
    <x v="0"/>
    <s v="Pequeña"/>
    <x v="1"/>
    <n v="1950.1240988062875"/>
  </r>
  <r>
    <s v="Capital Residences "/>
    <x v="8"/>
    <n v="7586"/>
    <n v="2"/>
    <x v="3"/>
    <x v="0"/>
    <s v=" Sector 70A Gurgaon"/>
    <n v="0"/>
    <n v="0"/>
    <n v="2"/>
    <n v="10"/>
    <n v="2"/>
    <x v="0"/>
    <n v="22"/>
    <n v="0"/>
    <n v="1"/>
    <n v="0"/>
    <n v="0"/>
    <n v="1450.0395465330873"/>
    <m/>
    <n v="14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395465330799E-2"/>
    <n v="11000000"/>
    <n v="7.5859999999999997E-2"/>
    <x v="2"/>
    <s v="Todo bien"/>
    <x v="0"/>
    <x v="0"/>
    <n v="631.63759028473191"/>
    <x v="1"/>
    <x v="2"/>
    <s v="Pequeña"/>
    <x v="1"/>
    <n v="1450.0395465330873"/>
  </r>
  <r>
    <s v="Capital Residences "/>
    <x v="46"/>
    <n v="7844"/>
    <n v="3"/>
    <x v="8"/>
    <x v="0"/>
    <s v=" Sector 70A Gurgaon"/>
    <n v="0"/>
    <n v="0"/>
    <n v="3"/>
    <n v="8"/>
    <n v="3"/>
    <x v="1"/>
    <n v="22"/>
    <n v="1"/>
    <n v="1"/>
    <n v="1"/>
    <n v="0"/>
    <n v="1370.0715481808495"/>
    <n v="1600"/>
    <n v="1976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9760326364099901E-2"/>
    <n v="15500000"/>
    <n v="7.8439999999999996E-2"/>
    <x v="3"/>
    <s v="Todo bien"/>
    <x v="0"/>
    <x v="1"/>
    <n v="860.76031220678021"/>
    <x v="1"/>
    <x v="2"/>
    <s v="Mediana"/>
    <x v="1"/>
    <n v="1976.0326364099949"/>
  </r>
  <r>
    <s v="BPTP Astaire Gardens"/>
    <x v="43"/>
    <n v="8771"/>
    <n v="3"/>
    <x v="3"/>
    <x v="0"/>
    <s v=" Sector 70A Gurgaon"/>
    <n v="0"/>
    <n v="0"/>
    <n v="3"/>
    <n v="1"/>
    <n v="2"/>
    <x v="1"/>
    <n v="3"/>
    <n v="0"/>
    <n v="0"/>
    <n v="0"/>
    <n v="0"/>
    <n v="2097.0873786407769"/>
    <n v="1300"/>
    <n v="14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251510660129901E-2"/>
    <n v="12500000"/>
    <n v="8.7709999999999996E-2"/>
    <x v="2"/>
    <s v="Todo bien"/>
    <x v="0"/>
    <x v="1"/>
    <n v="620.79616192566095"/>
    <x v="1"/>
    <x v="2"/>
    <s v="Mediana"/>
    <x v="1"/>
    <n v="1425.1510660129975"/>
  </r>
  <r>
    <s v="BPTP Astaire Gardens"/>
    <x v="26"/>
    <n v="8658"/>
    <n v="4"/>
    <x v="1"/>
    <x v="0"/>
    <s v=" Sector 70A Gurgaon"/>
    <n v="0"/>
    <n v="0"/>
    <n v="4"/>
    <n v="1"/>
    <n v="3"/>
    <x v="2"/>
    <n v="3"/>
    <n v="0"/>
    <n v="1"/>
    <n v="0"/>
    <n v="0"/>
    <n v="1999.9999999999998"/>
    <n v="1600"/>
    <n v="184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80018480018401E-2"/>
    <n v="16000000"/>
    <n v="8.6580000000000004E-2"/>
    <x v="3"/>
    <s v="Todo bien"/>
    <x v="0"/>
    <x v="1"/>
    <n v="804.99006865326521"/>
    <x v="1"/>
    <x v="2"/>
    <s v="Mediana"/>
    <x v="1"/>
    <n v="1848.001848001848"/>
  </r>
  <r>
    <s v="Shree Vardhman Victoria"/>
    <x v="81"/>
    <n v="8518"/>
    <n v="2"/>
    <x v="3"/>
    <x v="0"/>
    <s v=" Sector 70 Gurgaon"/>
    <n v="0"/>
    <n v="0"/>
    <n v="2"/>
    <n v="8"/>
    <n v="3"/>
    <x v="0"/>
    <n v="18"/>
    <n v="0"/>
    <n v="1"/>
    <n v="0"/>
    <n v="0"/>
    <n v="1350.0821789152383"/>
    <m/>
    <n v="1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8217891523E-2"/>
    <n v="11500000"/>
    <n v="8.5180000000000006E-2"/>
    <x v="2"/>
    <s v="Todo bien"/>
    <x v="0"/>
    <x v="1"/>
    <n v="588.09613587109288"/>
    <x v="1"/>
    <x v="2"/>
    <s v="Pequeña"/>
    <x v="1"/>
    <n v="1350.0821789152383"/>
  </r>
  <r>
    <s v="Shree Vardhman Victoria"/>
    <x v="26"/>
    <n v="8205"/>
    <n v="3"/>
    <x v="8"/>
    <x v="0"/>
    <s v=" Sector 70 Gurgaon"/>
    <n v="0"/>
    <n v="0"/>
    <n v="3"/>
    <n v="10"/>
    <n v="3"/>
    <x v="1"/>
    <n v="18"/>
    <n v="1"/>
    <n v="1"/>
    <n v="1"/>
    <n v="0"/>
    <n v="999.99999999999989"/>
    <m/>
    <n v="195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95003046922608E-2"/>
    <n v="16000000"/>
    <n v="8.2049999999999998E-2"/>
    <x v="3"/>
    <s v="Todo bien"/>
    <x v="0"/>
    <x v="1"/>
    <n v="849.43376165752522"/>
    <x v="1"/>
    <x v="0"/>
    <s v="Pequeña"/>
    <x v="1"/>
    <n v="1950.0304692260818"/>
  </r>
  <r>
    <s v="Bestech Park View Grand Spa"/>
    <x v="127"/>
    <n v="9523"/>
    <n v="4"/>
    <x v="0"/>
    <x v="0"/>
    <s v=" Sector 81 Gurgaon"/>
    <n v="0"/>
    <n v="0"/>
    <n v="5"/>
    <n v="15"/>
    <n v="3"/>
    <x v="2"/>
    <n v="29"/>
    <n v="1"/>
    <n v="0"/>
    <n v="0"/>
    <n v="0"/>
    <n v="4200.3570303475799"/>
    <m/>
    <n v="4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7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4.2003570303475797E-2"/>
    <n v="40000000"/>
    <n v="9.5229999999999995E-2"/>
    <x v="5"/>
    <s v="Todo bien"/>
    <x v="1"/>
    <x v="5"/>
    <n v="1829.6765762889847"/>
    <x v="3"/>
    <x v="3"/>
    <s v="Pequeña"/>
    <x v="3"/>
    <n v="4200.3570303475799"/>
  </r>
  <r>
    <s v="Bestech Park View Grand Spa"/>
    <x v="229"/>
    <n v="8345"/>
    <n v="3"/>
    <x v="3"/>
    <x v="0"/>
    <s v=" Sector 81 Gurgaon"/>
    <n v="0"/>
    <n v="0"/>
    <n v="4"/>
    <n v="15"/>
    <n v="3"/>
    <x v="1"/>
    <n v="19"/>
    <n v="1"/>
    <n v="0"/>
    <n v="0"/>
    <n v="0"/>
    <n v="2660.2756141402042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6602756141401999E-2"/>
    <n v="22200000.000000004"/>
    <n v="8.3449999999999996E-2"/>
    <x v="3"/>
    <s v="Todo bien"/>
    <x v="1"/>
    <x v="5"/>
    <n v="1158.8167249826229"/>
    <x v="1"/>
    <x v="3"/>
    <s v="Pequeña"/>
    <x v="2"/>
    <n v="2660.2756141402042"/>
  </r>
  <r>
    <s v="Bestech Park View Grand Spa"/>
    <x v="101"/>
    <n v="9419"/>
    <n v="4"/>
    <x v="8"/>
    <x v="0"/>
    <s v=" Sector 81 Gurgaon"/>
    <n v="0"/>
    <n v="0"/>
    <n v="5"/>
    <n v="6"/>
    <n v="2"/>
    <x v="2"/>
    <n v="19"/>
    <n v="1"/>
    <n v="0"/>
    <n v="0"/>
    <n v="0"/>
    <n v="3185.0514916657821"/>
    <m/>
    <n v="31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3.1850514916657802E-2"/>
    <n v="30000000"/>
    <n v="9.4189999999999996E-2"/>
    <x v="5"/>
    <s v="Todo bien"/>
    <x v="1"/>
    <x v="5"/>
    <n v="1387.4092288990332"/>
    <x v="1"/>
    <x v="3"/>
    <s v="Pequeña"/>
    <x v="3"/>
    <n v="3185.0514916657821"/>
  </r>
  <r>
    <s v="Vatika The Seven Lamps"/>
    <x v="50"/>
    <n v="5923"/>
    <n v="2"/>
    <x v="8"/>
    <x v="0"/>
    <s v=" Sector 82 Gurgaon"/>
    <n v="0"/>
    <n v="0"/>
    <n v="2"/>
    <n v="11"/>
    <n v="2"/>
    <x v="0"/>
    <n v="16"/>
    <n v="0"/>
    <n v="1"/>
    <n v="0"/>
    <n v="0"/>
    <n v="1688.3336147222692"/>
    <m/>
    <n v="1435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6883336147222601E-2"/>
    <n v="10000000"/>
    <n v="5.9229999999999998E-2"/>
    <x v="1"/>
    <s v="Todo bien"/>
    <x v="1"/>
    <x v="4"/>
    <n v="735.43854617592046"/>
    <x v="1"/>
    <x v="2"/>
    <s v="Pequeña"/>
    <x v="1"/>
    <n v="1688.3336147222692"/>
  </r>
  <r>
    <s v="Pioneer Araya"/>
    <x v="310"/>
    <n v="19500"/>
    <n v="5"/>
    <x v="2"/>
    <x v="0"/>
    <s v=" Sector 62 Gurgaon"/>
    <n v="0"/>
    <n v="0"/>
    <n v="7"/>
    <n v="10"/>
    <n v="3"/>
    <x v="4"/>
    <n v="34"/>
    <n v="1"/>
    <n v="0"/>
    <n v="0"/>
    <n v="0"/>
    <n v="5512.8205128205127"/>
    <m/>
    <n v="5514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5128205128205099E-2"/>
    <n v="107500000"/>
    <n v="0.19500000000000001"/>
    <x v="6"/>
    <s v="Todo bien"/>
    <x v="1"/>
    <x v="5"/>
    <n v="2401.3859985512809"/>
    <x v="3"/>
    <x v="3"/>
    <s v="Pequeña"/>
    <x v="3"/>
    <n v="5512.8205128205127"/>
  </r>
  <r>
    <s v="Pioneer Araya"/>
    <x v="311"/>
    <n v="19488"/>
    <n v="4"/>
    <x v="4"/>
    <x v="0"/>
    <s v=" Sector 62 Gurgaon"/>
    <n v="0"/>
    <n v="0"/>
    <n v="6"/>
    <n v="16"/>
    <n v="3"/>
    <x v="2"/>
    <n v="34"/>
    <n v="1"/>
    <n v="1"/>
    <n v="0"/>
    <n v="1"/>
    <n v="3123.0480949406624"/>
    <m/>
    <n v="469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900656814449902E-2"/>
    <n v="91400000"/>
    <n v="0.19488"/>
    <x v="6"/>
    <s v="Todo bien"/>
    <x v="1"/>
    <x v="5"/>
    <n v="2042.9937875749174"/>
    <x v="3"/>
    <x v="3"/>
    <s v="Pequeña"/>
    <x v="3"/>
    <n v="4690.0656814449922"/>
  </r>
  <r>
    <s v="Pioneer Araya"/>
    <x v="312"/>
    <n v="19513"/>
    <n v="4"/>
    <x v="4"/>
    <x v="0"/>
    <s v=" Sector 62 Gurgaon"/>
    <n v="0"/>
    <n v="0"/>
    <n v="6"/>
    <n v="16"/>
    <n v="3"/>
    <x v="2"/>
    <n v="34"/>
    <n v="1"/>
    <n v="0"/>
    <n v="1"/>
    <n v="0"/>
    <n v="4279.1984830625734"/>
    <m/>
    <n v="4279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791984830625698E-2"/>
    <n v="83500000"/>
    <n v="0.19513"/>
    <x v="6"/>
    <s v="Todo bien"/>
    <x v="1"/>
    <x v="4"/>
    <n v="1864.019932872955"/>
    <x v="3"/>
    <x v="3"/>
    <s v="Pequeña"/>
    <x v="3"/>
    <n v="4279.1984830625734"/>
  </r>
  <r>
    <s v="HSIIDC Sidco Shivalik Apartments"/>
    <x v="313"/>
    <n v="3560"/>
    <n v="3"/>
    <x v="8"/>
    <x v="5"/>
    <s v=" Sector 1 Imt Manesar"/>
    <n v="0"/>
    <n v="0"/>
    <n v="3"/>
    <n v="2"/>
    <n v="3"/>
    <x v="1"/>
    <n v="8"/>
    <n v="1"/>
    <n v="0"/>
    <n v="0"/>
    <n v="0"/>
    <n v="1400"/>
    <m/>
    <n v="20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5617977528E-2"/>
    <n v="7300000"/>
    <n v="3.56E-2"/>
    <x v="1"/>
    <s v="Todo bien"/>
    <x v="0"/>
    <x v="3"/>
    <n v="893.22523358707474"/>
    <x v="1"/>
    <x v="2"/>
    <s v="Pequeña"/>
    <x v="2"/>
    <n v="2050.5617977528091"/>
  </r>
  <r>
    <s v="IMT View Society"/>
    <x v="13"/>
    <n v="3653"/>
    <n v="3"/>
    <x v="3"/>
    <x v="5"/>
    <s v=" Sector 1 Imt Manesar"/>
    <n v="0"/>
    <n v="0"/>
    <n v="4"/>
    <n v="6"/>
    <n v="3"/>
    <x v="1"/>
    <n v="8"/>
    <n v="1"/>
    <n v="0"/>
    <n v="0"/>
    <n v="0"/>
    <n v="1900"/>
    <m/>
    <n v="26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60224473035E-2"/>
    <n v="9500000"/>
    <n v="3.653E-2"/>
    <x v="1"/>
    <s v="Todo bien"/>
    <x v="0"/>
    <x v="3"/>
    <n v="1132.8229902956436"/>
    <x v="1"/>
    <x v="2"/>
    <s v="Pequeña"/>
    <x v="2"/>
    <n v="2600.6022447303585"/>
  </r>
  <r>
    <s v="HSIIDC Sidco Shivalik Apartments"/>
    <x v="314"/>
    <n v="3840"/>
    <n v="2"/>
    <x v="8"/>
    <x v="5"/>
    <s v=" Sector 1 Imt Manesar"/>
    <n v="0"/>
    <n v="0"/>
    <n v="2"/>
    <n v="7"/>
    <n v="3"/>
    <x v="0"/>
    <n v="8"/>
    <n v="0"/>
    <n v="0"/>
    <n v="0"/>
    <n v="0"/>
    <n v="770"/>
    <m/>
    <n v="12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4800000"/>
    <n v="3.8399999999999997E-2"/>
    <x v="0"/>
    <s v="Todo bien"/>
    <x v="0"/>
    <x v="3"/>
    <n v="544.5003136250001"/>
    <x v="1"/>
    <x v="0"/>
    <s v="Pequeña"/>
    <x v="1"/>
    <n v="1250"/>
  </r>
  <r>
    <s v="HSIIDC Sidco Aravali"/>
    <x v="21"/>
    <n v="3323"/>
    <n v="3"/>
    <x v="8"/>
    <x v="5"/>
    <s v=" Sector 1 Imt Manesar"/>
    <n v="0"/>
    <n v="0"/>
    <n v="3"/>
    <n v="3"/>
    <n v="3"/>
    <x v="1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02287089978E-2"/>
    <n v="8600000"/>
    <n v="3.3230000000000003E-2"/>
    <x v="1"/>
    <s v="Todo bien"/>
    <x v="0"/>
    <x v="3"/>
    <n v="1127.3434118988826"/>
    <x v="1"/>
    <x v="2"/>
    <s v="Grande"/>
    <x v="2"/>
    <n v="2588.0228708997893"/>
  </r>
  <r>
    <s v="HSIIDC Sidco Aravali"/>
    <x v="315"/>
    <n v="3129"/>
    <n v="3"/>
    <x v="6"/>
    <x v="5"/>
    <s v=" Sector 1 Imt Manesar"/>
    <n v="0"/>
    <n v="0"/>
    <n v="3"/>
    <n v="2"/>
    <n v="3"/>
    <x v="1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6864813039302E-2"/>
    <n v="8100000"/>
    <n v="3.1289999999999998E-2"/>
    <x v="1"/>
    <s v="Todo bien"/>
    <x v="0"/>
    <x v="3"/>
    <n v="1127.6324807574301"/>
    <x v="1"/>
    <x v="2"/>
    <s v="Grande"/>
    <x v="2"/>
    <n v="2588.686481303931"/>
  </r>
  <r>
    <s v="MM Merlin"/>
    <x v="90"/>
    <n v="14167"/>
    <n v="3"/>
    <x v="0"/>
    <x v="0"/>
    <s v=" Sector 67 Gurgaon"/>
    <n v="0"/>
    <n v="0"/>
    <n v="3"/>
    <n v="0"/>
    <n v="3"/>
    <x v="1"/>
    <n v="21"/>
    <n v="0"/>
    <n v="0"/>
    <n v="0"/>
    <n v="0"/>
    <n v="2047.0106585727397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106585727298E-2"/>
    <n v="29000000"/>
    <n v="0.14166999999999999"/>
    <x v="5"/>
    <s v="Todo bien"/>
    <x v="1"/>
    <x v="1"/>
    <n v="891.67835646925539"/>
    <x v="1"/>
    <x v="2"/>
    <s v="Pequeña"/>
    <x v="2"/>
    <n v="2047.0106585727397"/>
  </r>
  <r>
    <s v="Signature Andour Heights"/>
    <x v="316"/>
    <n v="7400"/>
    <n v="1"/>
    <x v="2"/>
    <x v="0"/>
    <s v=" Sector 71 Gurgaon"/>
    <n v="0"/>
    <n v="0"/>
    <n v="1"/>
    <n v="2"/>
    <n v="2"/>
    <x v="3"/>
    <n v="4"/>
    <n v="0"/>
    <n v="0"/>
    <n v="0"/>
    <n v="0"/>
    <n v="366.48"/>
    <n v="425"/>
    <n v="500"/>
    <n v="0"/>
    <n v="1"/>
    <n v="0"/>
    <n v="0"/>
    <n v="0"/>
    <n v="0"/>
    <n v="0"/>
    <n v="1"/>
    <n v="0"/>
    <n v="1"/>
    <n v="1"/>
    <n v="1"/>
    <n v="0"/>
    <n v="0"/>
    <n v="1"/>
    <n v="0"/>
    <n v="0"/>
    <n v="26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5.0000000000000001E-3"/>
    <n v="3700000"/>
    <n v="7.3999999999999996E-2"/>
    <x v="0"/>
    <s v="Todo bien"/>
    <x v="1"/>
    <x v="1"/>
    <n v="217.80012545000002"/>
    <x v="0"/>
    <x v="1"/>
    <s v="Pequeña"/>
    <x v="0"/>
    <n v="500"/>
  </r>
  <r>
    <s v="Signature Andour Heights"/>
    <x v="99"/>
    <n v="8428"/>
    <n v="2"/>
    <x v="2"/>
    <x v="5"/>
    <s v=" Sector 71 Gurgaon"/>
    <n v="0"/>
    <n v="0"/>
    <n v="2"/>
    <n v="6"/>
    <n v="1"/>
    <x v="0"/>
    <n v="12"/>
    <n v="0"/>
    <n v="0"/>
    <n v="0"/>
    <n v="0"/>
    <n v="540.89"/>
    <n v="639"/>
    <n v="700"/>
    <n v="0"/>
    <n v="0"/>
    <n v="0"/>
    <n v="0"/>
    <n v="0"/>
    <n v="0"/>
    <n v="0"/>
    <n v="1"/>
    <n v="0"/>
    <n v="1"/>
    <n v="1"/>
    <n v="1"/>
    <n v="1"/>
    <n v="1"/>
    <n v="1"/>
    <n v="0"/>
    <n v="1"/>
    <n v="20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7.0004746084479999E-3"/>
    <n v="5900000"/>
    <n v="8.4279999999999994E-2"/>
    <x v="1"/>
    <s v="Todo bien"/>
    <x v="1"/>
    <x v="0"/>
    <n v="304.94084958590281"/>
    <x v="0"/>
    <x v="1"/>
    <s v="Pequeña"/>
    <x v="0"/>
    <n v="700.04746084480314"/>
  </r>
  <r>
    <s v="Signature Andour Heights"/>
    <x v="91"/>
    <n v="10000"/>
    <n v="2"/>
    <x v="6"/>
    <x v="0"/>
    <s v=" Sector 71 Gurgaon"/>
    <n v="0"/>
    <n v="0"/>
    <n v="2"/>
    <n v="5"/>
    <n v="1"/>
    <x v="0"/>
    <n v="12"/>
    <n v="0"/>
    <n v="0"/>
    <n v="1"/>
    <n v="0"/>
    <n v="514"/>
    <m/>
    <n v="600"/>
    <n v="0"/>
    <n v="1"/>
    <n v="1"/>
    <n v="0"/>
    <n v="0"/>
    <n v="0"/>
    <n v="0"/>
    <n v="1"/>
    <n v="0"/>
    <n v="1"/>
    <n v="1"/>
    <n v="1"/>
    <n v="1"/>
    <n v="0"/>
    <n v="1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x v="1"/>
    <s v="Todo bien"/>
    <x v="0"/>
    <x v="3"/>
    <n v="261.36015054000001"/>
    <x v="0"/>
    <x v="1"/>
    <s v="Pequeña"/>
    <x v="0"/>
    <n v="600"/>
  </r>
  <r>
    <s v="Signature Andour Heights"/>
    <x v="316"/>
    <n v="8222"/>
    <n v="1"/>
    <x v="2"/>
    <x v="0"/>
    <s v=" Sector 71 Gurgaon"/>
    <n v="0"/>
    <n v="0"/>
    <n v="1"/>
    <n v="2"/>
    <n v="2"/>
    <x v="3"/>
    <n v="4"/>
    <n v="0"/>
    <n v="0"/>
    <n v="0"/>
    <n v="0"/>
    <n v="366.48"/>
    <n v="450"/>
    <m/>
    <n v="1"/>
    <n v="1"/>
    <n v="1"/>
    <n v="0"/>
    <n v="0"/>
    <n v="0"/>
    <n v="1"/>
    <n v="1"/>
    <n v="0"/>
    <n v="1"/>
    <n v="1"/>
    <n v="1"/>
    <n v="1"/>
    <n v="0"/>
    <n v="0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1216249086996E-3"/>
    <n v="3700000"/>
    <n v="8.2220000000000001E-2"/>
    <x v="0"/>
    <s v="Todo bien"/>
    <x v="0"/>
    <x v="3"/>
    <n v="196.02541088907455"/>
    <x v="0"/>
    <x v="1"/>
    <s v="Pequeña"/>
    <x v="0"/>
    <n v="450.0121624908781"/>
  </r>
  <r>
    <s v="MM Woodshire"/>
    <x v="15"/>
    <n v="6588"/>
    <n v="2"/>
    <x v="1"/>
    <x v="0"/>
    <s v=" Sector 107 Gurgaon"/>
    <n v="0"/>
    <n v="0"/>
    <n v="2"/>
    <n v="4"/>
    <n v="3"/>
    <x v="0"/>
    <n v="14"/>
    <n v="0"/>
    <n v="0"/>
    <n v="0"/>
    <n v="0"/>
    <n v="1366.1202185792351"/>
    <m/>
    <n v="1366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x v="1"/>
    <s v="Todo bien"/>
    <x v="0"/>
    <x v="0"/>
    <n v="595.08230997267549"/>
    <x v="1"/>
    <x v="2"/>
    <s v="Pequeña"/>
    <x v="1"/>
    <n v="1366.1202185792351"/>
  </r>
  <r>
    <s v="Shree Vardhman Victoria"/>
    <x v="300"/>
    <n v="14254"/>
    <n v="3"/>
    <x v="5"/>
    <x v="0"/>
    <s v=" Sector 70 Gurgaon"/>
    <n v="0"/>
    <n v="0"/>
    <n v="5"/>
    <n v="8"/>
    <n v="3"/>
    <x v="1"/>
    <n v="18"/>
    <n v="1"/>
    <n v="0"/>
    <n v="0"/>
    <n v="0"/>
    <n v="1161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45853795425799E-2"/>
    <n v="16600000"/>
    <n v="0.14254"/>
    <x v="3"/>
    <s v="Todo bien"/>
    <x v="0"/>
    <x v="5"/>
    <n v="507.29368352321956"/>
    <x v="1"/>
    <x v="0"/>
    <s v="Pequeña"/>
    <x v="1"/>
    <n v="1164.5853795425846"/>
  </r>
  <r>
    <s v="DLF New Town Heights "/>
    <x v="6"/>
    <n v="7334"/>
    <n v="4"/>
    <x v="4"/>
    <x v="5"/>
    <s v=" Sector 90 Gurgaon"/>
    <n v="0"/>
    <n v="0"/>
    <n v="4"/>
    <n v="20"/>
    <n v="3"/>
    <x v="2"/>
    <n v="28"/>
    <n v="1"/>
    <n v="0"/>
    <n v="0"/>
    <n v="0"/>
    <n v="2727.0248159258249"/>
    <m/>
    <n v="272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248159258201E-2"/>
    <n v="20000000"/>
    <n v="7.3340000000000002E-2"/>
    <x v="3"/>
    <s v="Todo bien"/>
    <x v="0"/>
    <x v="1"/>
    <n v="1187.8926940278136"/>
    <x v="1"/>
    <x v="3"/>
    <s v="Pequeña"/>
    <x v="2"/>
    <n v="2727.0248159258249"/>
  </r>
  <r>
    <s v="Shree Vardhman Victoria"/>
    <x v="136"/>
    <n v="14384"/>
    <n v="3"/>
    <x v="2"/>
    <x v="5"/>
    <s v=" Sector 70 Gurgaon"/>
    <n v="0"/>
    <n v="0"/>
    <n v="5"/>
    <n v="5"/>
    <n v="3"/>
    <x v="1"/>
    <n v="18"/>
    <n v="1"/>
    <n v="0"/>
    <n v="0"/>
    <n v="0"/>
    <n v="1161"/>
    <m/>
    <n v="19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101223581757E-2"/>
    <n v="16700000"/>
    <n v="0.14384"/>
    <x v="3"/>
    <s v="Todo bien"/>
    <x v="1"/>
    <x v="5"/>
    <n v="505.73722122010349"/>
    <x v="1"/>
    <x v="0"/>
    <s v="Pequeña"/>
    <x v="1"/>
    <n v="1161.0122358175752"/>
  </r>
  <r>
    <s v="Shree Vardhman Victoria"/>
    <x v="8"/>
    <n v="8461"/>
    <n v="2"/>
    <x v="2"/>
    <x v="0"/>
    <s v=" Sector 70 Gurgaon"/>
    <n v="0"/>
    <n v="0"/>
    <n v="2"/>
    <n v="8"/>
    <n v="2"/>
    <x v="0"/>
    <n v="18"/>
    <n v="0"/>
    <n v="0"/>
    <n v="0"/>
    <n v="0"/>
    <n v="1300"/>
    <m/>
    <m/>
    <n v="1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x v="2"/>
    <s v="Todo bien"/>
    <x v="1"/>
    <x v="4"/>
    <n v="566.31636448410131"/>
    <x v="1"/>
    <x v="2"/>
    <s v="Pequeña"/>
    <x v="0"/>
    <n v="1300.0827325375251"/>
  </r>
  <r>
    <s v="Shree Vardhman Victoria"/>
    <x v="26"/>
    <n v="8205"/>
    <n v="3"/>
    <x v="5"/>
    <x v="0"/>
    <s v=" Sector 70 Gurgaon"/>
    <n v="0"/>
    <n v="0"/>
    <n v="5"/>
    <n v="6"/>
    <n v="3"/>
    <x v="1"/>
    <n v="18"/>
    <n v="1"/>
    <n v="0"/>
    <n v="0"/>
    <n v="0"/>
    <n v="1161"/>
    <m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3046922608E-2"/>
    <n v="16000000"/>
    <n v="8.2049999999999998E-2"/>
    <x v="3"/>
    <s v="Todo bien"/>
    <x v="1"/>
    <x v="5"/>
    <n v="849.43376165752522"/>
    <x v="1"/>
    <x v="0"/>
    <s v="Pequeña"/>
    <x v="1"/>
    <n v="1950.0304692260818"/>
  </r>
  <r>
    <s v="Shree Vardhman Victoria"/>
    <x v="146"/>
    <n v="7925"/>
    <n v="2"/>
    <x v="5"/>
    <x v="0"/>
    <s v=" Sector 70 Gurgaon"/>
    <n v="0"/>
    <n v="0"/>
    <n v="2"/>
    <n v="8"/>
    <n v="3"/>
    <x v="0"/>
    <n v="18"/>
    <n v="0"/>
    <n v="1"/>
    <n v="0"/>
    <n v="0"/>
    <n v="1350.1577287066245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5772870662E-2"/>
    <n v="10700000"/>
    <n v="7.9250000000000001E-2"/>
    <x v="2"/>
    <s v="Todo bien"/>
    <x v="0"/>
    <x v="5"/>
    <n v="588.1290453791778"/>
    <x v="1"/>
    <x v="2"/>
    <s v="Pequeña"/>
    <x v="1"/>
    <n v="1350.1577287066245"/>
  </r>
  <r>
    <s v="Tulip Violet"/>
    <x v="184"/>
    <n v="8756"/>
    <n v="4"/>
    <x v="5"/>
    <x v="0"/>
    <s v=" Sector 69 Gurgaon"/>
    <n v="0"/>
    <n v="0"/>
    <n v="4"/>
    <n v="6"/>
    <n v="2"/>
    <x v="2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1005025125628E-2"/>
    <n v="17600000"/>
    <n v="8.7559999999999999E-2"/>
    <x v="3"/>
    <s v="Todo bien"/>
    <x v="1"/>
    <x v="5"/>
    <n v="875.57839376884374"/>
    <x v="1"/>
    <x v="2"/>
    <s v="Pequeña"/>
    <x v="2"/>
    <n v="2010.0502512562814"/>
  </r>
  <r>
    <s v="Tulip Violet"/>
    <x v="46"/>
    <n v="9822"/>
    <n v="3"/>
    <x v="2"/>
    <x v="0"/>
    <s v=" Sector 69 Gurgaon"/>
    <n v="0"/>
    <n v="0"/>
    <n v="3"/>
    <n v="5"/>
    <n v="2"/>
    <x v="1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9000203624E-2"/>
    <n v="15500000"/>
    <n v="9.8220000000000002E-2"/>
    <x v="3"/>
    <s v="Todo bien"/>
    <x v="0"/>
    <x v="5"/>
    <n v="687.41640082976767"/>
    <x v="1"/>
    <x v="2"/>
    <s v="Pequeña"/>
    <x v="1"/>
    <n v="1578.0900020362451"/>
  </r>
  <r>
    <s v="Krrish Provence Estate"/>
    <x v="145"/>
    <n v="9482"/>
    <n v="4"/>
    <x v="4"/>
    <x v="2"/>
    <s v=" Gwal Pahari"/>
    <n v="0"/>
    <n v="0"/>
    <n v="5"/>
    <n v="11"/>
    <n v="3"/>
    <x v="2"/>
    <n v="26"/>
    <n v="1"/>
    <n v="1"/>
    <n v="1"/>
    <n v="0"/>
    <n v="5800.4640371229698"/>
    <m/>
    <n v="58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5000000"/>
    <n v="9.4820000000000002E-2"/>
    <x v="4"/>
    <s v="Todo bien"/>
    <x v="0"/>
    <x v="5"/>
    <n v="2526.6835899071884"/>
    <x v="2"/>
    <x v="3"/>
    <s v="Pequeña"/>
    <x v="3"/>
    <n v="5800.4640371229698"/>
  </r>
  <r>
    <s v="Conscient Habitat"/>
    <x v="254"/>
    <n v="5599"/>
    <n v="2"/>
    <x v="6"/>
    <x v="0"/>
    <s v=" Sector 99A Gurgaon"/>
    <n v="0"/>
    <n v="0"/>
    <n v="2"/>
    <n v="8"/>
    <n v="1"/>
    <x v="0"/>
    <n v="12"/>
    <n v="0"/>
    <n v="0"/>
    <n v="0"/>
    <n v="0"/>
    <n v="4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401500267904003E-3"/>
    <n v="2710000"/>
    <n v="5.5989999999999998E-2"/>
    <x v="0"/>
    <s v="Todo bien"/>
    <x v="0"/>
    <x v="1"/>
    <n v="210.83705660635403"/>
    <x v="0"/>
    <x v="1"/>
    <s v="Pequeña"/>
    <x v="0"/>
    <n v="484.01500267904987"/>
  </r>
  <r>
    <s v="Prime Habitat"/>
    <x v="317"/>
    <n v="4745"/>
    <n v="2"/>
    <x v="2"/>
    <x v="0"/>
    <s v=" Sector 99A Gurgaon"/>
    <n v="0"/>
    <n v="0"/>
    <n v="2"/>
    <n v="6"/>
    <n v="1"/>
    <x v="0"/>
    <n v="12"/>
    <n v="0"/>
    <n v="0"/>
    <n v="0"/>
    <n v="0"/>
    <n v="550"/>
    <m/>
    <m/>
    <n v="0"/>
    <n v="1"/>
    <n v="1"/>
    <n v="1"/>
    <n v="0"/>
    <n v="0"/>
    <n v="0"/>
    <n v="1"/>
    <n v="1"/>
    <n v="1"/>
    <n v="1"/>
    <n v="1"/>
    <n v="1"/>
    <n v="1"/>
    <n v="1"/>
    <n v="0"/>
    <n v="0"/>
    <n v="4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005268703897997E-3"/>
    <n v="2610000"/>
    <n v="4.7449999999999999E-2"/>
    <x v="0"/>
    <s v="Todo bien"/>
    <x v="0"/>
    <x v="4"/>
    <n v="239.60308848239887"/>
    <x v="0"/>
    <x v="1"/>
    <s v="Pequeña"/>
    <x v="0"/>
    <n v="550.05268703898844"/>
  </r>
  <r>
    <s v="Shapoorji Pallonji Joyville Gurugram"/>
    <x v="43"/>
    <n v="9876"/>
    <n v="2"/>
    <x v="4"/>
    <x v="0"/>
    <s v=" Sector 102 Gurgaon"/>
    <n v="0"/>
    <n v="0"/>
    <n v="2"/>
    <n v="0"/>
    <n v="2"/>
    <x v="0"/>
    <n v="26"/>
    <n v="0"/>
    <n v="0"/>
    <n v="0"/>
    <n v="0"/>
    <n v="1265.6946132037262"/>
    <m/>
    <n v="121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56946132037199E-2"/>
    <n v="12500000"/>
    <n v="9.8760000000000001E-2"/>
    <x v="2"/>
    <s v="Todo bien"/>
    <x v="0"/>
    <x v="5"/>
    <n v="551.33689107431894"/>
    <x v="1"/>
    <x v="2"/>
    <s v="Pequeña"/>
    <x v="1"/>
    <n v="1265.6946132037262"/>
  </r>
  <r>
    <s v="Conscient Heritage Max"/>
    <x v="69"/>
    <n v="9772"/>
    <n v="3"/>
    <x v="4"/>
    <x v="0"/>
    <s v=" Sector 102 Gurgaon"/>
    <n v="0"/>
    <n v="0"/>
    <n v="4"/>
    <n v="10"/>
    <n v="3"/>
    <x v="1"/>
    <n v="25"/>
    <n v="1"/>
    <n v="1"/>
    <n v="0"/>
    <n v="0"/>
    <n v="2148.997134670487"/>
    <m/>
    <n v="2149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899713467048E-2"/>
    <n v="21000000"/>
    <n v="9.7720000000000001E-2"/>
    <x v="3"/>
    <s v="Todo bien"/>
    <x v="0"/>
    <x v="1"/>
    <n v="936.1036910458422"/>
    <x v="1"/>
    <x v="2"/>
    <s v="Pequeña"/>
    <x v="2"/>
    <n v="2148.997134670487"/>
  </r>
  <r>
    <s v="Paras Dews"/>
    <x v="13"/>
    <n v="6859"/>
    <n v="2"/>
    <x v="5"/>
    <x v="0"/>
    <s v=" Sector 106 Gurgaon"/>
    <n v="0"/>
    <n v="0"/>
    <n v="2"/>
    <n v="2"/>
    <n v="3"/>
    <x v="0"/>
    <n v="8"/>
    <n v="0"/>
    <n v="0"/>
    <n v="0"/>
    <n v="0"/>
    <n v="845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x v="1"/>
    <s v="Todo bien"/>
    <x v="0"/>
    <x v="1"/>
    <n v="603.32444722991374"/>
    <x v="1"/>
    <x v="0"/>
    <s v="Mediana"/>
    <x v="1"/>
    <n v="1385.0415512465374"/>
  </r>
  <r>
    <s v="Paras Dews"/>
    <x v="119"/>
    <n v="6642"/>
    <n v="2"/>
    <x v="4"/>
    <x v="0"/>
    <s v=" Sector 106 Gurgaon"/>
    <n v="0"/>
    <n v="0"/>
    <n v="2"/>
    <n v="2"/>
    <n v="3"/>
    <x v="0"/>
    <n v="8"/>
    <n v="0"/>
    <n v="0"/>
    <n v="0"/>
    <n v="0"/>
    <n v="845"/>
    <n v="94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249623607301E-2"/>
    <n v="9200000"/>
    <n v="6.6420000000000007E-2"/>
    <x v="1"/>
    <s v="Todo bien"/>
    <x v="0"/>
    <x v="5"/>
    <n v="603.36078113218707"/>
    <x v="1"/>
    <x v="0"/>
    <s v="Mediana"/>
    <x v="1"/>
    <n v="1385.1249623607346"/>
  </r>
  <r>
    <s v="Paras Dews"/>
    <x v="43"/>
    <n v="7102"/>
    <n v="3"/>
    <x v="2"/>
    <x v="0"/>
    <s v=" Sector 106 Gurgaon"/>
    <n v="0"/>
    <n v="0"/>
    <n v="4"/>
    <n v="5"/>
    <n v="3"/>
    <x v="1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675865953201E-2"/>
    <n v="12500000"/>
    <n v="7.102E-2"/>
    <x v="2"/>
    <s v="Todo bien"/>
    <x v="0"/>
    <x v="5"/>
    <n v="766.68588232187892"/>
    <x v="1"/>
    <x v="0"/>
    <s v="Mediana"/>
    <x v="1"/>
    <n v="1760.0675865953253"/>
  </r>
  <r>
    <s v="Paras Dews"/>
    <x v="147"/>
    <n v="9255"/>
    <n v="2"/>
    <x v="2"/>
    <x v="2"/>
    <s v=" Sector 106 Gurgaon"/>
    <n v="0"/>
    <n v="0"/>
    <n v="2"/>
    <n v="1"/>
    <n v="3"/>
    <x v="0"/>
    <n v="8"/>
    <n v="0"/>
    <n v="0"/>
    <n v="0"/>
    <n v="0"/>
    <n v="940"/>
    <n v="112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003241491084997E-3"/>
    <n v="8700000"/>
    <n v="9.2549999999999993E-2"/>
    <x v="1"/>
    <s v="Todo bien"/>
    <x v="0"/>
    <x v="5"/>
    <n v="409.4783557892992"/>
    <x v="0"/>
    <x v="0"/>
    <s v="Mediana"/>
    <x v="1"/>
    <n v="940.03241491085907"/>
  </r>
  <r>
    <s v="Paras Dews"/>
    <x v="56"/>
    <n v="6818"/>
    <n v="3"/>
    <x v="2"/>
    <x v="0"/>
    <s v=" Sector 106 Gurgaon"/>
    <n v="0"/>
    <n v="0"/>
    <n v="4"/>
    <n v="9"/>
    <n v="3"/>
    <x v="1"/>
    <n v="24"/>
    <n v="1"/>
    <n v="0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469345849201E-2"/>
    <n v="12000000"/>
    <n v="6.8180000000000004E-2"/>
    <x v="2"/>
    <s v="Todo bien"/>
    <x v="0"/>
    <x v="5"/>
    <n v="766.67688630096711"/>
    <x v="1"/>
    <x v="0"/>
    <s v="Mediana"/>
    <x v="1"/>
    <n v="1760.0469345849222"/>
  </r>
  <r>
    <s v="Ramprastha The Edge Towers"/>
    <x v="42"/>
    <n v="8888"/>
    <n v="2"/>
    <x v="3"/>
    <x v="0"/>
    <s v=" Sector 37D Gurgaon"/>
    <n v="0"/>
    <n v="0"/>
    <n v="2"/>
    <n v="10"/>
    <n v="3"/>
    <x v="0"/>
    <n v="19"/>
    <n v="0"/>
    <n v="0"/>
    <n v="0"/>
    <n v="0"/>
    <n v="900"/>
    <n v="1310"/>
    <n v="13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x v="1"/>
    <s v="Todo bien"/>
    <x v="0"/>
    <x v="5"/>
    <n v="392.07943375337533"/>
    <x v="0"/>
    <x v="0"/>
    <s v="Mediana"/>
    <x v="1"/>
    <n v="900.09000900090007"/>
  </r>
  <r>
    <s v="Ramprastha The Edge Towers"/>
    <x v="187"/>
    <n v="5536"/>
    <n v="3"/>
    <x v="2"/>
    <x v="0"/>
    <s v=" Sector 37D Gurgaon"/>
    <n v="0"/>
    <n v="0"/>
    <n v="3"/>
    <n v="5"/>
    <n v="3"/>
    <x v="1"/>
    <n v="19"/>
    <n v="0"/>
    <n v="0"/>
    <n v="1"/>
    <n v="0"/>
    <n v="1400"/>
    <n v="1675"/>
    <n v="17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312138728301E-2"/>
    <n v="9800000"/>
    <n v="5.5359999999999999E-2"/>
    <x v="1"/>
    <s v="Todo bien"/>
    <x v="0"/>
    <x v="5"/>
    <n v="771.11316091401636"/>
    <x v="1"/>
    <x v="2"/>
    <s v="Mediana"/>
    <x v="1"/>
    <n v="1770.2312138728323"/>
  </r>
  <r>
    <s v="La Vida by Tata Housing"/>
    <x v="98"/>
    <n v="10344"/>
    <n v="2"/>
    <x v="2"/>
    <x v="0"/>
    <s v=" Sector 113 Gurgaon"/>
    <n v="0"/>
    <n v="0"/>
    <n v="2"/>
    <n v="3"/>
    <n v="2"/>
    <x v="0"/>
    <n v="13"/>
    <n v="0"/>
    <n v="0"/>
    <n v="0"/>
    <n v="0"/>
    <n v="1099"/>
    <n v="1199"/>
    <n v="12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7610208816705E-2"/>
    <n v="13200000"/>
    <n v="0.10344"/>
    <x v="2"/>
    <s v="Todo bien"/>
    <x v="0"/>
    <x v="1"/>
    <n v="555.87038977958093"/>
    <x v="1"/>
    <x v="0"/>
    <s v="Mediana"/>
    <x v="1"/>
    <n v="1276.1020881670534"/>
  </r>
  <r>
    <s v="Shri Banke Bihari Society"/>
    <x v="12"/>
    <n v="6750"/>
    <n v="3"/>
    <x v="4"/>
    <x v="1"/>
    <s v=" Sector 56 Gurgaon"/>
    <n v="0"/>
    <n v="0"/>
    <n v="3"/>
    <n v="5"/>
    <n v="3"/>
    <x v="1"/>
    <n v="8"/>
    <n v="0"/>
    <n v="0"/>
    <n v="0"/>
    <n v="0"/>
    <n v="1600"/>
    <n v="1800"/>
    <n v="20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0.02"/>
    <n v="13500000"/>
    <n v="6.7500000000000004E-2"/>
    <x v="2"/>
    <s v="Todo bien"/>
    <x v="1"/>
    <x v="3"/>
    <n v="871.2005018000001"/>
    <x v="1"/>
    <x v="2"/>
    <s v="Mediana"/>
    <x v="1"/>
    <n v="1999.9999999999998"/>
  </r>
  <r>
    <s v="Puri Diplomatic Greens"/>
    <x v="129"/>
    <n v="11694"/>
    <n v="4"/>
    <x v="2"/>
    <x v="0"/>
    <s v=" Sector 111 Gurgaon"/>
    <n v="0"/>
    <n v="0"/>
    <n v="5"/>
    <n v="9"/>
    <n v="3"/>
    <x v="2"/>
    <n v="21"/>
    <n v="1"/>
    <n v="0"/>
    <n v="0"/>
    <n v="0"/>
    <n v="2950.2308876346842"/>
    <m/>
    <n v="2950"/>
    <n v="0"/>
    <n v="0"/>
    <n v="0"/>
    <n v="1"/>
    <n v="1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x v="5"/>
    <s v="Todo bien"/>
    <x v="0"/>
    <x v="3"/>
    <n v="1285.1213148665963"/>
    <x v="1"/>
    <x v="3"/>
    <s v="Pequeña"/>
    <x v="2"/>
    <n v="2950.2308876346842"/>
  </r>
  <r>
    <s v="Bestech Park View Grand Spa"/>
    <x v="92"/>
    <n v="9022"/>
    <n v="3"/>
    <x v="5"/>
    <x v="2"/>
    <s v=" Sector 81 Gurgaon"/>
    <n v="0"/>
    <n v="0"/>
    <n v="4"/>
    <n v="8"/>
    <n v="3"/>
    <x v="1"/>
    <n v="19"/>
    <n v="1"/>
    <n v="1"/>
    <n v="0"/>
    <n v="0"/>
    <n v="2660.1640434493461"/>
    <m/>
    <n v="26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601640434493399E-2"/>
    <n v="24000000"/>
    <n v="9.0219999999999995E-2"/>
    <x v="3"/>
    <s v="Todo bien"/>
    <x v="1"/>
    <x v="5"/>
    <n v="1158.7681247616911"/>
    <x v="1"/>
    <x v="3"/>
    <s v="Pequeña"/>
    <x v="2"/>
    <n v="2660.1640434493461"/>
  </r>
  <r>
    <s v="DLF The Ultima"/>
    <x v="129"/>
    <n v="12012"/>
    <n v="4"/>
    <x v="4"/>
    <x v="2"/>
    <s v=" Sector 81 Gurgaon"/>
    <n v="0"/>
    <n v="0"/>
    <n v="4"/>
    <n v="10"/>
    <n v="3"/>
    <x v="2"/>
    <n v="28"/>
    <n v="1"/>
    <n v="0"/>
    <n v="0"/>
    <n v="0"/>
    <n v="2872.1278721278718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1278721278699E-2"/>
    <n v="34500000"/>
    <n v="0.12012"/>
    <x v="5"/>
    <s v="Todo bien"/>
    <x v="2"/>
    <x v="5"/>
    <n v="1251.0996217157833"/>
    <x v="1"/>
    <x v="3"/>
    <s v="Pequeña"/>
    <x v="2"/>
    <n v="2872.1278721278718"/>
  </r>
  <r>
    <s v="DLF The Ultima"/>
    <x v="39"/>
    <n v="10553"/>
    <n v="3"/>
    <x v="2"/>
    <x v="0"/>
    <s v=" Sector 81 Gurgaon"/>
    <n v="0"/>
    <n v="0"/>
    <n v="3"/>
    <n v="15"/>
    <n v="3"/>
    <x v="1"/>
    <n v="29"/>
    <n v="1"/>
    <n v="0"/>
    <n v="0"/>
    <n v="0"/>
    <n v="2132.0951388230833"/>
    <m/>
    <n v="213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x v="3"/>
    <s v="Todo bien"/>
    <x v="2"/>
    <x v="5"/>
    <n v="928.74117741400403"/>
    <x v="1"/>
    <x v="2"/>
    <s v="Pequeña"/>
    <x v="2"/>
    <n v="2132.0951388230833"/>
  </r>
  <r>
    <s v="Corona Optus"/>
    <x v="43"/>
    <n v="7175"/>
    <n v="3"/>
    <x v="7"/>
    <x v="0"/>
    <s v=" Sector 37C Gurgaon"/>
    <n v="0"/>
    <n v="0"/>
    <n v="3"/>
    <n v="2"/>
    <n v="3"/>
    <x v="1"/>
    <n v="10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216027874564E-2"/>
    <n v="12500000"/>
    <n v="7.1749999999999994E-2"/>
    <x v="2"/>
    <s v="Todo bien"/>
    <x v="0"/>
    <x v="1"/>
    <n v="758.88545452961478"/>
    <x v="1"/>
    <x v="2"/>
    <s v="Pequeña"/>
    <x v="1"/>
    <n v="1742.1602787456447"/>
  </r>
  <r>
    <s v="Corona Optus"/>
    <x v="260"/>
    <n v="7185"/>
    <n v="3"/>
    <x v="5"/>
    <x v="0"/>
    <s v=" Sector 37C Gurgaon"/>
    <n v="0"/>
    <n v="0"/>
    <n v="3"/>
    <n v="2"/>
    <n v="3"/>
    <x v="1"/>
    <n v="10"/>
    <n v="1"/>
    <n v="0"/>
    <n v="0"/>
    <n v="0"/>
    <n v="168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x v="2"/>
    <s v="Todo bien"/>
    <x v="0"/>
    <x v="1"/>
    <n v="866.95665801948121"/>
    <x v="1"/>
    <x v="2"/>
    <s v="Pequeña"/>
    <x v="1"/>
    <n v="1990.257480862909"/>
  </r>
  <r>
    <s v="Corona Optus"/>
    <x v="143"/>
    <n v="7231"/>
    <n v="3"/>
    <x v="8"/>
    <x v="0"/>
    <s v=" Sector 37C Gurgaon"/>
    <n v="0"/>
    <n v="0"/>
    <n v="3"/>
    <n v="2"/>
    <n v="3"/>
    <x v="1"/>
    <n v="14"/>
    <n v="0"/>
    <n v="0"/>
    <n v="0"/>
    <n v="0"/>
    <n v="1756.3269257364127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3269257364102E-2"/>
    <n v="12700000"/>
    <n v="7.2309999999999999E-2"/>
    <x v="2"/>
    <s v="Todo bien"/>
    <x v="0"/>
    <x v="1"/>
    <n v="765.05644951320596"/>
    <x v="1"/>
    <x v="2"/>
    <s v="Pequeña"/>
    <x v="1"/>
    <n v="1756.3269257364127"/>
  </r>
  <r>
    <s v="Corona Optus"/>
    <x v="260"/>
    <n v="7185"/>
    <n v="3"/>
    <x v="7"/>
    <x v="0"/>
    <s v=" Sector 37C Gurgaon"/>
    <n v="0"/>
    <n v="0"/>
    <n v="3"/>
    <n v="2"/>
    <n v="3"/>
    <x v="1"/>
    <n v="14"/>
    <n v="1"/>
    <n v="1"/>
    <n v="0"/>
    <n v="0"/>
    <n v="17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x v="2"/>
    <s v="Todo bien"/>
    <x v="0"/>
    <x v="1"/>
    <n v="866.95665801948121"/>
    <x v="1"/>
    <x v="2"/>
    <s v="Pequeña"/>
    <x v="1"/>
    <n v="1990.257480862909"/>
  </r>
  <r>
    <s v="Corona Optus"/>
    <x v="43"/>
    <n v="8928"/>
    <n v="3"/>
    <x v="3"/>
    <x v="0"/>
    <s v=" Sector 37C Gurgaon"/>
    <n v="0"/>
    <n v="0"/>
    <n v="3"/>
    <n v="2"/>
    <n v="3"/>
    <x v="1"/>
    <n v="14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896057347599E-2"/>
    <n v="12500000"/>
    <n v="8.9279999999999998E-2"/>
    <x v="2"/>
    <s v="Todo bien"/>
    <x v="0"/>
    <x v="1"/>
    <n v="609.87938354054359"/>
    <x v="1"/>
    <x v="2"/>
    <s v="Pequeña"/>
    <x v="1"/>
    <n v="1400.089605734767"/>
  </r>
  <r>
    <s v="Corona Optus"/>
    <x v="276"/>
    <n v="7236"/>
    <n v="3"/>
    <x v="7"/>
    <x v="0"/>
    <s v=" Sector 37C Gurgaon"/>
    <n v="0"/>
    <n v="0"/>
    <n v="3"/>
    <n v="2"/>
    <n v="3"/>
    <x v="1"/>
    <n v="14"/>
    <n v="1"/>
    <n v="1"/>
    <n v="0"/>
    <n v="0"/>
    <n v="16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400000"/>
    <n v="7.2359999999999994E-2"/>
    <x v="2"/>
    <s v="Todo bien"/>
    <x v="0"/>
    <x v="1"/>
    <n v="866.86617094527321"/>
    <x v="1"/>
    <x v="2"/>
    <s v="Pequeña"/>
    <x v="1"/>
    <n v="1990.0497512437812"/>
  </r>
  <r>
    <s v="Corona Optus"/>
    <x v="143"/>
    <n v="7203"/>
    <n v="3"/>
    <x v="8"/>
    <x v="0"/>
    <s v=" Sector 37C Gurgaon"/>
    <n v="0"/>
    <n v="0"/>
    <n v="3"/>
    <n v="2"/>
    <n v="3"/>
    <x v="1"/>
    <n v="14"/>
    <n v="0"/>
    <n v="1"/>
    <n v="0"/>
    <n v="0"/>
    <n v="1410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1542412883498E-2"/>
    <n v="12700000"/>
    <n v="7.2029999999999997E-2"/>
    <x v="2"/>
    <s v="Todo bien"/>
    <x v="0"/>
    <x v="1"/>
    <n v="768.0304298806044"/>
    <x v="1"/>
    <x v="2"/>
    <s v="Pequeña"/>
    <x v="1"/>
    <n v="1763.1542412883521"/>
  </r>
  <r>
    <s v="Imperia The Esfera"/>
    <x v="8"/>
    <n v="5405"/>
    <n v="3"/>
    <x v="0"/>
    <x v="0"/>
    <s v=" Sector 37C Gurgaon"/>
    <n v="0"/>
    <n v="0"/>
    <n v="4"/>
    <n v="9"/>
    <n v="3"/>
    <x v="1"/>
    <n v="24"/>
    <n v="1"/>
    <n v="1"/>
    <n v="0"/>
    <n v="0"/>
    <n v="1760"/>
    <m/>
    <n v="20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51526364477301E-2"/>
    <n v="11000000"/>
    <n v="5.4050000000000001E-2"/>
    <x v="2"/>
    <s v="Todo bien"/>
    <x v="0"/>
    <x v="1"/>
    <n v="886.51299905642782"/>
    <x v="1"/>
    <x v="2"/>
    <s v="Pequeña"/>
    <x v="2"/>
    <n v="2035.1526364477336"/>
  </r>
  <r>
    <s v="Imperia The Esfera"/>
    <x v="100"/>
    <n v="5384"/>
    <n v="4"/>
    <x v="5"/>
    <x v="0"/>
    <s v=" Sector 37C Gurgaon"/>
    <n v="0"/>
    <n v="0"/>
    <n v="5"/>
    <n v="9"/>
    <n v="3"/>
    <x v="2"/>
    <n v="24"/>
    <n v="1"/>
    <n v="1"/>
    <n v="1"/>
    <n v="0"/>
    <n v="2100"/>
    <m/>
    <n v="26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971768202002E-2"/>
    <n v="14000000"/>
    <n v="5.3839999999999999E-2"/>
    <x v="2"/>
    <s v="Todo bien"/>
    <x v="0"/>
    <x v="1"/>
    <n v="1132.690102637441"/>
    <x v="1"/>
    <x v="2"/>
    <s v="Pequeña"/>
    <x v="2"/>
    <n v="2600.2971768202083"/>
  </r>
  <r>
    <s v="Imperia The Esfera"/>
    <x v="48"/>
    <n v="5454"/>
    <n v="3"/>
    <x v="2"/>
    <x v="0"/>
    <s v=" Sector 37C Gurgaon"/>
    <n v="0"/>
    <n v="0"/>
    <n v="4"/>
    <n v="9"/>
    <n v="3"/>
    <x v="1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x v="1"/>
    <s v="Todo bien"/>
    <x v="0"/>
    <x v="1"/>
    <n v="790.69352473597144"/>
    <x v="1"/>
    <x v="2"/>
    <s v="Pequeña"/>
    <x v="1"/>
    <n v="1815.1815181518152"/>
  </r>
  <r>
    <s v="Imperia The Esfera"/>
    <x v="21"/>
    <n v="5449"/>
    <n v="2"/>
    <x v="3"/>
    <x v="0"/>
    <s v=" Sector 37C Gurgaon"/>
    <n v="0"/>
    <n v="0"/>
    <n v="3"/>
    <n v="9"/>
    <n v="3"/>
    <x v="0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2712424298E-2"/>
    <n v="8600000"/>
    <n v="5.4489999999999997E-2"/>
    <x v="1"/>
    <s v="Todo bien"/>
    <x v="0"/>
    <x v="1"/>
    <n v="687.49534919067571"/>
    <x v="1"/>
    <x v="2"/>
    <s v="Pequeña"/>
    <x v="1"/>
    <n v="1578.2712424298038"/>
  </r>
  <r>
    <s v="Imperia The Esfera"/>
    <x v="187"/>
    <n v="5399"/>
    <n v="3"/>
    <x v="6"/>
    <x v="0"/>
    <s v=" Sector 37C Gurgaon"/>
    <n v="0"/>
    <n v="0"/>
    <n v="4"/>
    <n v="9"/>
    <n v="3"/>
    <x v="1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509538803401E-2"/>
    <n v="9800000"/>
    <n v="5.3990000000000003E-2"/>
    <x v="1"/>
    <s v="Todo bien"/>
    <x v="0"/>
    <x v="1"/>
    <n v="790.68021093165055"/>
    <x v="1"/>
    <x v="2"/>
    <s v="Pequeña"/>
    <x v="1"/>
    <n v="1815.1509538803482"/>
  </r>
  <r>
    <s v="Imperia The Esfera"/>
    <x v="28"/>
    <n v="5386"/>
    <n v="2"/>
    <x v="3"/>
    <x v="0"/>
    <s v=" Sector 37C Gurgaon"/>
    <n v="0"/>
    <n v="0"/>
    <n v="3"/>
    <n v="9"/>
    <n v="3"/>
    <x v="0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1656145562501E-2"/>
    <n v="8500000"/>
    <n v="5.3859999999999998E-2"/>
    <x v="1"/>
    <s v="Todo bien"/>
    <x v="0"/>
    <x v="1"/>
    <n v="687.44933766245526"/>
    <x v="1"/>
    <x v="2"/>
    <s v="Pequeña"/>
    <x v="1"/>
    <n v="1578.165614556257"/>
  </r>
  <r>
    <s v="BPTP Terra"/>
    <x v="87"/>
    <n v="8983"/>
    <n v="4"/>
    <x v="6"/>
    <x v="0"/>
    <s v=" Sector 37D Gurgaon"/>
    <n v="0"/>
    <n v="0"/>
    <n v="3"/>
    <n v="15"/>
    <n v="3"/>
    <x v="2"/>
    <n v="23"/>
    <n v="0"/>
    <n v="0"/>
    <n v="0"/>
    <n v="0"/>
    <n v="1992.6527886006904"/>
    <m/>
    <n v="1998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4"/>
    <n v="1"/>
    <n v="4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9926527886006899E-2"/>
    <n v="17900000"/>
    <n v="8.9829999999999993E-2"/>
    <x v="3"/>
    <s v="Todo bien"/>
    <x v="1"/>
    <x v="0"/>
    <n v="868.00005467104529"/>
    <x v="1"/>
    <x v="2"/>
    <s v="Pequeña"/>
    <x v="1"/>
    <n v="1992.6527886006904"/>
  </r>
  <r>
    <s v="BPTP Terra"/>
    <x v="78"/>
    <n v="8255"/>
    <n v="3"/>
    <x v="6"/>
    <x v="0"/>
    <s v=" Sector 37D Gurgaon"/>
    <n v="0"/>
    <n v="0"/>
    <n v="3"/>
    <n v="12"/>
    <n v="3"/>
    <x v="1"/>
    <n v="23"/>
    <n v="0"/>
    <n v="0"/>
    <n v="0"/>
    <n v="0"/>
    <n v="156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70805572380301E-2"/>
    <n v="15000000"/>
    <n v="8.2549999999999998E-2"/>
    <x v="2"/>
    <s v="Todo bien"/>
    <x v="1"/>
    <x v="1"/>
    <n v="791.52074663839778"/>
    <x v="1"/>
    <x v="2"/>
    <s v="Pequeña"/>
    <x v="1"/>
    <n v="1817.0805572380375"/>
  </r>
  <r>
    <s v="BPTP Terra"/>
    <x v="197"/>
    <n v="8078"/>
    <n v="4"/>
    <x v="5"/>
    <x v="0"/>
    <s v=" Sector 37D Gurgaon"/>
    <n v="0"/>
    <n v="0"/>
    <n v="3"/>
    <n v="15"/>
    <n v="3"/>
    <x v="2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364199059102E-2"/>
    <n v="17700000"/>
    <n v="8.0780000000000005E-2"/>
    <x v="3"/>
    <s v="Todo bien"/>
    <x v="1"/>
    <x v="1"/>
    <n v="954.45957426714233"/>
    <x v="1"/>
    <x v="2"/>
    <s v="Pequeña"/>
    <x v="2"/>
    <n v="2191.1364199059171"/>
  </r>
  <r>
    <s v="BPTP Terra"/>
    <x v="78"/>
    <n v="8282"/>
    <n v="3"/>
    <x v="7"/>
    <x v="0"/>
    <s v=" Sector 37D Gurgaon"/>
    <n v="0"/>
    <n v="0"/>
    <n v="3"/>
    <n v="17"/>
    <n v="3"/>
    <x v="1"/>
    <n v="23"/>
    <n v="0"/>
    <n v="0"/>
    <n v="0"/>
    <n v="0"/>
    <n v="157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5672542864E-2"/>
    <n v="15000000"/>
    <n v="8.2820000000000005E-2"/>
    <x v="2"/>
    <s v="Todo bien"/>
    <x v="1"/>
    <x v="1"/>
    <n v="788.94032401593802"/>
    <x v="1"/>
    <x v="2"/>
    <s v="Pequeña"/>
    <x v="1"/>
    <n v="1811.1567254286404"/>
  </r>
  <r>
    <s v="BPTP Terra"/>
    <x v="131"/>
    <n v="8105"/>
    <n v="3"/>
    <x v="7"/>
    <x v="0"/>
    <s v=" Sector 37D Gurgaon"/>
    <n v="0"/>
    <n v="0"/>
    <n v="3"/>
    <n v="20"/>
    <n v="3"/>
    <x v="1"/>
    <n v="23"/>
    <n v="0"/>
    <n v="0"/>
    <n v="0"/>
    <n v="0"/>
    <n v="1580"/>
    <m/>
    <n v="183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3837137569401E-2"/>
    <n v="14900000"/>
    <n v="8.1049999999999997E-2"/>
    <x v="2"/>
    <s v="Todo bien"/>
    <x v="1"/>
    <x v="1"/>
    <n v="800.795032499689"/>
    <x v="1"/>
    <x v="2"/>
    <s v="Pequeña"/>
    <x v="1"/>
    <n v="1838.371375694016"/>
  </r>
  <r>
    <s v="BPTP Terra"/>
    <x v="7"/>
    <n v="8215"/>
    <n v="4"/>
    <x v="7"/>
    <x v="0"/>
    <s v=" Sector 37D Gurgaon"/>
    <n v="0"/>
    <n v="0"/>
    <n v="3"/>
    <n v="18"/>
    <n v="3"/>
    <x v="2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x v="3"/>
    <s v="Todo bien"/>
    <x v="1"/>
    <x v="1"/>
    <n v="954.44972808277271"/>
    <x v="1"/>
    <x v="2"/>
    <s v="Pequeña"/>
    <x v="2"/>
    <n v="2191.1138161898966"/>
  </r>
  <r>
    <s v="SS The Leaf"/>
    <x v="318"/>
    <n v="6343"/>
    <n v="2"/>
    <x v="8"/>
    <x v="0"/>
    <s v=" Sector 85 Gurgaon"/>
    <n v="0"/>
    <n v="0"/>
    <n v="2"/>
    <n v="12"/>
    <n v="2"/>
    <x v="0"/>
    <n v="26"/>
    <n v="0"/>
    <n v="0"/>
    <n v="0"/>
    <n v="0"/>
    <n v="1671.1335330285353"/>
    <m/>
    <n v="167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3353302853E-2"/>
    <n v="10600000"/>
    <n v="6.343E-2"/>
    <x v="2"/>
    <s v="Todo bien"/>
    <x v="0"/>
    <x v="1"/>
    <n v="727.94618627463115"/>
    <x v="1"/>
    <x v="2"/>
    <s v="Pequeña"/>
    <x v="1"/>
    <n v="1671.1335330285353"/>
  </r>
  <r>
    <s v="SS The Leaf"/>
    <x v="253"/>
    <n v="6433"/>
    <n v="2"/>
    <x v="8"/>
    <x v="0"/>
    <s v=" Sector 85 Gurgaon"/>
    <n v="0"/>
    <n v="0"/>
    <n v="2"/>
    <n v="16"/>
    <n v="3"/>
    <x v="0"/>
    <n v="26"/>
    <n v="0"/>
    <n v="0"/>
    <n v="0"/>
    <n v="0"/>
    <n v="1772.1125446914348"/>
    <m/>
    <n v="1772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21125446914301E-2"/>
    <n v="11400000"/>
    <n v="6.4329999999999998E-2"/>
    <x v="2"/>
    <s v="Todo bien"/>
    <x v="0"/>
    <x v="1"/>
    <n v="771.93266909062447"/>
    <x v="1"/>
    <x v="2"/>
    <s v="Pequeña"/>
    <x v="1"/>
    <n v="1772.1125446914348"/>
  </r>
  <r>
    <s v="Pivotal Devaan"/>
    <x v="319"/>
    <n v="7588"/>
    <n v="2"/>
    <x v="0"/>
    <x v="0"/>
    <s v=" Sector 84 Gurgaon"/>
    <n v="0"/>
    <n v="0"/>
    <n v="2"/>
    <n v="9"/>
    <n v="1"/>
    <x v="0"/>
    <n v="14"/>
    <n v="0"/>
    <n v="0"/>
    <n v="0"/>
    <n v="1"/>
    <n v="481"/>
    <m/>
    <n v="583"/>
    <n v="0"/>
    <n v="0"/>
    <n v="1"/>
    <n v="0"/>
    <n v="0"/>
    <n v="0"/>
    <n v="1"/>
    <n v="1"/>
    <n v="1"/>
    <n v="1"/>
    <n v="1"/>
    <n v="1"/>
    <n v="1"/>
    <n v="1"/>
    <n v="1"/>
    <n v="1"/>
    <n v="0"/>
    <n v="39"/>
    <x v="0"/>
    <x v="0"/>
    <x v="1"/>
    <x v="1"/>
    <x v="0"/>
    <x v="0"/>
    <x v="1"/>
    <x v="0"/>
    <x v="1"/>
    <n v="0"/>
    <n v="2"/>
    <n v="1"/>
    <n v="2"/>
    <n v="1"/>
    <n v="0"/>
    <n v="0"/>
    <n v="0"/>
    <n v="0"/>
    <n v="1"/>
    <n v="1"/>
    <n v="1"/>
    <n v="1"/>
    <n v="1"/>
    <n v="0"/>
    <n v="3"/>
    <n v="1"/>
    <n v="1"/>
    <n v="0"/>
    <n v="0"/>
    <n v="0"/>
    <n v="0"/>
    <n v="0"/>
    <n v="1"/>
    <n v="4.8102266736953E-3"/>
    <n v="3650000"/>
    <n v="7.5880000000000003E-2"/>
    <x v="0"/>
    <s v="Todo bien"/>
    <x v="2"/>
    <x v="3"/>
    <n v="209.53359459475453"/>
    <x v="0"/>
    <x v="1"/>
    <s v="Pequeña"/>
    <x v="0"/>
    <n v="481.02266736953084"/>
  </r>
  <r>
    <s v="Pivotal Devaan"/>
    <x v="77"/>
    <n v="7039"/>
    <n v="2"/>
    <x v="4"/>
    <x v="0"/>
    <s v=" Sector 84 Gurgaon"/>
    <n v="0"/>
    <n v="0"/>
    <n v="2"/>
    <n v="1"/>
    <n v="1"/>
    <x v="0"/>
    <n v="14"/>
    <n v="0"/>
    <n v="0"/>
    <n v="0"/>
    <n v="1"/>
    <n v="483"/>
    <m/>
    <m/>
    <n v="0"/>
    <n v="0"/>
    <n v="1"/>
    <n v="0"/>
    <n v="1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302315669838999E-3"/>
    <n v="3400000"/>
    <n v="7.0389999999999994E-2"/>
    <x v="0"/>
    <s v="Todo bien"/>
    <x v="0"/>
    <x v="3"/>
    <n v="210.4050082483287"/>
    <x v="0"/>
    <x v="1"/>
    <s v="Pequeña"/>
    <x v="0"/>
    <n v="483.0231566983947"/>
  </r>
  <r>
    <s v="Pivotal Devaan"/>
    <x v="77"/>
    <n v="5831"/>
    <n v="2"/>
    <x v="4"/>
    <x v="0"/>
    <s v=" Sector 84 Gurgaon"/>
    <n v="0"/>
    <n v="0"/>
    <n v="2"/>
    <n v="3"/>
    <n v="1"/>
    <x v="0"/>
    <n v="14"/>
    <n v="0"/>
    <n v="0"/>
    <n v="0"/>
    <n v="1"/>
    <n v="484"/>
    <m/>
    <n v="583"/>
    <n v="0"/>
    <n v="0"/>
    <n v="1"/>
    <n v="0"/>
    <n v="1"/>
    <n v="0"/>
    <n v="0"/>
    <n v="1"/>
    <n v="1"/>
    <n v="1"/>
    <n v="0"/>
    <n v="1"/>
    <n v="1"/>
    <n v="0"/>
    <n v="1"/>
    <n v="1"/>
    <n v="1"/>
    <n v="3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9037900874001E-3"/>
    <n v="3400000"/>
    <n v="5.8310000000000001E-2"/>
    <x v="0"/>
    <s v="Todo bien"/>
    <x v="0"/>
    <x v="3"/>
    <n v="253.99431539358326"/>
    <x v="0"/>
    <x v="1"/>
    <s v="Pequeña"/>
    <x v="0"/>
    <n v="583.09037900874637"/>
  </r>
  <r>
    <s v="Pivotal Devaan"/>
    <x v="290"/>
    <n v="7276"/>
    <n v="2"/>
    <x v="0"/>
    <x v="0"/>
    <s v=" Sector 84 Gurgaon"/>
    <n v="0"/>
    <n v="0"/>
    <n v="2"/>
    <n v="10"/>
    <n v="1"/>
    <x v="0"/>
    <n v="14"/>
    <n v="0"/>
    <n v="0"/>
    <n v="0"/>
    <n v="1"/>
    <n v="481"/>
    <m/>
    <n v="583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03353490929002E-3"/>
    <n v="3500000"/>
    <n v="7.2760000000000005E-2"/>
    <x v="0"/>
    <s v="Todo bien"/>
    <x v="0"/>
    <x v="3"/>
    <n v="209.53832849780065"/>
    <x v="0"/>
    <x v="1"/>
    <s v="Pequeña"/>
    <x v="0"/>
    <n v="481.03353490929078"/>
  </r>
  <r>
    <s v="SS The Leaf"/>
    <x v="16"/>
    <n v="6402"/>
    <n v="2"/>
    <x v="2"/>
    <x v="0"/>
    <s v=" Sector 85 Gurgaon"/>
    <n v="0"/>
    <n v="0"/>
    <n v="2"/>
    <n v="11"/>
    <n v="3"/>
    <x v="0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124648547299E-2"/>
    <n v="10500000"/>
    <n v="6.4019999999999994E-2"/>
    <x v="2"/>
    <s v="Todo bien"/>
    <x v="0"/>
    <x v="1"/>
    <n v="714.4334011949378"/>
    <x v="1"/>
    <x v="2"/>
    <s v="Pequeña"/>
    <x v="1"/>
    <n v="1640.1124648547332"/>
  </r>
  <r>
    <s v="Vatika City"/>
    <x v="252"/>
    <n v="7818"/>
    <n v="3"/>
    <x v="2"/>
    <x v="1"/>
    <s v=" Sector 49 Gurgaon"/>
    <n v="0"/>
    <n v="0"/>
    <n v="3"/>
    <n v="2"/>
    <n v="2"/>
    <x v="1"/>
    <n v="17"/>
    <n v="0"/>
    <n v="0"/>
    <n v="0"/>
    <n v="0"/>
    <n v="2200"/>
    <m/>
    <m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0"/>
    <x v="0"/>
    <x v="1"/>
    <x v="1"/>
    <x v="0"/>
    <x v="0"/>
    <n v="0"/>
    <n v="1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2000511639805501E-2"/>
    <n v="17200000"/>
    <n v="7.8179999999999999E-2"/>
    <x v="3"/>
    <s v="Todo bien"/>
    <x v="0"/>
    <x v="4"/>
    <n v="958.34283902276468"/>
    <x v="1"/>
    <x v="2"/>
    <s v="Pequeña"/>
    <x v="0"/>
    <n v="2200.0511639805577"/>
  </r>
  <r>
    <s v="Shree Vardhman Victoria"/>
    <x v="46"/>
    <n v="7948"/>
    <n v="3"/>
    <x v="8"/>
    <x v="0"/>
    <s v=" Sector 70 Gurgaon"/>
    <n v="0"/>
    <n v="0"/>
    <n v="5"/>
    <n v="8"/>
    <n v="3"/>
    <x v="1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761449421201E-2"/>
    <n v="15500000"/>
    <n v="7.9479999999999995E-2"/>
    <x v="3"/>
    <s v="Todo bien"/>
    <x v="0"/>
    <x v="5"/>
    <n v="849.49721803598231"/>
    <x v="1"/>
    <x v="0"/>
    <s v="Pequeña"/>
    <x v="1"/>
    <n v="1950.176144942124"/>
  </r>
  <r>
    <s v="Shree Vardhman Victoria"/>
    <x v="78"/>
    <n v="7692"/>
    <n v="3"/>
    <x v="8"/>
    <x v="0"/>
    <s v=" Sector 70 Gurgaon"/>
    <n v="0"/>
    <n v="0"/>
    <n v="5"/>
    <n v="7"/>
    <n v="3"/>
    <x v="1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95007800312012E-2"/>
    <n v="15000000"/>
    <n v="7.6920000000000002E-2"/>
    <x v="2"/>
    <s v="Todo bien"/>
    <x v="1"/>
    <x v="5"/>
    <n v="849.4544674336953"/>
    <x v="1"/>
    <x v="0"/>
    <s v="Pequeña"/>
    <x v="1"/>
    <n v="1950.0780031201248"/>
  </r>
  <r>
    <s v="The Lions CGHS"/>
    <x v="111"/>
    <n v="9534"/>
    <n v="4"/>
    <x v="0"/>
    <x v="0"/>
    <s v=" Sector 56 Gurgaon"/>
    <n v="0"/>
    <n v="0"/>
    <n v="4"/>
    <n v="7"/>
    <n v="3"/>
    <x v="2"/>
    <n v="9"/>
    <n v="1"/>
    <n v="0"/>
    <n v="0"/>
    <n v="0"/>
    <n v="1950"/>
    <n v="2000"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1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9928676316E-2"/>
    <n v="20500000"/>
    <n v="9.5339999999999994E-2"/>
    <x v="3"/>
    <s v="Todo bien"/>
    <x v="1"/>
    <x v="1"/>
    <n v="936.6273487990336"/>
    <x v="1"/>
    <x v="2"/>
    <s v="Grande"/>
    <x v="2"/>
    <n v="2150.1992867631634"/>
  </r>
  <r>
    <s v="Mariners Home"/>
    <x v="320"/>
    <n v="8612"/>
    <n v="3"/>
    <x v="8"/>
    <x v="0"/>
    <s v=" Sector 56 Gurgaon"/>
    <n v="0"/>
    <n v="0"/>
    <n v="2"/>
    <n v="4"/>
    <n v="3"/>
    <x v="1"/>
    <n v="7"/>
    <n v="0"/>
    <n v="0"/>
    <n v="0"/>
    <n v="0"/>
    <n v="2150"/>
    <n v="2250"/>
    <n v="2450"/>
    <n v="1"/>
    <n v="1"/>
    <n v="0"/>
    <n v="1"/>
    <n v="0"/>
    <n v="0"/>
    <n v="1"/>
    <n v="1"/>
    <n v="1"/>
    <n v="1"/>
    <n v="1"/>
    <n v="1"/>
    <n v="1"/>
    <n v="1"/>
    <n v="1"/>
    <n v="0"/>
    <n v="1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4500696702275799E-2"/>
    <n v="21100000"/>
    <n v="8.6120000000000002E-2"/>
    <x v="3"/>
    <s v="Todo bien"/>
    <x v="1"/>
    <x v="3"/>
    <n v="1067.2509630736142"/>
    <x v="1"/>
    <x v="2"/>
    <s v="Grande"/>
    <x v="2"/>
    <n v="2450.0696702275895"/>
  </r>
  <r>
    <s v="Capital Residences "/>
    <x v="148"/>
    <n v="8137"/>
    <n v="2"/>
    <x v="4"/>
    <x v="2"/>
    <s v=" Sector 70A Gurgaon"/>
    <n v="0"/>
    <n v="0"/>
    <n v="2"/>
    <n v="7"/>
    <n v="3"/>
    <x v="0"/>
    <n v="22"/>
    <n v="0"/>
    <n v="0"/>
    <n v="1"/>
    <n v="0"/>
    <n v="1000"/>
    <n v="1400"/>
    <n v="14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659088116001E-2"/>
    <n v="11800000"/>
    <n v="8.1369999999999998E-2"/>
    <x v="2"/>
    <s v="Todo bien"/>
    <x v="0"/>
    <x v="4"/>
    <n v="631.69263372495959"/>
    <x v="1"/>
    <x v="0"/>
    <s v="Mediana"/>
    <x v="1"/>
    <n v="1450.1659088116014"/>
  </r>
  <r>
    <s v="Capital Residences "/>
    <x v="81"/>
    <n v="11500"/>
    <n v="2"/>
    <x v="4"/>
    <x v="2"/>
    <s v=" Sector 70A Gurgaon"/>
    <n v="0"/>
    <n v="0"/>
    <n v="2"/>
    <n v="4"/>
    <n v="3"/>
    <x v="0"/>
    <n v="22"/>
    <n v="0"/>
    <n v="0"/>
    <n v="1"/>
    <n v="0"/>
    <n v="1000"/>
    <n v="1400"/>
    <n v="14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999999999998996E-3"/>
    <n v="11500000"/>
    <n v="0.115"/>
    <x v="2"/>
    <s v="Todo bien"/>
    <x v="0"/>
    <x v="4"/>
    <n v="435.60025089999567"/>
    <x v="0"/>
    <x v="0"/>
    <s v="Mediana"/>
    <x v="1"/>
    <n v="1000"/>
  </r>
  <r>
    <s v="Capital Residences "/>
    <x v="300"/>
    <n v="8400"/>
    <n v="3"/>
    <x v="4"/>
    <x v="2"/>
    <s v=" Sector 70A Gurgaon"/>
    <n v="0"/>
    <n v="0"/>
    <n v="3"/>
    <n v="8"/>
    <n v="3"/>
    <x v="1"/>
    <n v="22"/>
    <n v="1"/>
    <n v="0"/>
    <n v="0"/>
    <n v="0"/>
    <n v="1500"/>
    <n v="1900"/>
    <n v="1976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904761904699E-2"/>
    <n v="16600000"/>
    <n v="8.4000000000000005E-2"/>
    <x v="3"/>
    <s v="Todo bien"/>
    <x v="0"/>
    <x v="4"/>
    <n v="860.82906725475925"/>
    <x v="1"/>
    <x v="2"/>
    <s v="Grande"/>
    <x v="1"/>
    <n v="1976.1904761904761"/>
  </r>
  <r>
    <s v="Capital Residences "/>
    <x v="235"/>
    <n v="8502"/>
    <n v="3"/>
    <x v="2"/>
    <x v="2"/>
    <s v=" Sector 70A Gurgaon"/>
    <n v="0"/>
    <n v="0"/>
    <n v="3"/>
    <n v="5"/>
    <n v="3"/>
    <x v="1"/>
    <n v="22"/>
    <n v="1"/>
    <n v="0"/>
    <n v="0"/>
    <n v="0"/>
    <n v="1560"/>
    <n v="1900"/>
    <n v="197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60056457304099E-2"/>
    <n v="16800000"/>
    <n v="8.5019999999999998E-2"/>
    <x v="3"/>
    <s v="Todo bien"/>
    <x v="1"/>
    <x v="5"/>
    <n v="860.74855505998312"/>
    <x v="1"/>
    <x v="2"/>
    <s v="Grande"/>
    <x v="1"/>
    <n v="1976.0056457304165"/>
  </r>
  <r>
    <s v="Sobha City"/>
    <x v="14"/>
    <n v="16858"/>
    <n v="3"/>
    <x v="0"/>
    <x v="0"/>
    <s v=" Sector 108 Gurgaon"/>
    <n v="0"/>
    <n v="0"/>
    <n v="4"/>
    <n v="15"/>
    <n v="2"/>
    <x v="1"/>
    <n v="24"/>
    <n v="1"/>
    <n v="0"/>
    <n v="0"/>
    <n v="0"/>
    <n v="1512"/>
    <m/>
    <n v="23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2.3431011982441501E-2"/>
    <n v="39500000"/>
    <n v="0.16858000000000001"/>
    <x v="5"/>
    <s v="Todo bien"/>
    <x v="0"/>
    <x v="1"/>
    <n v="1020.6554698392425"/>
    <x v="1"/>
    <x v="2"/>
    <s v="Pequeña"/>
    <x v="2"/>
    <n v="2343.1011982441569"/>
  </r>
  <r>
    <s v="Emaar Digihomes"/>
    <x v="69"/>
    <n v="13925"/>
    <n v="2"/>
    <x v="2"/>
    <x v="2"/>
    <s v=" Sector 62 Gurgaon"/>
    <n v="0"/>
    <n v="0"/>
    <n v="2"/>
    <n v="12"/>
    <n v="3"/>
    <x v="0"/>
    <n v="32"/>
    <n v="0"/>
    <n v="0"/>
    <n v="0"/>
    <n v="0"/>
    <n v="1200"/>
    <n v="1500"/>
    <n v="15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4"/>
    <n v="1"/>
    <n v="6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508078994614E-2"/>
    <n v="21000000"/>
    <n v="0.13925000000000001"/>
    <x v="3"/>
    <s v="Todo bien"/>
    <x v="1"/>
    <x v="1"/>
    <n v="656.91958843087821"/>
    <x v="1"/>
    <x v="0"/>
    <s v="Mediana"/>
    <x v="1"/>
    <n v="1508.0789946140035"/>
  </r>
  <r>
    <s v="Capital Residences "/>
    <x v="182"/>
    <n v="8299"/>
    <n v="3"/>
    <x v="2"/>
    <x v="2"/>
    <s v=" Sector 70A Gurgaon"/>
    <n v="0"/>
    <n v="0"/>
    <n v="3"/>
    <n v="4"/>
    <n v="3"/>
    <x v="1"/>
    <n v="22"/>
    <n v="1"/>
    <n v="0"/>
    <n v="0"/>
    <n v="0"/>
    <n v="1642"/>
    <n v="195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417038197299E-2"/>
    <n v="16400000"/>
    <n v="8.2989999999999994E-2"/>
    <x v="3"/>
    <s v="Todo bien"/>
    <x v="0"/>
    <x v="5"/>
    <n v="860.80782199782789"/>
    <x v="1"/>
    <x v="2"/>
    <s v="Grande"/>
    <x v="1"/>
    <n v="1976.1417038197374"/>
  </r>
  <r>
    <s v="Capital Residences "/>
    <x v="267"/>
    <n v="8552"/>
    <n v="3"/>
    <x v="2"/>
    <x v="2"/>
    <s v=" Sector 70A Gurgaon"/>
    <n v="0"/>
    <n v="0"/>
    <n v="3"/>
    <n v="8"/>
    <n v="3"/>
    <x v="1"/>
    <n v="22"/>
    <n v="1"/>
    <n v="0"/>
    <n v="0"/>
    <n v="0"/>
    <n v="1650"/>
    <n v="190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9761459307764202E-2"/>
    <n v="16900000"/>
    <n v="8.5519999999999999E-2"/>
    <x v="3"/>
    <s v="Todo bien"/>
    <x v="0"/>
    <x v="5"/>
    <n v="860.80966326122268"/>
    <x v="1"/>
    <x v="2"/>
    <s v="Grande"/>
    <x v="1"/>
    <n v="1976.1459307764267"/>
  </r>
  <r>
    <s v="MM Golfestate"/>
    <x v="24"/>
    <n v="18287"/>
    <n v="3"/>
    <x v="1"/>
    <x v="5"/>
    <s v=" Sector 65 Gurgaon"/>
    <n v="0"/>
    <n v="0"/>
    <n v="3"/>
    <n v="23"/>
    <n v="3"/>
    <x v="1"/>
    <n v="40"/>
    <n v="1"/>
    <n v="1"/>
    <n v="0"/>
    <n v="0"/>
    <n v="2710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3630447859134903E-2"/>
    <n v="61500000"/>
    <n v="0.18287"/>
    <x v="6"/>
    <s v="Todo bien"/>
    <x v="1"/>
    <x v="3"/>
    <n v="1464.9431525318532"/>
    <x v="1"/>
    <x v="3"/>
    <s v="Pequeña"/>
    <x v="3"/>
    <n v="3363.0447859134902"/>
  </r>
  <r>
    <s v="MM Golfestate"/>
    <x v="321"/>
    <n v="18138"/>
    <n v="3"/>
    <x v="2"/>
    <x v="5"/>
    <s v=" Sector 65 Gurgaon"/>
    <n v="0"/>
    <n v="0"/>
    <n v="3"/>
    <n v="19"/>
    <n v="3"/>
    <x v="1"/>
    <n v="40"/>
    <n v="1"/>
    <n v="1"/>
    <n v="0"/>
    <n v="0"/>
    <n v="2710"/>
    <m/>
    <n v="336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3631050832506303E-2"/>
    <n v="61000000"/>
    <n v="0.18138000000000001"/>
    <x v="6"/>
    <s v="Todo bien"/>
    <x v="1"/>
    <x v="5"/>
    <n v="1464.9694180670401"/>
    <x v="1"/>
    <x v="3"/>
    <s v="Pequeña"/>
    <x v="3"/>
    <n v="3363.1050832506339"/>
  </r>
  <r>
    <s v="DLF The Primus"/>
    <x v="244"/>
    <n v="10338"/>
    <n v="3"/>
    <x v="2"/>
    <x v="0"/>
    <s v=" Sector 82A Gurgaon"/>
    <n v="0"/>
    <n v="0"/>
    <n v="3"/>
    <n v="5"/>
    <n v="3"/>
    <x v="1"/>
    <n v="32"/>
    <n v="0"/>
    <n v="0"/>
    <n v="0"/>
    <n v="0"/>
    <n v="1538"/>
    <m/>
    <n v="179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53801508995937E-2"/>
    <n v="15900000"/>
    <n v="0.10338"/>
    <x v="3"/>
    <s v="Todo bien"/>
    <x v="2"/>
    <x v="5"/>
    <n v="669.95975907428772"/>
    <x v="1"/>
    <x v="2"/>
    <s v="Pequeña"/>
    <x v="1"/>
    <n v="1538.0150899593732"/>
  </r>
  <r>
    <s v="Emaar MGF Palm Hills"/>
    <x v="85"/>
    <n v="5400"/>
    <n v="3"/>
    <x v="6"/>
    <x v="0"/>
    <s v=" Sector 77 Gurgaon"/>
    <n v="0"/>
    <n v="0"/>
    <n v="4"/>
    <n v="5"/>
    <n v="3"/>
    <x v="1"/>
    <n v="13"/>
    <n v="1"/>
    <n v="1"/>
    <n v="0"/>
    <n v="0"/>
    <n v="2000"/>
    <m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0.02"/>
    <n v="10800000"/>
    <n v="5.3999999999999999E-2"/>
    <x v="2"/>
    <s v="Todo bien"/>
    <x v="1"/>
    <x v="5"/>
    <n v="871.2005018000001"/>
    <x v="1"/>
    <x v="2"/>
    <s v="Pequeña"/>
    <x v="1"/>
    <n v="2000"/>
  </r>
  <r>
    <s v="Emaar MGF Palm Hills"/>
    <x v="195"/>
    <n v="5382"/>
    <n v="3"/>
    <x v="8"/>
    <x v="0"/>
    <s v=" Sector 77 Gurgaon"/>
    <n v="0"/>
    <n v="0"/>
    <n v="4"/>
    <n v="5"/>
    <n v="3"/>
    <x v="1"/>
    <n v="13"/>
    <n v="1"/>
    <n v="0"/>
    <n v="0"/>
    <n v="0"/>
    <n v="2025.2694165737644"/>
    <m/>
    <n v="20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252694165737599E-2"/>
    <n v="10900000"/>
    <n v="5.382E-2"/>
    <x v="2"/>
    <s v="Todo bien"/>
    <x v="1"/>
    <x v="5"/>
    <n v="882.20786599962651"/>
    <x v="1"/>
    <x v="2"/>
    <s v="Pequeña"/>
    <x v="2"/>
    <n v="2025.2694165737644"/>
  </r>
  <r>
    <s v="AIPL Club Residences"/>
    <x v="28"/>
    <n v="9139"/>
    <n v="2"/>
    <x v="3"/>
    <x v="0"/>
    <s v=" Sector 70A Gurgaon"/>
    <n v="0"/>
    <n v="0"/>
    <n v="2"/>
    <n v="5"/>
    <n v="2"/>
    <x v="0"/>
    <n v="9"/>
    <n v="0"/>
    <n v="0"/>
    <n v="0"/>
    <n v="0"/>
    <n v="930.07987744829848"/>
    <m/>
    <n v="930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0"/>
    <x v="0"/>
    <x v="1"/>
    <n v="0"/>
    <n v="3"/>
    <n v="1"/>
    <n v="2"/>
    <n v="1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9.3007987744829004E-3"/>
    <n v="8500000"/>
    <n v="9.1389999999999999E-2"/>
    <x v="1"/>
    <s v="Todo bien"/>
    <x v="1"/>
    <x v="3"/>
    <n v="405.14302797351644"/>
    <x v="0"/>
    <x v="0"/>
    <s v="Pequeña"/>
    <x v="0"/>
    <n v="930.07987744829848"/>
  </r>
  <r>
    <s v="Sobha City"/>
    <x v="14"/>
    <n v="16858"/>
    <n v="3"/>
    <x v="5"/>
    <x v="2"/>
    <s v=" Sector 108 Gurgaon"/>
    <n v="0"/>
    <n v="0"/>
    <n v="5"/>
    <n v="15"/>
    <n v="2"/>
    <x v="1"/>
    <n v="24"/>
    <n v="1"/>
    <n v="0"/>
    <n v="0"/>
    <n v="0"/>
    <n v="1512.05"/>
    <m/>
    <n v="2343"/>
    <n v="0"/>
    <n v="1"/>
    <n v="1"/>
    <n v="1"/>
    <n v="1"/>
    <n v="1"/>
    <n v="0"/>
    <n v="1"/>
    <n v="1"/>
    <n v="0"/>
    <n v="0"/>
    <n v="0"/>
    <n v="1"/>
    <n v="0"/>
    <n v="1"/>
    <n v="1"/>
    <n v="1"/>
    <n v="4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0"/>
    <n v="2.3431011982441501E-2"/>
    <n v="39500000"/>
    <n v="0.16858000000000001"/>
    <x v="5"/>
    <s v="Todo bien"/>
    <x v="0"/>
    <x v="4"/>
    <n v="1020.6554698392425"/>
    <x v="1"/>
    <x v="2"/>
    <s v="Pequeña"/>
    <x v="2"/>
    <n v="2343.1011982441569"/>
  </r>
  <r>
    <s v="Sobha City"/>
    <x v="51"/>
    <n v="14611"/>
    <n v="3"/>
    <x v="4"/>
    <x v="2"/>
    <s v=" Sector 108 Gurgaon"/>
    <n v="0"/>
    <n v="0"/>
    <n v="3"/>
    <n v="19"/>
    <n v="2"/>
    <x v="1"/>
    <n v="24"/>
    <n v="0"/>
    <n v="0"/>
    <n v="0"/>
    <n v="0"/>
    <n v="1111.44"/>
    <n v="1480"/>
    <n v="17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7110396276777701E-2"/>
    <n v="25000000"/>
    <n v="0.14610999999999999"/>
    <x v="3"/>
    <s v="Todo bien"/>
    <x v="0"/>
    <x v="5"/>
    <n v="745.32929111627925"/>
    <x v="1"/>
    <x v="0"/>
    <s v="Mediana"/>
    <x v="1"/>
    <n v="1711.0396276777772"/>
  </r>
  <r>
    <s v="The Lions CGHS"/>
    <x v="111"/>
    <n v="7884"/>
    <n v="4"/>
    <x v="8"/>
    <x v="0"/>
    <s v=" Sector 56 Gurgaon"/>
    <n v="0"/>
    <n v="0"/>
    <n v="4"/>
    <n v="6"/>
    <n v="3"/>
    <x v="2"/>
    <n v="9"/>
    <n v="0"/>
    <n v="0"/>
    <n v="0"/>
    <n v="0"/>
    <n v="2400"/>
    <n v="2500"/>
    <n v="2600"/>
    <n v="1"/>
    <n v="0"/>
    <n v="1"/>
    <n v="1"/>
    <n v="0"/>
    <n v="0"/>
    <n v="1"/>
    <n v="1"/>
    <n v="0"/>
    <n v="1"/>
    <n v="1"/>
    <n v="1"/>
    <n v="1"/>
    <n v="1"/>
    <n v="1"/>
    <n v="0"/>
    <n v="0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002029426686901E-2"/>
    <n v="20500000"/>
    <n v="7.8839999999999993E-2"/>
    <x v="3"/>
    <s v="Todo bien"/>
    <x v="1"/>
    <x v="3"/>
    <n v="1132.6490542173997"/>
    <x v="1"/>
    <x v="2"/>
    <s v="Grande"/>
    <x v="2"/>
    <n v="2600.2029426686963"/>
  </r>
  <r>
    <s v="Meditech Apartment"/>
    <x v="158"/>
    <n v="8166"/>
    <n v="4"/>
    <x v="0"/>
    <x v="0"/>
    <s v=" Sector 56 Gurgaon"/>
    <n v="0"/>
    <n v="0"/>
    <n v="4"/>
    <n v="1"/>
    <n v="3"/>
    <x v="2"/>
    <n v="9"/>
    <n v="0"/>
    <n v="0"/>
    <n v="0"/>
    <n v="0"/>
    <n v="2800"/>
    <n v="2900"/>
    <n v="3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0002449179524798E-2"/>
    <n v="24500000.000000004"/>
    <n v="8.1659999999999996E-2"/>
    <x v="3"/>
    <s v="Todo bien"/>
    <x v="1"/>
    <x v="3"/>
    <n v="1306.9074390215503"/>
    <x v="1"/>
    <x v="3"/>
    <s v="Muy grande"/>
    <x v="2"/>
    <n v="3000.2449179524865"/>
  </r>
  <r>
    <s v="Kiran Residency"/>
    <x v="78"/>
    <n v="7500"/>
    <n v="3"/>
    <x v="5"/>
    <x v="0"/>
    <s v=" Sector 56 Gurgaon"/>
    <n v="0"/>
    <n v="0"/>
    <n v="3"/>
    <n v="4"/>
    <n v="3"/>
    <x v="1"/>
    <n v="9"/>
    <n v="1"/>
    <n v="0"/>
    <n v="0"/>
    <n v="0"/>
    <n v="1800"/>
    <n v="1900"/>
    <n v="2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000000"/>
    <n v="7.4999999999999997E-2"/>
    <x v="2"/>
    <s v="Todo bien"/>
    <x v="1"/>
    <x v="3"/>
    <n v="871.2005018000001"/>
    <x v="1"/>
    <x v="2"/>
    <s v="Grande"/>
    <x v="1"/>
    <n v="2000"/>
  </r>
  <r>
    <s v="shree kirpalu gi sector "/>
    <x v="59"/>
    <n v="7631"/>
    <n v="3"/>
    <x v="0"/>
    <x v="0"/>
    <s v=" Sector 52 Gurgaon"/>
    <n v="0"/>
    <n v="0"/>
    <n v="3"/>
    <n v="7"/>
    <n v="3"/>
    <x v="1"/>
    <n v="11"/>
    <n v="0"/>
    <n v="0"/>
    <n v="0"/>
    <n v="0"/>
    <n v="1700"/>
    <n v="1800"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x v="2"/>
    <s v="Todo bien"/>
    <x v="1"/>
    <x v="4"/>
    <n v="827.70326799239695"/>
    <x v="1"/>
    <x v="2"/>
    <s v="Mediana"/>
    <x v="1"/>
    <n v="1900.1441488664657"/>
  </r>
  <r>
    <s v="SS The Leaf"/>
    <x v="56"/>
    <n v="7317"/>
    <n v="2"/>
    <x v="5"/>
    <x v="0"/>
    <s v=" Sector 85 Gurgaon"/>
    <n v="0"/>
    <n v="0"/>
    <n v="2"/>
    <n v="6"/>
    <n v="3"/>
    <x v="0"/>
    <n v="26"/>
    <n v="0"/>
    <n v="0"/>
    <n v="0"/>
    <n v="0"/>
    <n v="1000"/>
    <n v="1300"/>
    <n v="16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400164001639999E-2"/>
    <n v="12000000"/>
    <n v="7.3169999999999999E-2"/>
    <x v="2"/>
    <s v="Todo bien"/>
    <x v="1"/>
    <x v="5"/>
    <n v="714.3915553915532"/>
    <x v="1"/>
    <x v="0"/>
    <s v="Mediana"/>
    <x v="1"/>
    <n v="1640.0164001640017"/>
  </r>
  <r>
    <s v="Emaar MGF Emerald Floors Premier"/>
    <x v="92"/>
    <n v="14545"/>
    <n v="3"/>
    <x v="4"/>
    <x v="0"/>
    <s v=" Sector 65 Gurgaon"/>
    <n v="0"/>
    <n v="0"/>
    <n v="3"/>
    <n v="3"/>
    <n v="3"/>
    <x v="1"/>
    <n v="4"/>
    <n v="1"/>
    <n v="1"/>
    <n v="0"/>
    <n v="0"/>
    <n v="1250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1"/>
    <n v="1"/>
    <n v="0"/>
    <n v="0"/>
    <n v="5"/>
    <n v="1"/>
    <n v="0"/>
    <n v="0"/>
    <n v="0"/>
    <n v="1"/>
    <n v="3"/>
    <n v="1"/>
    <n v="0"/>
    <n v="0"/>
    <n v="0"/>
    <n v="0"/>
    <n v="0"/>
    <n v="0"/>
    <n v="2"/>
    <n v="1.6500515641113701E-2"/>
    <n v="24000000"/>
    <n v="0.14545"/>
    <x v="3"/>
    <s v="Todo bien"/>
    <x v="1"/>
    <x v="1"/>
    <n v="718.76287532485026"/>
    <x v="1"/>
    <x v="2"/>
    <s v="Mediana"/>
    <x v="1"/>
    <n v="1650.0515641113786"/>
  </r>
  <r>
    <s v="DLF The Ultima"/>
    <x v="51"/>
    <n v="11726"/>
    <n v="3"/>
    <x v="0"/>
    <x v="0"/>
    <s v=" Sector 81 Gurgaon"/>
    <n v="0"/>
    <n v="0"/>
    <n v="3"/>
    <n v="20"/>
    <n v="2"/>
    <x v="1"/>
    <n v="29"/>
    <n v="1"/>
    <n v="0"/>
    <n v="0"/>
    <n v="0"/>
    <n v="1350"/>
    <n v="17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1"/>
    <n v="1"/>
    <n v="1"/>
    <n v="0"/>
    <n v="0"/>
    <n v="0"/>
    <n v="1"/>
    <n v="1"/>
    <n v="1"/>
    <n v="0"/>
    <n v="0"/>
    <n v="0"/>
    <n v="0"/>
    <n v="0"/>
    <n v="0"/>
    <n v="1"/>
    <n v="2.1320143271362699E-2"/>
    <n v="25000000"/>
    <n v="0.11726"/>
    <x v="3"/>
    <s v="Todo bien"/>
    <x v="2"/>
    <x v="5"/>
    <n v="928.70597582295397"/>
    <x v="1"/>
    <x v="2"/>
    <s v="Mediana"/>
    <x v="2"/>
    <n v="2132.0143271362781"/>
  </r>
  <r>
    <s v="Emaar Palm Gardens"/>
    <x v="46"/>
    <n v="9011"/>
    <n v="3"/>
    <x v="0"/>
    <x v="0"/>
    <s v=" Sector 83 Gurgaon"/>
    <n v="0"/>
    <n v="0"/>
    <n v="3"/>
    <n v="4"/>
    <n v="3"/>
    <x v="1"/>
    <n v="16"/>
    <n v="1"/>
    <n v="0"/>
    <n v="0"/>
    <n v="0"/>
    <n v="1095"/>
    <n v="1400"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011985351237E-2"/>
    <n v="15500000"/>
    <n v="9.0109999999999996E-2"/>
    <x v="3"/>
    <s v="Todo bien"/>
    <x v="1"/>
    <x v="5"/>
    <n v="749.28463976805961"/>
    <x v="1"/>
    <x v="0"/>
    <s v="Mediana"/>
    <x v="1"/>
    <n v="1720.1198535123738"/>
  </r>
  <r>
    <s v="Emaar Palm Gardens"/>
    <x v="184"/>
    <n v="9263"/>
    <n v="3"/>
    <x v="7"/>
    <x v="0"/>
    <s v=" Sector 83 Gurgaon"/>
    <n v="0"/>
    <n v="0"/>
    <n v="3"/>
    <n v="6"/>
    <n v="3"/>
    <x v="1"/>
    <n v="16"/>
    <n v="1"/>
    <n v="0"/>
    <n v="0"/>
    <n v="0"/>
    <n v="1240"/>
    <n v="1500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x v="3"/>
    <s v="Todo bien"/>
    <x v="1"/>
    <x v="5"/>
    <n v="827.65458445859622"/>
    <x v="1"/>
    <x v="2"/>
    <s v="Mediana"/>
    <x v="1"/>
    <n v="1900.0323869156859"/>
  </r>
  <r>
    <s v="Emaar Palm Gardens"/>
    <x v="184"/>
    <n v="9263"/>
    <n v="3"/>
    <x v="3"/>
    <x v="0"/>
    <s v=" Sector 83 Gurgaon"/>
    <n v="0"/>
    <n v="0"/>
    <n v="3"/>
    <n v="5"/>
    <n v="3"/>
    <x v="1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x v="3"/>
    <s v="Todo bien"/>
    <x v="1"/>
    <x v="5"/>
    <n v="827.65458445859622"/>
    <x v="1"/>
    <x v="2"/>
    <s v="Mediana"/>
    <x v="1"/>
    <n v="1900.0323869156859"/>
  </r>
  <r>
    <s v="Godrej Frontier"/>
    <x v="100"/>
    <n v="6189"/>
    <n v="3"/>
    <x v="7"/>
    <x v="5"/>
    <s v=" Sector 80 Gurgaon"/>
    <n v="0"/>
    <n v="0"/>
    <n v="4"/>
    <n v="10"/>
    <n v="2"/>
    <x v="1"/>
    <n v="18"/>
    <n v="0"/>
    <n v="0"/>
    <n v="1"/>
    <n v="1"/>
    <n v="1576"/>
    <n v="1854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x v="2"/>
    <s v="Todo bien"/>
    <x v="0"/>
    <x v="5"/>
    <n v="985.36169213119956"/>
    <x v="1"/>
    <x v="2"/>
    <s v="Grande"/>
    <x v="2"/>
    <n v="2262.0778801098722"/>
  </r>
  <r>
    <s v="Godrej Frontier"/>
    <x v="8"/>
    <n v="5705"/>
    <n v="3"/>
    <x v="7"/>
    <x v="5"/>
    <s v=" Sector 80 Gurgaon"/>
    <n v="0"/>
    <n v="0"/>
    <n v="3"/>
    <n v="8"/>
    <n v="3"/>
    <x v="1"/>
    <n v="18"/>
    <n v="1"/>
    <n v="0"/>
    <n v="0"/>
    <n v="0"/>
    <n v="1391"/>
    <n v="1580"/>
    <n v="192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81332164767701E-2"/>
    <n v="11000000"/>
    <n v="5.7049999999999997E-2"/>
    <x v="2"/>
    <s v="Todo bien"/>
    <x v="0"/>
    <x v="5"/>
    <n v="839.89531286590511"/>
    <x v="1"/>
    <x v="2"/>
    <s v="Mediana"/>
    <x v="1"/>
    <n v="1928.1332164767748"/>
  </r>
  <r>
    <s v="DLF The Ultima"/>
    <x v="158"/>
    <n v="11491"/>
    <n v="3"/>
    <x v="3"/>
    <x v="0"/>
    <s v=" Sector 81 Gurgaon"/>
    <n v="0"/>
    <n v="0"/>
    <n v="3"/>
    <n v="9"/>
    <n v="2"/>
    <x v="1"/>
    <n v="29"/>
    <n v="1"/>
    <n v="0"/>
    <n v="0"/>
    <n v="0"/>
    <n v="1500"/>
    <n v="18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2.1321033852580201E-2"/>
    <n v="24500000.000000004"/>
    <n v="0.11491"/>
    <x v="3"/>
    <s v="Todo bien"/>
    <x v="1"/>
    <x v="5"/>
    <n v="928.74476956313299"/>
    <x v="1"/>
    <x v="2"/>
    <s v="Mediana"/>
    <x v="2"/>
    <n v="2132.1033852580281"/>
  </r>
  <r>
    <s v="Ireo The Grand Arch"/>
    <x v="208"/>
    <n v="17560"/>
    <n v="3"/>
    <x v="0"/>
    <x v="5"/>
    <s v=" sector 58 Gurgaon"/>
    <n v="0"/>
    <n v="0"/>
    <n v="4"/>
    <n v="19"/>
    <n v="1"/>
    <x v="1"/>
    <n v="29"/>
    <n v="1"/>
    <n v="0"/>
    <n v="0"/>
    <n v="0"/>
    <n v="1600"/>
    <n v="1700"/>
    <n v="216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2.1640091116173099E-2"/>
    <n v="38000000"/>
    <n v="0.17560000000000001"/>
    <x v="5"/>
    <s v="Todo bien"/>
    <x v="1"/>
    <x v="5"/>
    <n v="942.64291197038631"/>
    <x v="1"/>
    <x v="2"/>
    <s v="Mediana"/>
    <x v="2"/>
    <n v="2164.0091116173121"/>
  </r>
  <r>
    <s v="DLF Park Place"/>
    <x v="322"/>
    <n v="24688"/>
    <n v="3"/>
    <x v="2"/>
    <x v="0"/>
    <s v=" Sector 54 Gurgaon"/>
    <n v="0"/>
    <n v="0"/>
    <n v="4"/>
    <n v="12"/>
    <n v="3"/>
    <x v="1"/>
    <n v="30"/>
    <n v="1"/>
    <n v="0"/>
    <n v="0"/>
    <n v="0"/>
    <n v="1700"/>
    <n v="1900"/>
    <n v="23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6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3290667530784102E-2"/>
    <n v="57500000"/>
    <n v="0.24687999999999999"/>
    <x v="4"/>
    <s v="Todo bien"/>
    <x v="2"/>
    <x v="5"/>
    <n v="1014.5420620038038"/>
    <x v="1"/>
    <x v="2"/>
    <s v="Grande"/>
    <x v="2"/>
    <n v="2329.066753078419"/>
  </r>
  <r>
    <s v="DLF The Belaire"/>
    <x v="323"/>
    <n v="24557"/>
    <n v="4"/>
    <x v="5"/>
    <x v="5"/>
    <s v=" Sector 54 Gurgaon"/>
    <n v="0"/>
    <n v="0"/>
    <n v="5"/>
    <n v="17"/>
    <n v="3"/>
    <x v="2"/>
    <n v="30"/>
    <n v="1"/>
    <n v="0"/>
    <n v="0"/>
    <n v="0"/>
    <n v="2800"/>
    <n v="3000"/>
    <n v="4072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1"/>
    <x v="1"/>
    <x v="1"/>
    <x v="1"/>
    <n v="1"/>
    <n v="7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4.0721586513010499E-2"/>
    <n v="100000000"/>
    <n v="0.24557000000000001"/>
    <x v="6"/>
    <s v="Todo bien"/>
    <x v="2"/>
    <x v="5"/>
    <n v="1773.8333302113431"/>
    <x v="3"/>
    <x v="3"/>
    <s v="Muy grande"/>
    <x v="3"/>
    <n v="4072.1586513010543"/>
  </r>
  <r>
    <s v="Suncity Platinum Towers"/>
    <x v="324"/>
    <n v="23091"/>
    <n v="3"/>
    <x v="8"/>
    <x v="0"/>
    <s v=" MG Road"/>
    <n v="0"/>
    <n v="0"/>
    <n v="4"/>
    <n v="21"/>
    <n v="3"/>
    <x v="1"/>
    <n v="24"/>
    <n v="1"/>
    <n v="0"/>
    <n v="0"/>
    <n v="0"/>
    <n v="1900"/>
    <n v="2000"/>
    <n v="2685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850287990992101E-2"/>
    <n v="62000000"/>
    <n v="0.23091"/>
    <x v="6"/>
    <s v="Todo bien"/>
    <x v="1"/>
    <x v="5"/>
    <n v="1169.5992185613418"/>
    <x v="1"/>
    <x v="2"/>
    <s v="Grande"/>
    <x v="2"/>
    <n v="2685.028799099216"/>
  </r>
  <r>
    <s v="Emaar Palm Gardens"/>
    <x v="68"/>
    <n v="9210"/>
    <n v="3"/>
    <x v="0"/>
    <x v="0"/>
    <s v=" Sector 83 Gurgaon"/>
    <n v="0"/>
    <n v="0"/>
    <n v="3"/>
    <n v="6"/>
    <n v="3"/>
    <x v="1"/>
    <n v="16"/>
    <n v="1"/>
    <n v="0"/>
    <n v="0"/>
    <n v="0"/>
    <n v="1240"/>
    <n v="1600"/>
    <n v="190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001085776330001E-2"/>
    <n v="17500000"/>
    <n v="9.2100000000000001E-2"/>
    <x v="3"/>
    <s v="Todo bien"/>
    <x v="1"/>
    <x v="5"/>
    <n v="827.68777315417708"/>
    <x v="1"/>
    <x v="2"/>
    <s v="Mediana"/>
    <x v="1"/>
    <n v="1900.1085776330076"/>
  </r>
  <r>
    <s v="DLF The Ultima"/>
    <x v="92"/>
    <n v="11257"/>
    <n v="3"/>
    <x v="7"/>
    <x v="0"/>
    <s v=" Sector 81 Gurgaon"/>
    <n v="0"/>
    <n v="0"/>
    <n v="3"/>
    <n v="10"/>
    <n v="2"/>
    <x v="1"/>
    <n v="29"/>
    <n v="1"/>
    <n v="0"/>
    <n v="0"/>
    <n v="0"/>
    <n v="1400"/>
    <n v="1800"/>
    <n v="213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3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1320067513547099E-2"/>
    <n v="24000000"/>
    <n v="0.11257"/>
    <x v="3"/>
    <s v="Todo bien"/>
    <x v="2"/>
    <x v="5"/>
    <n v="928.70267581060557"/>
    <x v="1"/>
    <x v="2"/>
    <s v="Mediana"/>
    <x v="2"/>
    <n v="2132.0067513547124"/>
  </r>
  <r>
    <s v="Emaar Palm Gardens"/>
    <x v="68"/>
    <n v="9210"/>
    <n v="3"/>
    <x v="4"/>
    <x v="0"/>
    <s v=" Sector 83 Gurgaon"/>
    <n v="0"/>
    <n v="0"/>
    <n v="3"/>
    <n v="6"/>
    <n v="3"/>
    <x v="1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1"/>
    <n v="0"/>
    <n v="0"/>
    <n v="0"/>
    <n v="0"/>
    <n v="0"/>
    <n v="2"/>
    <n v="1.9001085776330001E-2"/>
    <n v="17500000"/>
    <n v="9.2100000000000001E-2"/>
    <x v="3"/>
    <s v="Todo bien"/>
    <x v="1"/>
    <x v="5"/>
    <n v="827.68777315417708"/>
    <x v="1"/>
    <x v="2"/>
    <s v="Mediana"/>
    <x v="1"/>
    <n v="1900.1085776330076"/>
  </r>
  <r>
    <s v="Godrej Frontier"/>
    <x v="100"/>
    <n v="6189"/>
    <n v="3"/>
    <x v="8"/>
    <x v="5"/>
    <s v=" Sector 80 Gurgaon"/>
    <n v="0"/>
    <n v="0"/>
    <n v="4"/>
    <n v="6"/>
    <n v="2"/>
    <x v="1"/>
    <n v="18"/>
    <n v="1"/>
    <n v="0"/>
    <n v="1"/>
    <n v="0"/>
    <n v="1634"/>
    <n v="1922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x v="2"/>
    <s v="Todo bien"/>
    <x v="0"/>
    <x v="5"/>
    <n v="985.36169213119956"/>
    <x v="1"/>
    <x v="2"/>
    <s v="Grande"/>
    <x v="2"/>
    <n v="2262.0778801098722"/>
  </r>
  <r>
    <s v="Ramsons Kshitij"/>
    <x v="325"/>
    <n v="53"/>
    <n v="2"/>
    <x v="7"/>
    <x v="0"/>
    <s v=" Sector 95 Gurgaon"/>
    <n v="0"/>
    <n v="0"/>
    <n v="2"/>
    <n v="10"/>
    <n v="1"/>
    <x v="0"/>
    <n v="14"/>
    <n v="0"/>
    <n v="0"/>
    <n v="0"/>
    <n v="0"/>
    <n v="45966"/>
    <m/>
    <m/>
    <n v="0"/>
    <n v="0"/>
    <n v="0"/>
    <n v="1"/>
    <n v="0"/>
    <n v="0"/>
    <n v="0"/>
    <n v="1"/>
    <n v="0"/>
    <n v="1"/>
    <n v="0"/>
    <n v="1"/>
    <n v="1"/>
    <n v="1"/>
    <n v="0"/>
    <n v="0"/>
    <n v="0"/>
    <n v="2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6226415094339618"/>
    <n v="2450000"/>
    <n v="5.2999999999999998E-4"/>
    <x v="0"/>
    <s v="Todo bien"/>
    <x v="0"/>
    <x v="1"/>
    <n v="20136.238013301885"/>
    <x v="2"/>
    <x v="3"/>
    <s v="Pequeña"/>
    <x v="0"/>
    <n v="46226.415094339623"/>
  </r>
  <r>
    <s v="Ramsons Kshitij"/>
    <x v="326"/>
    <n v="544"/>
    <n v="1"/>
    <x v="2"/>
    <x v="0"/>
    <s v=" Sector 95 Gurgaon"/>
    <n v="0"/>
    <n v="0"/>
    <n v="1"/>
    <n v="12"/>
    <n v="1"/>
    <x v="3"/>
    <n v="14"/>
    <n v="0"/>
    <n v="0"/>
    <n v="0"/>
    <n v="0"/>
    <n v="3212"/>
    <m/>
    <m/>
    <n v="0"/>
    <n v="0"/>
    <n v="1"/>
    <n v="1"/>
    <n v="0"/>
    <n v="0"/>
    <n v="0"/>
    <n v="1"/>
    <n v="0"/>
    <n v="1"/>
    <n v="0"/>
    <n v="1"/>
    <n v="1"/>
    <n v="1"/>
    <n v="0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9117647058799E-2"/>
    <n v="1750000"/>
    <n v="5.4400000000000004E-3"/>
    <x v="0"/>
    <s v="Todo bien"/>
    <x v="0"/>
    <x v="3"/>
    <n v="1401.2875718290431"/>
    <x v="1"/>
    <x v="3"/>
    <s v="Pequeña"/>
    <x v="0"/>
    <n v="3216.911764705882"/>
  </r>
  <r>
    <s v="Ramsons Kshitij"/>
    <x v="302"/>
    <n v="5"/>
    <n v="2"/>
    <x v="2"/>
    <x v="0"/>
    <s v=" Sector 95 Gurgaon"/>
    <n v="0"/>
    <n v="0"/>
    <n v="2"/>
    <n v="1"/>
    <n v="1"/>
    <x v="0"/>
    <n v="14"/>
    <n v="0"/>
    <n v="1"/>
    <n v="0"/>
    <n v="0"/>
    <n v="607936"/>
    <m/>
    <m/>
    <n v="0"/>
    <n v="0"/>
    <n v="1"/>
    <n v="1"/>
    <n v="0"/>
    <n v="0"/>
    <n v="0"/>
    <n v="1"/>
    <n v="0"/>
    <n v="1"/>
    <n v="0"/>
    <n v="1"/>
    <n v="1"/>
    <n v="1"/>
    <n v="1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"/>
    <n v="3100000"/>
    <n v="5.0000000000000002E-5"/>
    <x v="0"/>
    <s v="Todo bien"/>
    <x v="0"/>
    <x v="3"/>
    <n v="270072.15555800003"/>
    <x v="2"/>
    <x v="3"/>
    <s v="Pequeña"/>
    <x v="0"/>
    <n v="620000"/>
  </r>
  <r>
    <s v="ROF Ananda"/>
    <x v="327"/>
    <n v="60"/>
    <n v="2"/>
    <x v="6"/>
    <x v="0"/>
    <s v=" Sector 95 Gurgaon"/>
    <n v="0"/>
    <n v="0"/>
    <n v="2"/>
    <n v="13"/>
    <n v="1"/>
    <x v="0"/>
    <n v="14"/>
    <n v="0"/>
    <n v="0"/>
    <n v="0"/>
    <n v="0"/>
    <n v="54917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5000000000000004"/>
    <n v="3300000"/>
    <n v="5.9999999999999995E-4"/>
    <x v="0"/>
    <s v="Todo bien"/>
    <x v="0"/>
    <x v="1"/>
    <n v="23958.013799500004"/>
    <x v="2"/>
    <x v="3"/>
    <s v="Pequeña"/>
    <x v="0"/>
    <n v="55000.000000000007"/>
  </r>
  <r>
    <s v="ROF Ananda"/>
    <x v="94"/>
    <n v="58"/>
    <n v="3"/>
    <x v="5"/>
    <x v="0"/>
    <s v=" Sector 95 Gurgaon"/>
    <n v="0"/>
    <n v="0"/>
    <n v="2"/>
    <n v="12"/>
    <n v="1"/>
    <x v="1"/>
    <n v="14"/>
    <n v="0"/>
    <n v="0"/>
    <n v="0"/>
    <n v="0"/>
    <n v="64412"/>
    <m/>
    <m/>
    <n v="0"/>
    <n v="0"/>
    <n v="1"/>
    <n v="1"/>
    <n v="0"/>
    <n v="0"/>
    <n v="0"/>
    <n v="1"/>
    <n v="0"/>
    <n v="1"/>
    <n v="0"/>
    <n v="1"/>
    <n v="1"/>
    <n v="0"/>
    <n v="0"/>
    <n v="0"/>
    <n v="0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5517241379310343"/>
    <n v="3800000"/>
    <n v="5.8E-4"/>
    <x v="0"/>
    <s v="Todo bien"/>
    <x v="0"/>
    <x v="3"/>
    <n v="28539.32678310345"/>
    <x v="2"/>
    <x v="3"/>
    <s v="Pequeña"/>
    <x v="0"/>
    <n v="65517.241379310348"/>
  </r>
  <r>
    <s v="ROF Ananda"/>
    <x v="240"/>
    <n v="61"/>
    <n v="1"/>
    <x v="5"/>
    <x v="0"/>
    <s v=" Sector 95 Gurgaon"/>
    <n v="0"/>
    <n v="0"/>
    <n v="1"/>
    <n v="13"/>
    <n v="1"/>
    <x v="3"/>
    <n v="14"/>
    <n v="0"/>
    <n v="0"/>
    <n v="0"/>
    <n v="0"/>
    <n v="34401"/>
    <m/>
    <m/>
    <n v="0"/>
    <n v="0"/>
    <n v="1"/>
    <n v="1"/>
    <n v="0"/>
    <n v="0"/>
    <n v="0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34426229508196721"/>
    <n v="2100000"/>
    <n v="6.0999999999999997E-4"/>
    <x v="0"/>
    <s v="Todo bien"/>
    <x v="0"/>
    <x v="3"/>
    <n v="14996.074211311476"/>
    <x v="2"/>
    <x v="3"/>
    <s v="Pequeña"/>
    <x v="0"/>
    <n v="34426.229508196724"/>
  </r>
  <r>
    <s v="ROF Ananda"/>
    <x v="328"/>
    <n v="5463"/>
    <n v="1"/>
    <x v="0"/>
    <x v="0"/>
    <s v=" Sector 95 Gurgaon"/>
    <n v="0"/>
    <n v="0"/>
    <n v="1"/>
    <n v="10"/>
    <n v="1"/>
    <x v="3"/>
    <n v="14"/>
    <n v="0"/>
    <n v="0"/>
    <n v="0"/>
    <n v="0"/>
    <n v="366.08"/>
    <m/>
    <m/>
    <n v="0"/>
    <n v="0"/>
    <n v="1"/>
    <n v="1"/>
    <n v="1"/>
    <n v="0"/>
    <n v="1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x v="0"/>
    <s v="Todo bien"/>
    <x v="0"/>
    <x v="3"/>
    <n v="159.47290898773468"/>
    <x v="0"/>
    <x v="1"/>
    <s v="Pequeña"/>
    <x v="0"/>
    <n v="366.09921288669233"/>
  </r>
  <r>
    <s v="CHD Avenue "/>
    <x v="56"/>
    <n v="7407"/>
    <n v="3"/>
    <x v="5"/>
    <x v="0"/>
    <s v=" Sector 71 Gurgaon"/>
    <n v="0"/>
    <n v="0"/>
    <n v="3"/>
    <n v="4"/>
    <n v="3"/>
    <x v="1"/>
    <n v="14"/>
    <n v="0"/>
    <n v="0"/>
    <n v="0"/>
    <n v="0"/>
    <n v="1620.0891049007696"/>
    <m/>
    <n v="16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1"/>
    <n v="0"/>
    <n v="1"/>
    <n v="1"/>
    <n v="3"/>
    <n v="1"/>
    <n v="1"/>
    <n v="1"/>
    <n v="0"/>
    <n v="0"/>
    <n v="1"/>
    <n v="1"/>
    <n v="0"/>
    <n v="0"/>
    <n v="0"/>
    <n v="1"/>
    <n v="1"/>
    <n v="1"/>
    <n v="0"/>
    <n v="0"/>
    <n v="0"/>
    <n v="0"/>
    <n v="0"/>
    <n v="0"/>
    <n v="2"/>
    <n v="1.6200891049007599E-2"/>
    <n v="12000000"/>
    <n v="7.4069999999999997E-2"/>
    <x v="2"/>
    <s v="Todo bien"/>
    <x v="1"/>
    <x v="1"/>
    <n v="705.71122057512741"/>
    <x v="1"/>
    <x v="2"/>
    <s v="Pequeña"/>
    <x v="1"/>
    <n v="1620.0891049007696"/>
  </r>
  <r>
    <s v="Shapoorji Pallonji Joyville Gurugram"/>
    <x v="192"/>
    <n v="10370"/>
    <n v="2"/>
    <x v="4"/>
    <x v="0"/>
    <s v=" Sector 102 Gurgaon"/>
    <n v="0"/>
    <n v="0"/>
    <n v="2"/>
    <n v="7"/>
    <n v="3"/>
    <x v="0"/>
    <n v="26"/>
    <n v="0"/>
    <n v="0"/>
    <n v="0"/>
    <n v="0"/>
    <n v="1215.0433944069432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2150433944069399E-2"/>
    <n v="12600000"/>
    <n v="0.1037"/>
    <x v="2"/>
    <s v="Todo bien"/>
    <x v="1"/>
    <x v="1"/>
    <n v="529.27320745805071"/>
    <x v="1"/>
    <x v="2"/>
    <s v="Pequeña"/>
    <x v="1"/>
    <n v="1215.0433944069432"/>
  </r>
  <r>
    <s v="Indiabulls Centrum Park"/>
    <x v="280"/>
    <n v="7486"/>
    <n v="3"/>
    <x v="3"/>
    <x v="0"/>
    <s v=" Sector 103 Gurgaon"/>
    <n v="0"/>
    <n v="0"/>
    <n v="3"/>
    <n v="13"/>
    <n v="3"/>
    <x v="1"/>
    <n v="18"/>
    <n v="0"/>
    <n v="1"/>
    <n v="0"/>
    <n v="0"/>
    <n v="1350"/>
    <m/>
    <n v="179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0080149612599E-2"/>
    <n v="13400000"/>
    <n v="7.4859999999999996E-2"/>
    <x v="2"/>
    <s v="Todo bien"/>
    <x v="0"/>
    <x v="5"/>
    <n v="779.72794043013585"/>
    <x v="1"/>
    <x v="2"/>
    <s v="Pequeña"/>
    <x v="1"/>
    <n v="1790.0080149612611"/>
  </r>
  <r>
    <s v="ATS Triumph"/>
    <x v="51"/>
    <n v="7936"/>
    <n v="4"/>
    <x v="2"/>
    <x v="2"/>
    <s v=" Sector 104 Gurgaon"/>
    <n v="0"/>
    <n v="0"/>
    <n v="4"/>
    <n v="14"/>
    <n v="3"/>
    <x v="2"/>
    <n v="27"/>
    <n v="1"/>
    <n v="0"/>
    <n v="0"/>
    <n v="0"/>
    <n v="3150.2016129032259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016129032202E-2"/>
    <n v="25000000"/>
    <n v="7.936E-2"/>
    <x v="3"/>
    <s v="Todo bien"/>
    <x v="0"/>
    <x v="0"/>
    <n v="1372.2286129662275"/>
    <x v="1"/>
    <x v="3"/>
    <s v="Pequeña"/>
    <x v="3"/>
    <n v="3150.2016129032259"/>
  </r>
  <r>
    <s v="Puri Diplomatic Greens"/>
    <x v="139"/>
    <n v="12542"/>
    <n v="4"/>
    <x v="3"/>
    <x v="0"/>
    <s v=" Sector 111 Gurgaon"/>
    <n v="0"/>
    <n v="0"/>
    <n v="5"/>
    <n v="12"/>
    <n v="3"/>
    <x v="2"/>
    <n v="21"/>
    <n v="1"/>
    <n v="0"/>
    <n v="0"/>
    <n v="0"/>
    <n v="2450"/>
    <n v="2650"/>
    <n v="295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9500877053101501E-2"/>
    <n v="37000000"/>
    <n v="0.12542"/>
    <x v="5"/>
    <s v="Todo bien"/>
    <x v="1"/>
    <x v="5"/>
    <n v="1285.0589446101067"/>
    <x v="1"/>
    <x v="2"/>
    <s v="Muy grande"/>
    <x v="2"/>
    <n v="2950.0877053101576"/>
  </r>
  <r>
    <s v="HSIIDC Sidco Shivalik Apartments"/>
    <x v="91"/>
    <n v="4000"/>
    <n v="3"/>
    <x v="3"/>
    <x v="5"/>
    <s v=" Sector 1 Imt Manesar"/>
    <n v="0"/>
    <n v="0"/>
    <n v="2"/>
    <n v="5"/>
    <n v="2"/>
    <x v="1"/>
    <n v="9"/>
    <n v="0"/>
    <n v="0"/>
    <n v="0"/>
    <n v="0"/>
    <n v="1077"/>
    <m/>
    <n v="15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6000000"/>
    <n v="0.04"/>
    <x v="1"/>
    <s v="Todo bien"/>
    <x v="0"/>
    <x v="3"/>
    <n v="653.40037634999999"/>
    <x v="1"/>
    <x v="0"/>
    <s v="Pequeña"/>
    <x v="1"/>
    <n v="1500"/>
  </r>
  <r>
    <s v="Alpha Corp GurgaonOne "/>
    <x v="18"/>
    <n v="6406"/>
    <n v="4"/>
    <x v="6"/>
    <x v="0"/>
    <s v=" Sector 84 Gurgaon"/>
    <n v="0"/>
    <n v="0"/>
    <n v="4"/>
    <n v="15"/>
    <n v="3"/>
    <x v="2"/>
    <n v="19"/>
    <n v="1"/>
    <n v="0"/>
    <n v="0"/>
    <n v="0"/>
    <n v="3434.2803621604749"/>
    <m/>
    <n v="3434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2803621604703E-2"/>
    <n v="22000000.000000004"/>
    <n v="6.4060000000000006E-2"/>
    <x v="3"/>
    <s v="Todo bien"/>
    <x v="0"/>
    <x v="4"/>
    <n v="1495.9733874180438"/>
    <x v="1"/>
    <x v="3"/>
    <s v="Pequeña"/>
    <x v="3"/>
    <n v="3434.2803621604749"/>
  </r>
  <r>
    <s v="DLF The Belaire"/>
    <x v="288"/>
    <n v="23333"/>
    <n v="4"/>
    <x v="4"/>
    <x v="5"/>
    <s v=" Sector 54 Gurgaon"/>
    <n v="0"/>
    <n v="0"/>
    <n v="6"/>
    <n v="12"/>
    <n v="3"/>
    <x v="2"/>
    <n v="30"/>
    <n v="1"/>
    <n v="0"/>
    <n v="1"/>
    <n v="1"/>
    <n v="3000.0428577551106"/>
    <m/>
    <n v="30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1"/>
    <x v="1"/>
    <x v="1"/>
    <x v="1"/>
    <n v="1"/>
    <n v="0"/>
    <n v="0"/>
    <n v="6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00004285775511E-2"/>
    <n v="70000000"/>
    <n v="0.23333000000000001"/>
    <x v="6"/>
    <s v="Todo bien"/>
    <x v="1"/>
    <x v="5"/>
    <n v="1306.8194215488791"/>
    <x v="1"/>
    <x v="3"/>
    <s v="Pequeña"/>
    <x v="2"/>
    <n v="3000.0428577551106"/>
  </r>
  <r>
    <s v="ATS Triumph"/>
    <x v="153"/>
    <n v="8253"/>
    <n v="4"/>
    <x v="8"/>
    <x v="0"/>
    <s v=" Sector 104 Gurgaon"/>
    <n v="0"/>
    <n v="0"/>
    <n v="4"/>
    <n v="12"/>
    <n v="3"/>
    <x v="2"/>
    <n v="27"/>
    <n v="1"/>
    <n v="0"/>
    <n v="0"/>
    <n v="0"/>
    <n v="3150.3695625833029"/>
    <m/>
    <n v="315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3695625833002E-2"/>
    <n v="26000000"/>
    <n v="8.2530000000000006E-2"/>
    <x v="5"/>
    <s v="Todo bien"/>
    <x v="0"/>
    <x v="4"/>
    <n v="1372.3017718890089"/>
    <x v="1"/>
    <x v="3"/>
    <s v="Pequeña"/>
    <x v="3"/>
    <n v="3150.3695625833029"/>
  </r>
  <r>
    <s v="Mahindra Luminare"/>
    <x v="329"/>
    <n v="19173"/>
    <n v="3"/>
    <x v="2"/>
    <x v="2"/>
    <s v=" Sector 59 Gurgaon"/>
    <n v="0"/>
    <n v="0"/>
    <n v="4"/>
    <n v="16"/>
    <n v="3"/>
    <x v="1"/>
    <n v="30"/>
    <n v="1"/>
    <n v="0"/>
    <n v="0"/>
    <n v="0"/>
    <n v="302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2508736243676E-2"/>
    <n v="58000000"/>
    <n v="0.19173000000000001"/>
    <x v="4"/>
    <s v="Todo bien"/>
    <x v="1"/>
    <x v="1"/>
    <n v="1317.728814071872"/>
    <x v="1"/>
    <x v="3"/>
    <s v="Pequeña"/>
    <x v="0"/>
    <n v="3025.08736243676"/>
  </r>
  <r>
    <s v="Shree Vardhman Victoria"/>
    <x v="7"/>
    <n v="9230"/>
    <n v="3"/>
    <x v="2"/>
    <x v="2"/>
    <s v=" Sector 70 Gurgaon"/>
    <n v="0"/>
    <n v="0"/>
    <n v="3"/>
    <n v="10"/>
    <n v="3"/>
    <x v="1"/>
    <n v="18"/>
    <n v="0"/>
    <n v="0"/>
    <n v="0"/>
    <n v="0"/>
    <n v="1950.1625135427953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4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x v="3"/>
    <s v="Todo bien"/>
    <x v="1"/>
    <x v="1"/>
    <n v="849.49128019501404"/>
    <x v="1"/>
    <x v="2"/>
    <s v="Pequeña"/>
    <x v="1"/>
    <n v="1950.1625135427953"/>
  </r>
  <r>
    <s v="MM Skywalk"/>
    <x v="100"/>
    <n v="9831"/>
    <n v="2"/>
    <x v="2"/>
    <x v="2"/>
    <s v=" Sector 74 Gurgaon"/>
    <n v="0"/>
    <n v="0"/>
    <n v="2"/>
    <n v="17"/>
    <n v="2"/>
    <x v="0"/>
    <n v="30"/>
    <n v="0"/>
    <n v="0"/>
    <n v="0"/>
    <n v="0"/>
    <n v="1424.066727698098"/>
    <m/>
    <n v="1424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2406672769809E-2"/>
    <n v="14000000"/>
    <n v="9.8309999999999995E-2"/>
    <x v="2"/>
    <s v="Todo bien"/>
    <x v="1"/>
    <x v="5"/>
    <n v="620.32382388362998"/>
    <x v="1"/>
    <x v="2"/>
    <s v="Pequeña"/>
    <x v="1"/>
    <n v="1424.066727698098"/>
  </r>
  <r>
    <s v="SS The Leaf"/>
    <x v="111"/>
    <n v="7290"/>
    <n v="4"/>
    <x v="2"/>
    <x v="0"/>
    <s v=" Sector 85 Gurgaon"/>
    <n v="0"/>
    <n v="0"/>
    <n v="4"/>
    <n v="4"/>
    <n v="3"/>
    <x v="2"/>
    <n v="15"/>
    <n v="1"/>
    <n v="0"/>
    <n v="0"/>
    <n v="0"/>
    <n v="2250"/>
    <n v="25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8120713305898399E-2"/>
    <n v="20500000"/>
    <n v="7.2900000000000006E-2"/>
    <x v="3"/>
    <s v="Todo bien"/>
    <x v="1"/>
    <x v="1"/>
    <n v="1224.9389771536312"/>
    <x v="1"/>
    <x v="2"/>
    <s v="Grande"/>
    <x v="2"/>
    <n v="2812.0713305898489"/>
  </r>
  <r>
    <s v="SS The Leaf"/>
    <x v="228"/>
    <n v="6720"/>
    <n v="2"/>
    <x v="3"/>
    <x v="0"/>
    <s v=" Sector 85 Gurgaon"/>
    <n v="0"/>
    <n v="0"/>
    <n v="3"/>
    <n v="10"/>
    <n v="3"/>
    <x v="0"/>
    <n v="26"/>
    <n v="0"/>
    <n v="0"/>
    <n v="0"/>
    <n v="0"/>
    <n v="1350"/>
    <n v="155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7142857142E-2"/>
    <n v="11700000"/>
    <n v="6.7199999999999996E-2"/>
    <x v="2"/>
    <s v="Todo bien"/>
    <x v="0"/>
    <x v="1"/>
    <n v="758.41115112053205"/>
    <x v="1"/>
    <x v="2"/>
    <s v="Mediana"/>
    <x v="1"/>
    <n v="1741.0714285714287"/>
  </r>
  <r>
    <s v="DLF The Skycourt"/>
    <x v="234"/>
    <n v="8190"/>
    <n v="3"/>
    <x v="5"/>
    <x v="0"/>
    <s v=" Sector 86 Gurgaon"/>
    <n v="0"/>
    <n v="0"/>
    <n v="3"/>
    <n v="16"/>
    <n v="1"/>
    <x v="1"/>
    <n v="19"/>
    <n v="0"/>
    <n v="0"/>
    <n v="1"/>
    <n v="0"/>
    <n v="1450"/>
    <n v="17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291819291819199E-2"/>
    <n v="15800000"/>
    <n v="8.1900000000000001E-2"/>
    <x v="3"/>
    <s v="Todo bien"/>
    <x v="1"/>
    <x v="5"/>
    <n v="840.35213238339043"/>
    <x v="1"/>
    <x v="2"/>
    <s v="Mediana"/>
    <x v="1"/>
    <n v="1929.1819291819293"/>
  </r>
  <r>
    <s v="DLF Regal Gardens"/>
    <x v="43"/>
    <n v="8116"/>
    <n v="3"/>
    <x v="3"/>
    <x v="0"/>
    <s v=" Sector 90 Gurgaon"/>
    <n v="0"/>
    <n v="0"/>
    <n v="3"/>
    <n v="8"/>
    <n v="3"/>
    <x v="1"/>
    <n v="29"/>
    <n v="0"/>
    <n v="0"/>
    <n v="1"/>
    <n v="0"/>
    <n v="1540"/>
    <n v="16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16757023164E-2"/>
    <n v="12500000"/>
    <n v="8.1159999999999996E-2"/>
    <x v="2"/>
    <s v="Todo bien"/>
    <x v="0"/>
    <x v="5"/>
    <n v="670.89738002094577"/>
    <x v="1"/>
    <x v="2"/>
    <s v="Mediana"/>
    <x v="1"/>
    <n v="1540.1675702316413"/>
  </r>
  <r>
    <s v="ROF Ananda"/>
    <x v="316"/>
    <n v="5744"/>
    <n v="3"/>
    <x v="3"/>
    <x v="0"/>
    <s v=" Sector 95 Gurgaon"/>
    <n v="0"/>
    <n v="0"/>
    <n v="2"/>
    <n v="6"/>
    <n v="1"/>
    <x v="1"/>
    <n v="14"/>
    <n v="0"/>
    <n v="0"/>
    <n v="1"/>
    <n v="0"/>
    <n v="644.12"/>
    <m/>
    <m/>
    <n v="0"/>
    <n v="0"/>
    <n v="1"/>
    <n v="1"/>
    <n v="1"/>
    <n v="0"/>
    <n v="0"/>
    <n v="1"/>
    <n v="0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6.4415041782728997E-3"/>
    <n v="3700000"/>
    <n v="5.7439999999999998E-2"/>
    <x v="0"/>
    <s v="Todo bien"/>
    <x v="0"/>
    <x v="3"/>
    <n v="280.59208362290735"/>
    <x v="0"/>
    <x v="0"/>
    <s v="Pequeña"/>
    <x v="0"/>
    <n v="644.15041782729804"/>
  </r>
  <r>
    <s v="ROF Ananda"/>
    <x v="94"/>
    <n v="5899"/>
    <n v="3"/>
    <x v="3"/>
    <x v="0"/>
    <s v=" Sector 95 Gurgaon"/>
    <n v="0"/>
    <n v="0"/>
    <n v="2"/>
    <n v="2"/>
    <n v="1"/>
    <x v="1"/>
    <n v="14"/>
    <n v="0"/>
    <n v="0"/>
    <n v="1"/>
    <n v="0"/>
    <n v="644.12"/>
    <m/>
    <m/>
    <n v="0"/>
    <n v="0"/>
    <n v="1"/>
    <n v="1"/>
    <n v="1"/>
    <n v="0"/>
    <n v="0"/>
    <n v="1"/>
    <n v="0"/>
    <n v="0"/>
    <n v="1"/>
    <n v="1"/>
    <n v="1"/>
    <n v="0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0"/>
    <n v="6.4417697914900002E-3"/>
    <n v="3800000"/>
    <n v="5.8990000000000001E-2"/>
    <x v="0"/>
    <s v="Todo bien"/>
    <x v="0"/>
    <x v="3"/>
    <n v="280.60365374130851"/>
    <x v="0"/>
    <x v="0"/>
    <s v="Pequeña"/>
    <x v="0"/>
    <n v="644.17697914900828"/>
  </r>
  <r>
    <s v="ROF Ananda"/>
    <x v="75"/>
    <n v="5827"/>
    <n v="2"/>
    <x v="5"/>
    <x v="0"/>
    <s v=" Sector 95 Gurgaon"/>
    <n v="0"/>
    <n v="0"/>
    <n v="2"/>
    <n v="9"/>
    <n v="1"/>
    <x v="0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1"/>
    <n v="1"/>
    <n v="1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16766775355997E-3"/>
    <n v="3200000"/>
    <n v="5.8270000000000002E-2"/>
    <x v="0"/>
    <s v="Todo bien"/>
    <x v="1"/>
    <x v="3"/>
    <n v="239.21757385961857"/>
    <x v="0"/>
    <x v="1"/>
    <s v="Pequeña"/>
    <x v="0"/>
    <n v="549.16766775356098"/>
  </r>
  <r>
    <s v="ROF Ananda"/>
    <x v="73"/>
    <n v="5736"/>
    <n v="2"/>
    <x v="5"/>
    <x v="0"/>
    <s v=" Sector 95 Gurgaon"/>
    <n v="0"/>
    <n v="0"/>
    <n v="2"/>
    <n v="10"/>
    <n v="1"/>
    <x v="0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0"/>
    <n v="1"/>
    <n v="0"/>
    <n v="0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1"/>
    <n v="0"/>
    <n v="0"/>
    <n v="0"/>
    <n v="0"/>
    <n v="0"/>
    <n v="2"/>
    <n v="5.4916317991630997E-3"/>
    <n v="3150000"/>
    <n v="5.7360000000000001E-2"/>
    <x v="0"/>
    <s v="Todo bien"/>
    <x v="1"/>
    <x v="1"/>
    <n v="239.21561895658647"/>
    <x v="0"/>
    <x v="1"/>
    <s v="Pequeña"/>
    <x v="0"/>
    <n v="549.16317991631797"/>
  </r>
  <r>
    <s v="ROF Ananda"/>
    <x v="328"/>
    <n v="5463"/>
    <n v="1"/>
    <x v="6"/>
    <x v="0"/>
    <s v=" Sector 95 Gurgaon"/>
    <n v="0"/>
    <n v="0"/>
    <n v="1"/>
    <n v="9"/>
    <n v="1"/>
    <x v="3"/>
    <n v="14"/>
    <n v="0"/>
    <n v="0"/>
    <n v="1"/>
    <n v="0"/>
    <n v="366.08"/>
    <m/>
    <m/>
    <n v="0"/>
    <n v="0"/>
    <n v="0"/>
    <n v="1"/>
    <n v="1"/>
    <n v="0"/>
    <n v="0"/>
    <n v="1"/>
    <n v="0"/>
    <n v="0"/>
    <n v="1"/>
    <n v="0"/>
    <n v="1"/>
    <n v="0"/>
    <n v="1"/>
    <n v="0"/>
    <n v="1"/>
    <n v="1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x v="0"/>
    <s v="Todo bien"/>
    <x v="0"/>
    <x v="0"/>
    <n v="159.47290898773468"/>
    <x v="0"/>
    <x v="1"/>
    <s v="Pequeña"/>
    <x v="0"/>
    <n v="366.09921288669233"/>
  </r>
  <r>
    <s v="ROF Ananda"/>
    <x v="330"/>
    <n v="5599"/>
    <n v="1"/>
    <x v="6"/>
    <x v="0"/>
    <s v=" Sector 95 Gurgaon"/>
    <n v="0"/>
    <n v="0"/>
    <n v="1"/>
    <n v="2"/>
    <n v="1"/>
    <x v="3"/>
    <n v="14"/>
    <n v="0"/>
    <n v="0"/>
    <n v="1"/>
    <n v="0"/>
    <n v="366.08"/>
    <m/>
    <m/>
    <n v="0"/>
    <n v="0"/>
    <n v="1"/>
    <n v="1"/>
    <n v="1"/>
    <n v="0"/>
    <n v="0"/>
    <n v="1"/>
    <n v="0"/>
    <n v="0"/>
    <n v="1"/>
    <n v="0"/>
    <n v="1"/>
    <n v="0"/>
    <n v="1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13681014466002E-3"/>
    <n v="2050000"/>
    <n v="5.5989999999999998E-2"/>
    <x v="0"/>
    <s v="Todo bien"/>
    <x v="0"/>
    <x v="1"/>
    <n v="159.48928636273959"/>
    <x v="0"/>
    <x v="1"/>
    <s v="Pequeña"/>
    <x v="0"/>
    <n v="366.13681014466869"/>
  </r>
  <r>
    <s v="Mapsko Royale Ville"/>
    <x v="282"/>
    <n v="7176"/>
    <n v="3"/>
    <x v="6"/>
    <x v="0"/>
    <s v=" Sector 82 Gurgaon"/>
    <n v="0"/>
    <n v="0"/>
    <n v="5"/>
    <n v="10"/>
    <n v="3"/>
    <x v="1"/>
    <n v="18"/>
    <n v="1"/>
    <n v="0"/>
    <n v="1"/>
    <n v="0"/>
    <n v="1700"/>
    <n v="2000"/>
    <n v="2300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001114827201701E-2"/>
    <n v="12200000"/>
    <n v="7.1760000000000004E-2"/>
    <x v="2"/>
    <s v="Todo bien"/>
    <x v="1"/>
    <x v="1"/>
    <n v="740.5689884308772"/>
    <x v="1"/>
    <x v="2"/>
    <s v="Grande"/>
    <x v="2"/>
    <n v="1700.1114827201782"/>
  </r>
  <r>
    <s v="Spaze Privy AT"/>
    <x v="12"/>
    <n v="9642"/>
    <n v="3"/>
    <x v="3"/>
    <x v="0"/>
    <s v=" Sector 84 Gurgaon"/>
    <n v="0"/>
    <n v="0"/>
    <n v="3"/>
    <n v="7"/>
    <n v="3"/>
    <x v="1"/>
    <n v="21"/>
    <n v="0"/>
    <n v="0"/>
    <n v="1"/>
    <n v="0"/>
    <n v="1400"/>
    <n v="1750"/>
    <n v="1918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2445550715E-2"/>
    <n v="13500000"/>
    <n v="9.6420000000000006E-2"/>
    <x v="2"/>
    <s v="Todo bien"/>
    <x v="0"/>
    <x v="4"/>
    <n v="609.89456411014044"/>
    <x v="1"/>
    <x v="2"/>
    <s v="Mediana"/>
    <x v="1"/>
    <n v="1400.1244555071562"/>
  </r>
  <r>
    <s v="Signature Andour Heights"/>
    <x v="52"/>
    <n v="8607"/>
    <n v="2"/>
    <x v="3"/>
    <x v="0"/>
    <s v=" Sector 71 Gurgaon"/>
    <n v="0"/>
    <n v="0"/>
    <n v="2"/>
    <n v="7"/>
    <n v="1"/>
    <x v="0"/>
    <n v="13"/>
    <n v="0"/>
    <n v="0"/>
    <n v="0"/>
    <n v="0"/>
    <n v="541"/>
    <n v="600"/>
    <n v="639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1475543162002E-3"/>
    <n v="5500000"/>
    <n v="8.6069999999999994E-2"/>
    <x v="1"/>
    <s v="Todo bien"/>
    <x v="1"/>
    <x v="2"/>
    <n v="278.35498779481583"/>
    <x v="0"/>
    <x v="1"/>
    <s v="Pequeña"/>
    <x v="0"/>
    <n v="639.01475543162542"/>
  </r>
  <r>
    <s v="Sare Homes"/>
    <x v="210"/>
    <n v="5358"/>
    <n v="4"/>
    <x v="7"/>
    <x v="0"/>
    <s v=" Sector 92 Gurgaon"/>
    <n v="0"/>
    <n v="0"/>
    <n v="4"/>
    <n v="12"/>
    <n v="2"/>
    <x v="2"/>
    <n v="21"/>
    <n v="1"/>
    <n v="0"/>
    <n v="0"/>
    <n v="0"/>
    <n v="2090"/>
    <m/>
    <m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3322135125E-2"/>
    <n v="11200000"/>
    <n v="5.3580000000000003E-2"/>
    <x v="2"/>
    <s v="Todo bien"/>
    <x v="0"/>
    <x v="5"/>
    <n v="910.54923667039748"/>
    <x v="1"/>
    <x v="2"/>
    <s v="Pequeña"/>
    <x v="0"/>
    <n v="2090.3322135125045"/>
  </r>
  <r>
    <s v="Sare Homes"/>
    <x v="8"/>
    <n v="5347"/>
    <n v="4"/>
    <x v="7"/>
    <x v="0"/>
    <s v=" Sector 92 Gurgaon"/>
    <n v="0"/>
    <n v="0"/>
    <n v="4"/>
    <n v="4"/>
    <n v="3"/>
    <x v="2"/>
    <n v="21"/>
    <n v="1"/>
    <n v="0"/>
    <n v="0"/>
    <n v="0"/>
    <n v="2057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722835234711E-2"/>
    <n v="11000000"/>
    <n v="5.3469999999999997E-2"/>
    <x v="2"/>
    <s v="Todo bien"/>
    <x v="0"/>
    <x v="5"/>
    <n v="896.12918644099477"/>
    <x v="1"/>
    <x v="2"/>
    <s v="Pequeña"/>
    <x v="0"/>
    <n v="2057.2283523471106"/>
  </r>
  <r>
    <s v="Sare Homes"/>
    <x v="331"/>
    <n v="5238"/>
    <n v="3"/>
    <x v="7"/>
    <x v="0"/>
    <s v=" Sector 92 Gurgaon"/>
    <n v="0"/>
    <n v="0"/>
    <n v="3"/>
    <n v="11"/>
    <n v="2"/>
    <x v="1"/>
    <n v="21"/>
    <n v="0"/>
    <n v="0"/>
    <n v="1"/>
    <n v="0"/>
    <n v="129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2054219167601E-2"/>
    <n v="6800000"/>
    <n v="5.2380000000000003E-2"/>
    <x v="1"/>
    <s v="Todo bien"/>
    <x v="0"/>
    <x v="5"/>
    <n v="565.49860750668108"/>
    <x v="1"/>
    <x v="2"/>
    <s v="Pequeña"/>
    <x v="0"/>
    <n v="1298.2054219167621"/>
  </r>
  <r>
    <s v="Sare Homes"/>
    <x v="190"/>
    <n v="5219"/>
    <n v="4"/>
    <x v="5"/>
    <x v="0"/>
    <s v=" Sector 92 Gurgaon"/>
    <n v="0"/>
    <n v="0"/>
    <n v="3"/>
    <n v="14"/>
    <n v="3"/>
    <x v="2"/>
    <n v="21"/>
    <n v="1"/>
    <n v="0"/>
    <n v="0"/>
    <n v="0"/>
    <n v="228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01302931596001E-2"/>
    <n v="11900000"/>
    <n v="5.219E-2"/>
    <x v="2"/>
    <s v="Todo bien"/>
    <x v="0"/>
    <x v="5"/>
    <n v="993.22532778501238"/>
    <x v="1"/>
    <x v="2"/>
    <s v="Pequeña"/>
    <x v="0"/>
    <n v="2280.1302931596092"/>
  </r>
  <r>
    <s v="Suncity Avenue "/>
    <x v="332"/>
    <n v="8928"/>
    <n v="2"/>
    <x v="3"/>
    <x v="0"/>
    <s v=" Sector 102 Gurgaon"/>
    <n v="0"/>
    <n v="0"/>
    <n v="2"/>
    <n v="5"/>
    <n v="1"/>
    <x v="0"/>
    <n v="12"/>
    <n v="0"/>
    <n v="0"/>
    <n v="0"/>
    <n v="1"/>
    <n v="532"/>
    <m/>
    <n v="632"/>
    <n v="0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405017920999E-3"/>
    <n v="4750000"/>
    <n v="8.9279999999999998E-2"/>
    <x v="0"/>
    <s v="Todo bien"/>
    <x v="0"/>
    <x v="5"/>
    <n v="231.75416574540708"/>
    <x v="0"/>
    <x v="1"/>
    <s v="Pequeña"/>
    <x v="0"/>
    <n v="532.03405017921148"/>
  </r>
  <r>
    <s v="ATS Kocoon"/>
    <x v="193"/>
    <n v="10350"/>
    <n v="4"/>
    <x v="3"/>
    <x v="0"/>
    <s v=" Sector 109 Gurgaon"/>
    <n v="0"/>
    <n v="0"/>
    <n v="4"/>
    <n v="7"/>
    <n v="3"/>
    <x v="2"/>
    <n v="34"/>
    <n v="1"/>
    <n v="0"/>
    <n v="0"/>
    <n v="1"/>
    <n v="2850"/>
    <n v="315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85024154589371E-2"/>
    <n v="29500000"/>
    <n v="0.10349999999999999"/>
    <x v="5"/>
    <s v="Todo bien"/>
    <x v="1"/>
    <x v="5"/>
    <n v="1241.565932516904"/>
    <x v="1"/>
    <x v="3"/>
    <s v="Muy grande"/>
    <x v="0"/>
    <n v="2850.2415458937198"/>
  </r>
  <r>
    <s v="Bestech Park View Residency"/>
    <x v="187"/>
    <n v="6261"/>
    <n v="2"/>
    <x v="6"/>
    <x v="5"/>
    <s v=" Palam Vihar"/>
    <n v="0"/>
    <n v="0"/>
    <n v="2"/>
    <n v="14"/>
    <n v="3"/>
    <x v="0"/>
    <n v="14"/>
    <n v="0"/>
    <n v="1"/>
    <n v="0"/>
    <n v="0"/>
    <n v="1565.2451685034339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451685034301E-2"/>
    <n v="9800000"/>
    <n v="6.2609999999999999E-2"/>
    <x v="1"/>
    <s v="Todo bien"/>
    <x v="0"/>
    <x v="4"/>
    <n v="681.82118812010697"/>
    <x v="1"/>
    <x v="2"/>
    <s v="Pequeña"/>
    <x v="1"/>
    <n v="1565.2451685034339"/>
  </r>
  <r>
    <s v="Bestech Park View Residency"/>
    <x v="46"/>
    <n v="8072"/>
    <n v="3"/>
    <x v="4"/>
    <x v="5"/>
    <s v=" Palam Vihar"/>
    <n v="0"/>
    <n v="0"/>
    <n v="4"/>
    <n v="10"/>
    <n v="3"/>
    <x v="1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2180376610499E-2"/>
    <n v="15500000"/>
    <n v="8.072E-2"/>
    <x v="3"/>
    <s v="Todo bien"/>
    <x v="1"/>
    <x v="4"/>
    <n v="836.44745898785902"/>
    <x v="1"/>
    <x v="2"/>
    <s v="Pequeña"/>
    <x v="1"/>
    <n v="1920.2180376610506"/>
  </r>
  <r>
    <s v="Bestech Park View Residency"/>
    <x v="19"/>
    <n v="7137"/>
    <n v="2"/>
    <x v="4"/>
    <x v="5"/>
    <s v=" Palam Vihar"/>
    <n v="0"/>
    <n v="0"/>
    <n v="2"/>
    <n v="0"/>
    <n v="3"/>
    <x v="0"/>
    <n v="14"/>
    <n v="0"/>
    <n v="0"/>
    <n v="0"/>
    <n v="0"/>
    <n v="1415.1604315538741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604315538699E-2"/>
    <n v="10100000"/>
    <n v="7.1370000000000003E-2"/>
    <x v="2"/>
    <s v="Todo bien"/>
    <x v="1"/>
    <x v="4"/>
    <n v="616.4442390486181"/>
    <x v="1"/>
    <x v="2"/>
    <s v="Pequeña"/>
    <x v="1"/>
    <n v="1415.1604315538741"/>
  </r>
  <r>
    <s v="Bestech Park View Residency"/>
    <x v="179"/>
    <n v="7890"/>
    <n v="3"/>
    <x v="0"/>
    <x v="5"/>
    <s v=" Palam Vihar"/>
    <n v="0"/>
    <n v="0"/>
    <n v="4"/>
    <n v="8"/>
    <n v="3"/>
    <x v="1"/>
    <n v="14"/>
    <n v="1"/>
    <n v="0"/>
    <n v="0"/>
    <n v="0"/>
    <n v="1913.8149556400508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138149556400499E-2"/>
    <n v="15100000"/>
    <n v="7.8899999999999998E-2"/>
    <x v="3"/>
    <s v="Todo bien"/>
    <x v="1"/>
    <x v="4"/>
    <n v="833.65827485297814"/>
    <x v="1"/>
    <x v="2"/>
    <s v="Pequeña"/>
    <x v="1"/>
    <n v="1913.8149556400508"/>
  </r>
  <r>
    <s v="Bestech Park View Residency"/>
    <x v="100"/>
    <n v="7865"/>
    <n v="3"/>
    <x v="6"/>
    <x v="5"/>
    <s v=" Palam Vihar"/>
    <n v="0"/>
    <n v="0"/>
    <n v="3"/>
    <n v="8"/>
    <n v="3"/>
    <x v="1"/>
    <n v="14"/>
    <n v="0"/>
    <n v="0"/>
    <n v="0"/>
    <n v="0"/>
    <n v="1780.0381436745074"/>
    <m/>
    <n v="178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800381436744998E-2"/>
    <n v="14000000"/>
    <n v="7.8649999999999998E-2"/>
    <x v="2"/>
    <s v="Todo bien"/>
    <x v="1"/>
    <x v="4"/>
    <n v="775.38506199618246"/>
    <x v="1"/>
    <x v="2"/>
    <s v="Pequeña"/>
    <x v="1"/>
    <n v="1780.0381436745074"/>
  </r>
  <r>
    <s v="Bestech Park View Residency"/>
    <x v="244"/>
    <n v="8281"/>
    <n v="3"/>
    <x v="7"/>
    <x v="5"/>
    <s v=" Palam Vihar"/>
    <n v="0"/>
    <n v="0"/>
    <n v="4"/>
    <n v="11"/>
    <n v="3"/>
    <x v="1"/>
    <n v="14"/>
    <n v="1"/>
    <n v="0"/>
    <n v="0"/>
    <n v="0"/>
    <n v="1920.0579640140081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0579640139999E-2"/>
    <n v="15900000"/>
    <n v="8.2809999999999995E-2"/>
    <x v="3"/>
    <s v="Todo bien"/>
    <x v="1"/>
    <x v="4"/>
    <n v="836.37773086704158"/>
    <x v="1"/>
    <x v="2"/>
    <s v="Pequeña"/>
    <x v="1"/>
    <n v="1920.0579640140081"/>
  </r>
  <r>
    <s v="Bestech Park View Residency"/>
    <x v="206"/>
    <n v="8632"/>
    <n v="1"/>
    <x v="2"/>
    <x v="5"/>
    <s v=" Palam Vihar"/>
    <n v="0"/>
    <n v="0"/>
    <n v="2"/>
    <n v="7"/>
    <n v="2"/>
    <x v="3"/>
    <n v="8"/>
    <n v="0"/>
    <n v="0"/>
    <n v="0"/>
    <n v="0"/>
    <n v="651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x v="1"/>
    <s v="Todo bien"/>
    <x v="0"/>
    <x v="4"/>
    <n v="283.60442655908196"/>
    <x v="0"/>
    <x v="0"/>
    <s v="Pequeña"/>
    <x v="0"/>
    <n v="651.06580166821141"/>
  </r>
  <r>
    <s v="Conscient Heritage Max"/>
    <x v="6"/>
    <n v="9306"/>
    <n v="3"/>
    <x v="2"/>
    <x v="0"/>
    <s v=" Sector 102 Gurgaon"/>
    <n v="0"/>
    <n v="0"/>
    <n v="4"/>
    <n v="13"/>
    <n v="3"/>
    <x v="1"/>
    <n v="25"/>
    <n v="1"/>
    <n v="1"/>
    <n v="0"/>
    <n v="0"/>
    <n v="1650"/>
    <n v="1900"/>
    <n v="214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491510853212901E-2"/>
    <n v="20000000"/>
    <n v="9.3060000000000004E-2"/>
    <x v="3"/>
    <s v="Todo bien"/>
    <x v="1"/>
    <x v="5"/>
    <n v="936.17075198796135"/>
    <x v="1"/>
    <x v="2"/>
    <s v="Grande"/>
    <x v="2"/>
    <n v="2149.1510853212981"/>
  </r>
  <r>
    <s v="Emaar Gurgaon Greens"/>
    <x v="12"/>
    <n v="10800"/>
    <n v="3"/>
    <x v="2"/>
    <x v="0"/>
    <s v=" Sector 102 Gurgaon"/>
    <n v="0"/>
    <n v="0"/>
    <n v="4"/>
    <n v="9"/>
    <n v="3"/>
    <x v="1"/>
    <n v="14"/>
    <n v="1"/>
    <n v="0"/>
    <n v="1"/>
    <n v="0"/>
    <n v="1250"/>
    <n v="1400"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500000000000001E-2"/>
    <n v="13500000"/>
    <n v="0.108"/>
    <x v="2"/>
    <s v="Todo bien"/>
    <x v="1"/>
    <x v="5"/>
    <n v="544.5003136250001"/>
    <x v="1"/>
    <x v="2"/>
    <s v="Mediana"/>
    <x v="1"/>
    <n v="1250"/>
  </r>
  <r>
    <s v="BPTP Amstoria"/>
    <x v="49"/>
    <n v="8444"/>
    <n v="3"/>
    <x v="2"/>
    <x v="0"/>
    <s v=" Sector 102 Gurgaon"/>
    <n v="0"/>
    <n v="0"/>
    <n v="3"/>
    <n v="1"/>
    <n v="3"/>
    <x v="1"/>
    <n v="2"/>
    <n v="1"/>
    <n v="0"/>
    <n v="0"/>
    <n v="0"/>
    <n v="2250"/>
    <n v="2500"/>
    <n v="27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2501184272856401E-2"/>
    <n v="19000000"/>
    <n v="8.4440000000000001E-2"/>
    <x v="3"/>
    <s v="Todo bien"/>
    <x v="1"/>
    <x v="5"/>
    <n v="980.15215148033826"/>
    <x v="1"/>
    <x v="2"/>
    <s v="Grande"/>
    <x v="2"/>
    <n v="2250.1184272856467"/>
  </r>
  <r>
    <s v="Conscient Heritage Max"/>
    <x v="74"/>
    <n v="11333"/>
    <n v="3"/>
    <x v="2"/>
    <x v="0"/>
    <s v=" Sector 102 Gurgaon"/>
    <n v="0"/>
    <n v="0"/>
    <n v="4"/>
    <n v="8"/>
    <n v="3"/>
    <x v="1"/>
    <n v="25"/>
    <n v="1"/>
    <n v="0"/>
    <n v="1"/>
    <n v="0"/>
    <n v="1500"/>
    <n v="1700"/>
    <n v="194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000441189446699E-2"/>
    <n v="17000000"/>
    <n v="0.11333"/>
    <x v="3"/>
    <s v="Todo bien"/>
    <x v="1"/>
    <x v="5"/>
    <n v="653.4195945733677"/>
    <x v="1"/>
    <x v="2"/>
    <s v="Mediana"/>
    <x v="1"/>
    <n v="1500.0441189446749"/>
  </r>
  <r>
    <s v="Paras Dews"/>
    <x v="81"/>
    <n v="7419"/>
    <n v="3"/>
    <x v="2"/>
    <x v="0"/>
    <s v=" Sector 106 Gurgaon"/>
    <n v="0"/>
    <n v="0"/>
    <n v="3"/>
    <n v="11"/>
    <n v="3"/>
    <x v="1"/>
    <n v="24"/>
    <n v="1"/>
    <n v="0"/>
    <n v="1"/>
    <n v="0"/>
    <n v="1550"/>
    <n v="1650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7413398032E-2"/>
    <n v="11500000"/>
    <n v="7.4190000000000006E-2"/>
    <x v="2"/>
    <s v="Todo bien"/>
    <x v="1"/>
    <x v="5"/>
    <n v="675.21268167542769"/>
    <x v="1"/>
    <x v="2"/>
    <s v="Mediana"/>
    <x v="1"/>
    <n v="1550.0741339803208"/>
  </r>
  <r>
    <s v="SS The Coralwood"/>
    <x v="8"/>
    <n v="5820"/>
    <n v="3"/>
    <x v="4"/>
    <x v="5"/>
    <s v=" Sector 84 Gurgaon"/>
    <n v="0"/>
    <n v="0"/>
    <n v="3"/>
    <n v="12"/>
    <n v="3"/>
    <x v="1"/>
    <n v="21"/>
    <n v="0"/>
    <n v="0"/>
    <n v="0"/>
    <n v="0"/>
    <n v="1890.0343642611683"/>
    <m/>
    <n v="18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900343642611599E-2"/>
    <n v="11000000"/>
    <n v="5.8200000000000002E-2"/>
    <x v="2"/>
    <s v="Todo bien"/>
    <x v="1"/>
    <x v="5"/>
    <n v="823.29944328178328"/>
    <x v="1"/>
    <x v="2"/>
    <s v="Pequeña"/>
    <x v="1"/>
    <n v="1890.0343642611683"/>
  </r>
  <r>
    <s v="Emaar Gurgaon Greens"/>
    <x v="35"/>
    <n v="7878"/>
    <n v="3"/>
    <x v="4"/>
    <x v="0"/>
    <s v=" Sector 102 Gurgaon"/>
    <n v="0"/>
    <n v="0"/>
    <n v="3"/>
    <n v="4"/>
    <n v="3"/>
    <x v="1"/>
    <n v="14"/>
    <n v="1"/>
    <n v="0"/>
    <n v="0"/>
    <n v="0"/>
    <n v="1022.58"/>
    <m/>
    <n v="1650"/>
    <n v="0"/>
    <n v="1"/>
    <n v="0"/>
    <n v="1"/>
    <n v="0"/>
    <n v="0"/>
    <n v="0"/>
    <n v="1"/>
    <n v="1"/>
    <n v="1"/>
    <n v="1"/>
    <n v="1"/>
    <n v="1"/>
    <n v="0"/>
    <n v="1"/>
    <n v="1"/>
    <n v="1"/>
    <n v="43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16501650165E-2"/>
    <n v="13000000"/>
    <n v="7.8780000000000003E-2"/>
    <x v="2"/>
    <s v="Todo bien"/>
    <x v="0"/>
    <x v="4"/>
    <n v="718.81229521452144"/>
    <x v="1"/>
    <x v="0"/>
    <s v="Pequeña"/>
    <x v="1"/>
    <n v="1650.1650165016501"/>
  </r>
  <r>
    <s v="Ireo The Grand Arch"/>
    <x v="287"/>
    <n v="16934"/>
    <n v="4"/>
    <x v="7"/>
    <x v="0"/>
    <s v=" sector 58 Gurgaon"/>
    <n v="0"/>
    <n v="0"/>
    <n v="5"/>
    <n v="23"/>
    <n v="3"/>
    <x v="2"/>
    <n v="29"/>
    <n v="1"/>
    <n v="1"/>
    <n v="1"/>
    <n v="0"/>
    <n v="286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8640604700602298E-2"/>
    <n v="48500000"/>
    <n v="0.16933999999999999"/>
    <x v="4"/>
    <s v="Todo bien"/>
    <x v="1"/>
    <x v="1"/>
    <n v="1247.5854593510082"/>
    <x v="1"/>
    <x v="3"/>
    <s v="Pequeña"/>
    <x v="0"/>
    <n v="2864.0604700602339"/>
  </r>
  <r>
    <s v="Ireo The Grand Arch"/>
    <x v="18"/>
    <n v="16000"/>
    <n v="2"/>
    <x v="4"/>
    <x v="0"/>
    <s v=" sector 58 Gurgaon"/>
    <n v="0"/>
    <n v="0"/>
    <n v="2"/>
    <n v="5"/>
    <n v="1"/>
    <x v="0"/>
    <n v="29"/>
    <n v="0"/>
    <n v="0"/>
    <n v="1"/>
    <n v="0"/>
    <n v="137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5E-2"/>
    <n v="22000000.000000004"/>
    <n v="0.16"/>
    <x v="3"/>
    <s v="Todo bien"/>
    <x v="1"/>
    <x v="1"/>
    <n v="598.95034498749999"/>
    <x v="1"/>
    <x v="2"/>
    <s v="Pequeña"/>
    <x v="0"/>
    <n v="1375.0000000000002"/>
  </r>
  <r>
    <s v="Experion The Heartsong"/>
    <x v="43"/>
    <n v="9259"/>
    <n v="3"/>
    <x v="3"/>
    <x v="0"/>
    <s v=" Sector 108 Gurgaon"/>
    <n v="0"/>
    <n v="0"/>
    <n v="3"/>
    <n v="1"/>
    <n v="3"/>
    <x v="1"/>
    <n v="14"/>
    <n v="1"/>
    <n v="0"/>
    <n v="1"/>
    <n v="0"/>
    <n v="1350"/>
    <n v="1500"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378010584201E-2"/>
    <n v="12500000"/>
    <n v="9.2590000000000006E-2"/>
    <x v="2"/>
    <s v="Todo bien"/>
    <x v="1"/>
    <x v="5"/>
    <n v="588.07680486553215"/>
    <x v="1"/>
    <x v="2"/>
    <s v="Mediana"/>
    <x v="1"/>
    <n v="1350.0378010584295"/>
  </r>
  <r>
    <s v="Experion The Heartsong"/>
    <x v="46"/>
    <n v="7738"/>
    <n v="3"/>
    <x v="2"/>
    <x v="0"/>
    <s v=" Sector 108 Gurgaon"/>
    <n v="0"/>
    <n v="0"/>
    <n v="3"/>
    <n v="7"/>
    <n v="3"/>
    <x v="1"/>
    <n v="14"/>
    <n v="1"/>
    <n v="0"/>
    <n v="1"/>
    <n v="0"/>
    <n v="1550"/>
    <n v="1750"/>
    <n v="200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0310157663478E-2"/>
    <n v="15500000"/>
    <n v="7.7380000000000004E-2"/>
    <x v="3"/>
    <s v="Todo bien"/>
    <x v="1"/>
    <x v="5"/>
    <n v="872.55154936029578"/>
    <x v="1"/>
    <x v="2"/>
    <s v="Mediana"/>
    <x v="2"/>
    <n v="2003.1015766347891"/>
  </r>
  <r>
    <s v="Shapoorji Pallonji Joyville Gurugram"/>
    <x v="49"/>
    <n v="10259"/>
    <n v="3"/>
    <x v="2"/>
    <x v="2"/>
    <s v=" Sector 102 Gurgaon"/>
    <n v="0"/>
    <n v="0"/>
    <n v="3"/>
    <n v="15"/>
    <n v="3"/>
    <x v="1"/>
    <n v="26"/>
    <n v="0"/>
    <n v="0"/>
    <n v="1"/>
    <n v="0"/>
    <n v="1450"/>
    <n v="1700"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8520323618286299E-2"/>
    <n v="19000000"/>
    <n v="0.10259"/>
    <x v="3"/>
    <s v="Todo bien"/>
    <x v="0"/>
    <x v="5"/>
    <n v="806.74576148747076"/>
    <x v="1"/>
    <x v="2"/>
    <s v="Mediana"/>
    <x v="1"/>
    <n v="1852.0323618286382"/>
  </r>
  <r>
    <s v="Bestech Park View Sanskruti"/>
    <x v="26"/>
    <n v="8020"/>
    <n v="3"/>
    <x v="7"/>
    <x v="0"/>
    <s v=" Sector 92 Gurgaon"/>
    <n v="0"/>
    <n v="0"/>
    <n v="4"/>
    <n v="10"/>
    <n v="3"/>
    <x v="1"/>
    <n v="19"/>
    <n v="1"/>
    <n v="0"/>
    <n v="0"/>
    <n v="0"/>
    <n v="1476"/>
    <n v="1615"/>
    <n v="1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9950124688279301E-2"/>
    <n v="16000000"/>
    <n v="8.0199999999999994E-2"/>
    <x v="3"/>
    <s v="Todo bien"/>
    <x v="1"/>
    <x v="5"/>
    <n v="869.02793197007486"/>
    <x v="1"/>
    <x v="2"/>
    <s v="Mediana"/>
    <x v="1"/>
    <n v="1995.0124688279304"/>
  </r>
  <r>
    <s v="Emaar MGF The Palm Drive"/>
    <x v="101"/>
    <n v="14285"/>
    <n v="4"/>
    <x v="4"/>
    <x v="0"/>
    <s v=" Sector 66 Gurgaon"/>
    <n v="0"/>
    <n v="0"/>
    <n v="5"/>
    <n v="10"/>
    <n v="3"/>
    <x v="2"/>
    <n v="17"/>
    <n v="1"/>
    <n v="0"/>
    <n v="0"/>
    <n v="0"/>
    <n v="2100.1050052502624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2.10010500525026E-2"/>
    <n v="30000000"/>
    <n v="0.14285"/>
    <x v="5"/>
    <s v="Todo bien"/>
    <x v="1"/>
    <x v="1"/>
    <n v="914.80626720335908"/>
    <x v="1"/>
    <x v="2"/>
    <s v="Pequeña"/>
    <x v="2"/>
    <n v="2100.1050052502624"/>
  </r>
  <r>
    <s v="Ireo The Grand Arch"/>
    <x v="18"/>
    <n v="16000"/>
    <n v="2"/>
    <x v="2"/>
    <x v="0"/>
    <s v=" sector 58 Gurgaon"/>
    <n v="0"/>
    <n v="0"/>
    <n v="2"/>
    <n v="6"/>
    <n v="2"/>
    <x v="0"/>
    <n v="29"/>
    <n v="0"/>
    <n v="0"/>
    <n v="0"/>
    <n v="0"/>
    <n v="1375.0000000000002"/>
    <m/>
    <n v="1375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5E-2"/>
    <n v="22000000.000000004"/>
    <n v="0.16"/>
    <x v="3"/>
    <s v="Todo bien"/>
    <x v="0"/>
    <x v="1"/>
    <n v="598.95034498749999"/>
    <x v="1"/>
    <x v="2"/>
    <s v="Pequeña"/>
    <x v="1"/>
    <n v="1375.0000000000002"/>
  </r>
  <r>
    <s v="Experion Windchants"/>
    <x v="173"/>
    <n v="10726"/>
    <n v="4"/>
    <x v="4"/>
    <x v="0"/>
    <s v=" Sector 112 Gurgaon"/>
    <n v="0"/>
    <n v="0"/>
    <n v="6"/>
    <n v="15"/>
    <n v="3"/>
    <x v="2"/>
    <n v="28"/>
    <n v="1"/>
    <n v="0"/>
    <n v="1"/>
    <n v="0"/>
    <n v="3500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4.8480328174529103E-2"/>
    <n v="52000000"/>
    <n v="0.10725999999999999"/>
    <x v="4"/>
    <s v="Todo bien"/>
    <x v="1"/>
    <x v="5"/>
    <n v="2111.8043116539216"/>
    <x v="3"/>
    <x v="3"/>
    <s v="Muy grande"/>
    <x v="3"/>
    <n v="4848.0328174529186"/>
  </r>
  <r>
    <s v="DLF Regency Park "/>
    <x v="168"/>
    <n v="13224"/>
    <n v="3"/>
    <x v="3"/>
    <x v="1"/>
    <s v=" DLF Phase 4"/>
    <n v="0"/>
    <n v="0"/>
    <n v="4"/>
    <n v="8"/>
    <n v="3"/>
    <x v="1"/>
    <n v="20"/>
    <n v="1"/>
    <n v="0"/>
    <n v="0"/>
    <n v="0"/>
    <n v="1600"/>
    <n v="1700"/>
    <n v="177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770719903206202E-2"/>
    <n v="23500000"/>
    <n v="0.13224"/>
    <x v="3"/>
    <s v="Todo bien"/>
    <x v="1"/>
    <x v="4"/>
    <n v="774.0930048510246"/>
    <x v="1"/>
    <x v="2"/>
    <s v="Mediana"/>
    <x v="1"/>
    <n v="1777.0719903206293"/>
  </r>
  <r>
    <s v="Emaar MGF Emerald Floors Premier"/>
    <x v="333"/>
    <n v="14025"/>
    <n v="4"/>
    <x v="2"/>
    <x v="0"/>
    <s v=" Sector 65 Gurgaon"/>
    <n v="0"/>
    <n v="0"/>
    <n v="4"/>
    <n v="3"/>
    <n v="3"/>
    <x v="2"/>
    <n v="5"/>
    <n v="1"/>
    <n v="1"/>
    <n v="0"/>
    <n v="0"/>
    <n v="19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7504456327985E-2"/>
    <n v="27700000"/>
    <n v="0.14025000000000001"/>
    <x v="5"/>
    <s v="Todo bien"/>
    <x v="2"/>
    <x v="5"/>
    <n v="860.32990730338361"/>
    <x v="1"/>
    <x v="2"/>
    <s v="Pequeña"/>
    <x v="0"/>
    <n v="1975.0445632798571"/>
  </r>
  <r>
    <s v="Emaar MGF Emerald Floors Premier"/>
    <x v="58"/>
    <n v="16363"/>
    <n v="3"/>
    <x v="7"/>
    <x v="0"/>
    <s v=" Sector 65 Gurgaon"/>
    <n v="0"/>
    <n v="0"/>
    <n v="3"/>
    <n v="5"/>
    <n v="3"/>
    <x v="1"/>
    <n v="5"/>
    <n v="1"/>
    <n v="0"/>
    <n v="0"/>
    <n v="1"/>
    <n v="165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641691621298E-2"/>
    <n v="27000000"/>
    <n v="0.16363"/>
    <x v="5"/>
    <s v="Todo bien"/>
    <x v="1"/>
    <x v="5"/>
    <n v="718.7683660881238"/>
    <x v="1"/>
    <x v="2"/>
    <s v="Pequeña"/>
    <x v="0"/>
    <n v="1650.064169162134"/>
  </r>
  <r>
    <s v="Emaar MGF Emerald Floors Premier"/>
    <x v="168"/>
    <n v="14242"/>
    <n v="3"/>
    <x v="4"/>
    <x v="0"/>
    <s v=" Sector 65 Gurgaon"/>
    <n v="0"/>
    <n v="0"/>
    <n v="3"/>
    <n v="3"/>
    <n v="3"/>
    <x v="1"/>
    <n v="5"/>
    <n v="1"/>
    <n v="1"/>
    <n v="0"/>
    <n v="0"/>
    <n v="1650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4915040022E-2"/>
    <n v="23500000"/>
    <n v="0.14241999999999999"/>
    <x v="3"/>
    <s v="Todo bien"/>
    <x v="1"/>
    <x v="5"/>
    <n v="718.76182391166776"/>
    <x v="1"/>
    <x v="2"/>
    <s v="Pequeña"/>
    <x v="0"/>
    <n v="1650.0491504002248"/>
  </r>
  <r>
    <s v="Emaar MGF Emerald Floors Premier"/>
    <x v="106"/>
    <n v="14126"/>
    <n v="4"/>
    <x v="6"/>
    <x v="0"/>
    <s v=" Sector 65 Gurgaon"/>
    <n v="0"/>
    <n v="0"/>
    <n v="4"/>
    <n v="2"/>
    <n v="3"/>
    <x v="2"/>
    <n v="5"/>
    <n v="1"/>
    <n v="1"/>
    <n v="0"/>
    <n v="0"/>
    <n v="197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2"/>
    <n v="1"/>
    <n v="3"/>
    <n v="1"/>
    <n v="1"/>
    <n v="1"/>
    <n v="1"/>
    <n v="1"/>
    <n v="1"/>
    <n v="1"/>
    <n v="1"/>
    <n v="4"/>
    <n v="1"/>
    <n v="1"/>
    <n v="2"/>
    <n v="1"/>
    <n v="1"/>
    <n v="0"/>
    <n v="0"/>
    <n v="0"/>
    <n v="0"/>
    <n v="0"/>
    <n v="1"/>
    <n v="1.9750814101656501E-2"/>
    <n v="27900000"/>
    <n v="0.14126"/>
    <x v="5"/>
    <s v="Todo bien"/>
    <x v="2"/>
    <x v="5"/>
    <n v="860.345957816083"/>
    <x v="1"/>
    <x v="2"/>
    <s v="Pequeña"/>
    <x v="0"/>
    <n v="1975.081410165652"/>
  </r>
  <r>
    <s v="Emaar MGF Emerald Floors Premier"/>
    <x v="133"/>
    <n v="13939"/>
    <n v="3"/>
    <x v="6"/>
    <x v="0"/>
    <s v=" Sector 65 Gurgaon"/>
    <n v="0"/>
    <n v="0"/>
    <n v="4"/>
    <n v="3"/>
    <n v="3"/>
    <x v="1"/>
    <n v="5"/>
    <n v="1"/>
    <n v="1"/>
    <n v="1"/>
    <n v="1"/>
    <n v="16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466317526299E-2"/>
    <n v="23000000"/>
    <n v="0.13938999999999999"/>
    <x v="3"/>
    <s v="Todo bien"/>
    <x v="2"/>
    <x v="5"/>
    <n v="718.76072678814558"/>
    <x v="1"/>
    <x v="2"/>
    <s v="Pequeña"/>
    <x v="0"/>
    <n v="1650.0466317526366"/>
  </r>
  <r>
    <s v="The Lions CGHS"/>
    <x v="69"/>
    <n v="8750"/>
    <n v="3"/>
    <x v="0"/>
    <x v="1"/>
    <s v=" Sector 56 Gurgaon"/>
    <n v="0"/>
    <n v="0"/>
    <n v="4"/>
    <n v="8"/>
    <n v="3"/>
    <x v="1"/>
    <n v="9"/>
    <n v="0"/>
    <n v="0"/>
    <n v="0"/>
    <n v="0"/>
    <n v="2000"/>
    <n v="2200"/>
    <n v="24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E-2"/>
    <n v="21000000"/>
    <n v="8.7499999999999994E-2"/>
    <x v="3"/>
    <s v="Todo bien"/>
    <x v="0"/>
    <x v="5"/>
    <n v="1045.44060216"/>
    <x v="1"/>
    <x v="2"/>
    <s v="Grande"/>
    <x v="2"/>
    <n v="2400"/>
  </r>
  <r>
    <s v="Rail Vihar CGHS"/>
    <x v="12"/>
    <n v="10384"/>
    <n v="3"/>
    <x v="0"/>
    <x v="1"/>
    <s v=" Sector 56 Gurgaon"/>
    <n v="0"/>
    <n v="0"/>
    <n v="2"/>
    <n v="1"/>
    <n v="2"/>
    <x v="1"/>
    <n v="4"/>
    <n v="0"/>
    <n v="0"/>
    <n v="0"/>
    <n v="0"/>
    <n v="1250"/>
    <n v="1275"/>
    <n v="1300"/>
    <n v="1"/>
    <n v="1"/>
    <n v="1"/>
    <n v="1"/>
    <n v="0"/>
    <n v="1"/>
    <n v="1"/>
    <n v="1"/>
    <n v="1"/>
    <n v="1"/>
    <n v="0"/>
    <n v="1"/>
    <n v="1"/>
    <n v="1"/>
    <n v="1"/>
    <n v="0"/>
    <n v="1"/>
    <n v="47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7704160246E-2"/>
    <n v="13500000"/>
    <n v="0.10384"/>
    <x v="2"/>
    <s v="Todo bien"/>
    <x v="0"/>
    <x v="4"/>
    <n v="566.31388551136138"/>
    <x v="1"/>
    <x v="2"/>
    <s v="Mediana"/>
    <x v="1"/>
    <n v="1300.0770416024652"/>
  </r>
  <r>
    <s v="Puri Emerald Bay"/>
    <x v="334"/>
    <n v="9911"/>
    <n v="3"/>
    <x v="4"/>
    <x v="0"/>
    <s v=" Sector 104 Gurgaon"/>
    <n v="0"/>
    <n v="0"/>
    <n v="4"/>
    <n v="10"/>
    <n v="3"/>
    <x v="1"/>
    <n v="29"/>
    <n v="1"/>
    <n v="0"/>
    <n v="0"/>
    <n v="0"/>
    <n v="2250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500252244980298E-2"/>
    <n v="22300000"/>
    <n v="9.9110000000000004E-2"/>
    <x v="3"/>
    <s v="Todo bien"/>
    <x v="1"/>
    <x v="5"/>
    <n v="980.11155232267072"/>
    <x v="1"/>
    <x v="2"/>
    <s v="Pequeña"/>
    <x v="2"/>
    <n v="2250.0252244980325"/>
  </r>
  <r>
    <s v="Experion The Heartsong"/>
    <x v="165"/>
    <n v="9904"/>
    <n v="4"/>
    <x v="4"/>
    <x v="0"/>
    <s v=" Sector 108 Gurgaon"/>
    <n v="0"/>
    <n v="0"/>
    <n v="4"/>
    <n v="3"/>
    <n v="3"/>
    <x v="2"/>
    <n v="14"/>
    <n v="1"/>
    <n v="0"/>
    <n v="0"/>
    <n v="0"/>
    <n v="2100"/>
    <n v="2631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6155088853E-2"/>
    <n v="20800000"/>
    <n v="9.9040000000000003E-2"/>
    <x v="3"/>
    <s v="Todo bien"/>
    <x v="0"/>
    <x v="4"/>
    <n v="914.83089849757687"/>
    <x v="1"/>
    <x v="2"/>
    <s v="Muy grande"/>
    <x v="0"/>
    <n v="2100.1615508885297"/>
  </r>
  <r>
    <s v="Experion The Heartsong"/>
    <x v="35"/>
    <n v="8344"/>
    <n v="3"/>
    <x v="6"/>
    <x v="0"/>
    <s v=" Sector 108 Gurgaon"/>
    <n v="0"/>
    <n v="0"/>
    <n v="3"/>
    <n v="7"/>
    <n v="3"/>
    <x v="1"/>
    <n v="14"/>
    <n v="0"/>
    <n v="1"/>
    <n v="0"/>
    <n v="0"/>
    <n v="1558"/>
    <m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800575263662E-2"/>
    <n v="13000000"/>
    <n v="8.344E-2"/>
    <x v="2"/>
    <s v="Todo bien"/>
    <x v="0"/>
    <x v="5"/>
    <n v="678.66769675215505"/>
    <x v="1"/>
    <x v="2"/>
    <s v="Pequeña"/>
    <x v="1"/>
    <n v="1558.0057526366252"/>
  </r>
  <r>
    <s v="Suncity Avenue "/>
    <x v="314"/>
    <n v="9022"/>
    <n v="2"/>
    <x v="2"/>
    <x v="0"/>
    <s v=" Sector 102 Gurgaon"/>
    <n v="0"/>
    <n v="0"/>
    <n v="2"/>
    <n v="5"/>
    <n v="1"/>
    <x v="0"/>
    <n v="12"/>
    <n v="0"/>
    <n v="0"/>
    <n v="0"/>
    <n v="1"/>
    <n v="532"/>
    <m/>
    <n v="63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280868986003E-3"/>
    <n v="4800000"/>
    <n v="9.0219999999999995E-2"/>
    <x v="0"/>
    <s v="Todo bien"/>
    <x v="0"/>
    <x v="5"/>
    <n v="231.75362495233475"/>
    <x v="0"/>
    <x v="1"/>
    <s v="Pequeña"/>
    <x v="0"/>
    <n v="532.03280868986928"/>
  </r>
  <r>
    <s v="Sobha City"/>
    <x v="105"/>
    <n v="14463"/>
    <n v="3"/>
    <x v="2"/>
    <x v="0"/>
    <s v=" Sector 108 Gurgaon"/>
    <n v="0"/>
    <n v="0"/>
    <n v="3"/>
    <n v="17"/>
    <n v="3"/>
    <x v="1"/>
    <n v="24"/>
    <n v="0"/>
    <n v="0"/>
    <n v="0"/>
    <n v="1"/>
    <n v="1611"/>
    <n v="1711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110073981884802E-2"/>
    <n v="23300000"/>
    <n v="0.14463000000000001"/>
    <x v="3"/>
    <s v="Todo bien"/>
    <x v="1"/>
    <x v="5"/>
    <n v="701.75522685265821"/>
    <x v="1"/>
    <x v="2"/>
    <s v="Mediana"/>
    <x v="0"/>
    <n v="1611.0073981884809"/>
  </r>
  <r>
    <s v="Parsvnath Green Ville"/>
    <x v="68"/>
    <n v="7201"/>
    <n v="3"/>
    <x v="8"/>
    <x v="1"/>
    <s v=" Sector 48 Gurgaon"/>
    <n v="0"/>
    <n v="0"/>
    <n v="3"/>
    <n v="7"/>
    <n v="3"/>
    <x v="1"/>
    <n v="19"/>
    <n v="1"/>
    <n v="0"/>
    <n v="0"/>
    <n v="0"/>
    <n v="1800"/>
    <n v="2200"/>
    <n v="2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4"/>
    <n v="1"/>
    <n v="4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2.4302180252742601E-2"/>
    <n v="17500000"/>
    <n v="7.2010000000000005E-2"/>
    <x v="3"/>
    <s v="Todo bien"/>
    <x v="1"/>
    <x v="5"/>
    <n v="1058.6035815511702"/>
    <x v="1"/>
    <x v="2"/>
    <s v="Grande"/>
    <x v="2"/>
    <n v="2430.2180252742673"/>
  </r>
  <r>
    <s v="Parsvnath Green Ville"/>
    <x v="26"/>
    <n v="8376"/>
    <n v="3"/>
    <x v="7"/>
    <x v="1"/>
    <s v=" Sector 48 Gurgaon"/>
    <n v="0"/>
    <n v="0"/>
    <n v="3"/>
    <n v="13"/>
    <n v="3"/>
    <x v="1"/>
    <n v="19"/>
    <n v="0"/>
    <n v="0"/>
    <n v="0"/>
    <n v="0"/>
    <n v="1600"/>
    <n v="1700"/>
    <n v="191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x v="3"/>
    <s v="Todo bien"/>
    <x v="1"/>
    <x v="5"/>
    <n v="832.09216981852694"/>
    <x v="1"/>
    <x v="2"/>
    <s v="Mediana"/>
    <x v="1"/>
    <n v="1910.2196752626551"/>
  </r>
  <r>
    <s v="Parsvnath Green Ville"/>
    <x v="78"/>
    <n v="8787"/>
    <n v="3"/>
    <x v="5"/>
    <x v="1"/>
    <s v=" Sector 48 Gurgaon"/>
    <n v="0"/>
    <n v="0"/>
    <n v="3"/>
    <n v="1"/>
    <n v="3"/>
    <x v="1"/>
    <n v="5"/>
    <n v="0"/>
    <n v="0"/>
    <n v="0"/>
    <n v="0"/>
    <n v="1400"/>
    <n v="1600"/>
    <n v="1707"/>
    <n v="0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1.7070672584499801E-2"/>
    <n v="15000000"/>
    <n v="8.7870000000000004E-2"/>
    <x v="2"/>
    <s v="Todo bien"/>
    <x v="1"/>
    <x v="5"/>
    <n v="743.5989260839865"/>
    <x v="1"/>
    <x v="2"/>
    <s v="Mediana"/>
    <x v="1"/>
    <n v="1707.0672584499828"/>
  </r>
  <r>
    <s v="Orchid Petals"/>
    <x v="49"/>
    <n v="10526"/>
    <n v="3"/>
    <x v="8"/>
    <x v="1"/>
    <s v=" Sector 49 Gurgaon"/>
    <n v="0"/>
    <n v="0"/>
    <n v="3"/>
    <n v="2"/>
    <n v="3"/>
    <x v="1"/>
    <n v="14"/>
    <n v="0"/>
    <n v="0"/>
    <n v="0"/>
    <n v="0"/>
    <n v="1400"/>
    <n v="1600"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505415162454E-2"/>
    <n v="19000000"/>
    <n v="0.10526000000000001"/>
    <x v="3"/>
    <s v="Todo bien"/>
    <x v="1"/>
    <x v="1"/>
    <n v="786.28204133573638"/>
    <x v="1"/>
    <x v="2"/>
    <s v="Mediana"/>
    <x v="1"/>
    <n v="1805.0541516245487"/>
  </r>
  <r>
    <s v="Ireo Skyon"/>
    <x v="139"/>
    <n v="13214"/>
    <n v="4"/>
    <x v="8"/>
    <x v="0"/>
    <s v=" Sector 60 Gurgaon"/>
    <n v="0"/>
    <n v="0"/>
    <n v="5"/>
    <n v="10"/>
    <n v="3"/>
    <x v="2"/>
    <n v="39"/>
    <n v="1"/>
    <n v="0"/>
    <n v="0"/>
    <n v="0"/>
    <n v="2800.0605418495534"/>
    <m/>
    <n v="2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80006054184955E-2"/>
    <n v="37000000"/>
    <n v="0.13214000000000001"/>
    <x v="5"/>
    <s v="Todo bien"/>
    <x v="1"/>
    <x v="5"/>
    <n v="1219.7070745648541"/>
    <x v="1"/>
    <x v="3"/>
    <s v="Pequeña"/>
    <x v="2"/>
    <n v="2800.0605418495534"/>
  </r>
  <r>
    <s v="Ireo Skyon"/>
    <x v="162"/>
    <n v="13392"/>
    <n v="4"/>
    <x v="8"/>
    <x v="0"/>
    <s v=" Sector 60 Gurgaon"/>
    <n v="0"/>
    <n v="0"/>
    <n v="5"/>
    <n v="15"/>
    <n v="3"/>
    <x v="2"/>
    <n v="39"/>
    <n v="1"/>
    <n v="0"/>
    <n v="0"/>
    <n v="0"/>
    <n v="2800.179211469534"/>
    <m/>
    <n v="28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1792114695299E-2"/>
    <n v="37500000"/>
    <n v="0.13392000000000001"/>
    <x v="5"/>
    <s v="Todo bien"/>
    <x v="0"/>
    <x v="5"/>
    <n v="1219.7587670810915"/>
    <x v="1"/>
    <x v="3"/>
    <s v="Pequeña"/>
    <x v="2"/>
    <n v="2800.179211469534"/>
  </r>
  <r>
    <s v="MM Merlin"/>
    <x v="107"/>
    <n v="14418"/>
    <n v="3"/>
    <x v="8"/>
    <x v="0"/>
    <s v=" Sector 67 Gurgaon"/>
    <n v="0"/>
    <n v="0"/>
    <n v="4"/>
    <n v="15"/>
    <n v="3"/>
    <x v="1"/>
    <n v="21"/>
    <n v="1"/>
    <n v="0"/>
    <n v="0"/>
    <n v="0"/>
    <n v="1900"/>
    <m/>
    <n v="2358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4"/>
    <n v="1027.2165716881652"/>
    <x v="1"/>
    <x v="2"/>
    <s v="Pequeña"/>
    <x v="2"/>
    <n v="2358.1634068525454"/>
  </r>
  <r>
    <s v="ATS Kocoon"/>
    <x v="18"/>
    <n v="10023"/>
    <n v="3"/>
    <x v="2"/>
    <x v="0"/>
    <s v=" Sector 109 Gurgaon"/>
    <n v="0"/>
    <n v="0"/>
    <n v="4"/>
    <n v="8"/>
    <n v="3"/>
    <x v="1"/>
    <n v="24"/>
    <n v="1"/>
    <n v="0"/>
    <n v="0"/>
    <n v="0"/>
    <n v="2194.9516112940241"/>
    <n v="1860"/>
    <n v="209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49516112940201E-2"/>
    <n v="22000000.000000004"/>
    <n v="0.10023"/>
    <x v="3"/>
    <s v="Todo bien"/>
    <x v="0"/>
    <x v="5"/>
    <n v="956.12147259303447"/>
    <x v="1"/>
    <x v="2"/>
    <s v="Grande"/>
    <x v="2"/>
    <n v="2194.9516112940241"/>
  </r>
  <r>
    <s v="Vatika Gurgaon "/>
    <x v="41"/>
    <n v="6666"/>
    <n v="2"/>
    <x v="5"/>
    <x v="0"/>
    <s v=" Sector 83 Gurgaon"/>
    <n v="0"/>
    <n v="0"/>
    <n v="2"/>
    <n v="12"/>
    <n v="2"/>
    <x v="0"/>
    <n v="18"/>
    <n v="0"/>
    <n v="0"/>
    <n v="1"/>
    <n v="0"/>
    <n v="945"/>
    <n v="1154"/>
    <n v="12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451245124E-2"/>
    <n v="8300000"/>
    <n v="6.6659999999999997E-2"/>
    <x v="1"/>
    <s v="Todo bien"/>
    <x v="0"/>
    <x v="5"/>
    <n v="542.37655002550036"/>
    <x v="1"/>
    <x v="0"/>
    <s v="Mediana"/>
    <x v="1"/>
    <n v="1245.1245124512452"/>
  </r>
  <r>
    <s v="Emaar Gurgaon Greens"/>
    <x v="59"/>
    <n v="8787"/>
    <n v="3"/>
    <x v="2"/>
    <x v="0"/>
    <s v=" Sector 102 Gurgaon"/>
    <n v="0"/>
    <n v="0"/>
    <n v="3"/>
    <n v="7"/>
    <n v="3"/>
    <x v="1"/>
    <n v="14"/>
    <n v="1"/>
    <n v="0"/>
    <n v="0"/>
    <n v="0"/>
    <n v="1650.1650165016501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500000"/>
    <n v="8.7870000000000004E-2"/>
    <x v="2"/>
    <s v="Todo bien"/>
    <x v="0"/>
    <x v="5"/>
    <n v="718.81229521452144"/>
    <x v="1"/>
    <x v="2"/>
    <s v="Pequeña"/>
    <x v="1"/>
    <n v="1650.1650165016501"/>
  </r>
  <r>
    <s v="Shapoorji Pallonji Joyville Gurugram"/>
    <x v="197"/>
    <n v="9195"/>
    <n v="3"/>
    <x v="2"/>
    <x v="0"/>
    <s v=" Sector 102 Gurgaon"/>
    <n v="0"/>
    <n v="0"/>
    <n v="3"/>
    <n v="1"/>
    <n v="3"/>
    <x v="1"/>
    <n v="26"/>
    <n v="0"/>
    <n v="0"/>
    <n v="0"/>
    <n v="0"/>
    <n v="1924.9592169657421"/>
    <m/>
    <n v="182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249592169657399E-2"/>
    <n v="17700000"/>
    <n v="9.1950000000000004E-2"/>
    <x v="3"/>
    <s v="Todo bien"/>
    <x v="0"/>
    <x v="5"/>
    <n v="838.51271788254382"/>
    <x v="1"/>
    <x v="2"/>
    <s v="Pequeña"/>
    <x v="1"/>
    <n v="1924.9592169657421"/>
  </r>
  <r>
    <s v="Shapoorji Pallonji Joyville Gurugram"/>
    <x v="115"/>
    <n v="16454"/>
    <n v="2"/>
    <x v="2"/>
    <x v="0"/>
    <s v=" Sector 102 Gurgaon"/>
    <n v="0"/>
    <n v="0"/>
    <n v="2"/>
    <n v="10"/>
    <n v="2"/>
    <x v="0"/>
    <n v="26"/>
    <n v="0"/>
    <n v="0"/>
    <n v="0"/>
    <n v="0"/>
    <n v="589.49"/>
    <m/>
    <n v="9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8952230460678004E-3"/>
    <n v="9700000"/>
    <n v="0.16453999999999999"/>
    <x v="1"/>
    <s v="Todo bien"/>
    <x v="0"/>
    <x v="5"/>
    <n v="256.79606379785963"/>
    <x v="0"/>
    <x v="1"/>
    <s v="Pequeña"/>
    <x v="0"/>
    <n v="589.52230460678254"/>
  </r>
  <r>
    <s v="Adani MK Oyster Grande"/>
    <x v="168"/>
    <n v="8468"/>
    <n v="3"/>
    <x v="4"/>
    <x v="0"/>
    <s v=" Sector 102 Gurgaon"/>
    <n v="0"/>
    <n v="0"/>
    <n v="3"/>
    <n v="14"/>
    <n v="3"/>
    <x v="1"/>
    <n v="24"/>
    <n v="1"/>
    <n v="1"/>
    <n v="0"/>
    <n v="0"/>
    <n v="2775.1535191308453"/>
    <m/>
    <n v="25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7515351913084E-2"/>
    <n v="23500000"/>
    <n v="8.4680000000000005E-2"/>
    <x v="3"/>
    <s v="Todo bien"/>
    <x v="0"/>
    <x v="5"/>
    <n v="1208.857569219412"/>
    <x v="1"/>
    <x v="3"/>
    <s v="Pequeña"/>
    <x v="2"/>
    <n v="2775.1535191308453"/>
  </r>
  <r>
    <s v="Adani MK Oyster Grande"/>
    <x v="49"/>
    <n v="9105"/>
    <n v="3"/>
    <x v="2"/>
    <x v="0"/>
    <s v=" Sector 102 Gurgaon"/>
    <n v="0"/>
    <n v="0"/>
    <n v="4"/>
    <n v="8"/>
    <n v="3"/>
    <x v="1"/>
    <n v="24"/>
    <n v="1"/>
    <n v="0"/>
    <n v="0"/>
    <n v="0"/>
    <n v="2086.765513454146"/>
    <m/>
    <n v="1889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867655134541401E-2"/>
    <n v="19000000"/>
    <n v="9.1050000000000006E-2"/>
    <x v="3"/>
    <s v="Todo bien"/>
    <x v="1"/>
    <x v="5"/>
    <n v="908.99558123009081"/>
    <x v="1"/>
    <x v="2"/>
    <s v="Pequeña"/>
    <x v="1"/>
    <n v="2086.765513454146"/>
  </r>
  <r>
    <s v="Pyramid Urban Homes "/>
    <x v="66"/>
    <n v="8582"/>
    <n v="2"/>
    <x v="2"/>
    <x v="2"/>
    <s v=" Sector 86 Gurgaon"/>
    <n v="0"/>
    <n v="0"/>
    <n v="2"/>
    <n v="6"/>
    <n v="1"/>
    <x v="0"/>
    <n v="13"/>
    <n v="0"/>
    <n v="1"/>
    <n v="0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x v="0"/>
    <s v="Todo bien"/>
    <x v="0"/>
    <x v="3"/>
    <n v="218.25694230598526"/>
    <x v="0"/>
    <x v="1"/>
    <s v="Pequeña"/>
    <x v="0"/>
    <n v="501.04870659519929"/>
  </r>
  <r>
    <s v="Shree Vardhman Victoria"/>
    <x v="335"/>
    <n v="8307"/>
    <n v="3"/>
    <x v="5"/>
    <x v="0"/>
    <s v=" Sector 70 Gurgaon"/>
    <n v="0"/>
    <n v="0"/>
    <n v="5"/>
    <n v="9"/>
    <n v="3"/>
    <x v="1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6200000"/>
    <n v="8.3070000000000005E-2"/>
    <x v="3"/>
    <s v="Todo bien"/>
    <x v="0"/>
    <x v="1"/>
    <n v="849.49128019501404"/>
    <x v="1"/>
    <x v="0"/>
    <s v="Pequeña"/>
    <x v="1"/>
    <n v="1950.1625135427951"/>
  </r>
  <r>
    <s v="SS The Leaf"/>
    <x v="128"/>
    <n v="8075"/>
    <n v="3"/>
    <x v="2"/>
    <x v="0"/>
    <s v=" Sector 85 Gurgaon"/>
    <n v="0"/>
    <n v="0"/>
    <n v="4"/>
    <n v="7"/>
    <n v="3"/>
    <x v="1"/>
    <n v="26"/>
    <n v="1"/>
    <n v="0"/>
    <n v="0"/>
    <n v="0"/>
    <n v="2390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x v="3"/>
    <s v="Todo bien"/>
    <x v="0"/>
    <x v="5"/>
    <n v="1041.1250578786353"/>
    <x v="1"/>
    <x v="2"/>
    <s v="Grande"/>
    <x v="2"/>
    <n v="2390.0928792569657"/>
  </r>
  <r>
    <s v="SS The Leaf"/>
    <x v="37"/>
    <n v="8659"/>
    <n v="3"/>
    <x v="4"/>
    <x v="0"/>
    <s v=" Sector 85 Gurgaon"/>
    <n v="0"/>
    <n v="0"/>
    <n v="4"/>
    <n v="17"/>
    <n v="3"/>
    <x v="1"/>
    <n v="26"/>
    <n v="1"/>
    <n v="0"/>
    <n v="0"/>
    <n v="0"/>
    <n v="2298"/>
    <n v="2398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81868576048E-2"/>
    <n v="19900000"/>
    <n v="8.659E-2"/>
    <x v="3"/>
    <s v="Todo bien"/>
    <x v="0"/>
    <x v="5"/>
    <n v="1001.0907717877335"/>
    <x v="1"/>
    <x v="2"/>
    <s v="Grande"/>
    <x v="2"/>
    <n v="2298.1868576048041"/>
  </r>
  <r>
    <s v="Shree Vardhman Victoria"/>
    <x v="336"/>
    <n v="9111"/>
    <n v="2"/>
    <x v="2"/>
    <x v="0"/>
    <s v=" Sector 70 Gurgaon"/>
    <n v="0"/>
    <n v="0"/>
    <n v="2"/>
    <n v="1"/>
    <n v="3"/>
    <x v="0"/>
    <n v="18"/>
    <n v="0"/>
    <n v="1"/>
    <n v="0"/>
    <n v="0"/>
    <n v="1350.01646361541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1646361541E-2"/>
    <n v="12300000"/>
    <n v="9.1109999999999997E-2"/>
    <x v="2"/>
    <s v="Todo bien"/>
    <x v="0"/>
    <x v="1"/>
    <n v="588.06751027000337"/>
    <x v="1"/>
    <x v="2"/>
    <s v="Pequeña"/>
    <x v="1"/>
    <n v="1350.01646361541"/>
  </r>
  <r>
    <s v="Shree Vardhman Victoria"/>
    <x v="337"/>
    <n v="8358"/>
    <n v="3"/>
    <x v="4"/>
    <x v="0"/>
    <s v=" Sector 70 Gurgaon"/>
    <n v="0"/>
    <n v="0"/>
    <n v="5"/>
    <n v="12"/>
    <n v="3"/>
    <x v="1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22732711174E-2"/>
    <n v="16300000"/>
    <n v="8.3580000000000002E-2"/>
    <x v="3"/>
    <s v="Todo bien"/>
    <x v="0"/>
    <x v="1"/>
    <n v="849.51951300191035"/>
    <x v="1"/>
    <x v="0"/>
    <s v="Pequeña"/>
    <x v="1"/>
    <n v="1950.2273271117492"/>
  </r>
  <r>
    <s v="Shree Vardhman Victoria"/>
    <x v="182"/>
    <n v="8384"/>
    <n v="3"/>
    <x v="5"/>
    <x v="0"/>
    <s v=" Sector 70 Gurgaon"/>
    <n v="0"/>
    <n v="0"/>
    <n v="5"/>
    <n v="3"/>
    <n v="3"/>
    <x v="1"/>
    <n v="18"/>
    <n v="1"/>
    <n v="0"/>
    <n v="0"/>
    <n v="0"/>
    <n v="1161"/>
    <m/>
    <n v="1950"/>
    <n v="0"/>
    <n v="1"/>
    <n v="1"/>
    <n v="1"/>
    <n v="0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1068702290001E-2"/>
    <n v="16400000"/>
    <n v="8.3839999999999998E-2"/>
    <x v="3"/>
    <s v="Todo bien"/>
    <x v="0"/>
    <x v="3"/>
    <n v="852.08064345896628"/>
    <x v="1"/>
    <x v="0"/>
    <s v="Pequeña"/>
    <x v="1"/>
    <n v="1956.1068702290077"/>
  </r>
  <r>
    <s v="Shree Vardhman Victoria"/>
    <x v="43"/>
    <n v="9259"/>
    <n v="2"/>
    <x v="4"/>
    <x v="0"/>
    <s v=" Sector 70 Gurgaon"/>
    <n v="0"/>
    <n v="0"/>
    <n v="2"/>
    <n v="3"/>
    <n v="3"/>
    <x v="0"/>
    <n v="18"/>
    <n v="0"/>
    <n v="1"/>
    <n v="0"/>
    <n v="0"/>
    <n v="1350.0378010584295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378010584201E-2"/>
    <n v="12500000"/>
    <n v="9.2590000000000006E-2"/>
    <x v="2"/>
    <s v="Todo bien"/>
    <x v="0"/>
    <x v="1"/>
    <n v="588.07680486553215"/>
    <x v="1"/>
    <x v="2"/>
    <s v="Pequeña"/>
    <x v="1"/>
    <n v="1350.0378010584295"/>
  </r>
  <r>
    <s v="SBTL Caladium"/>
    <x v="49"/>
    <n v="6219"/>
    <n v="4"/>
    <x v="2"/>
    <x v="0"/>
    <s v=" Sector 109 Gurgaon"/>
    <n v="0"/>
    <n v="0"/>
    <n v="4"/>
    <n v="8"/>
    <n v="3"/>
    <x v="2"/>
    <n v="19"/>
    <n v="1"/>
    <n v="0"/>
    <n v="0"/>
    <n v="0"/>
    <n v="3055.1535616658625"/>
    <m/>
    <n v="305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15356166586E-2"/>
    <n v="19000000"/>
    <n v="6.2190000000000002E-2"/>
    <x v="3"/>
    <s v="Todo bien"/>
    <x v="0"/>
    <x v="5"/>
    <n v="1330.8256579996773"/>
    <x v="1"/>
    <x v="3"/>
    <s v="Pequeña"/>
    <x v="3"/>
    <n v="3055.1535616658625"/>
  </r>
  <r>
    <s v="SBTL Caladium"/>
    <x v="56"/>
    <n v="6382"/>
    <n v="3"/>
    <x v="8"/>
    <x v="0"/>
    <s v=" Sector 109 Gurgaon"/>
    <n v="0"/>
    <n v="0"/>
    <n v="2"/>
    <n v="8"/>
    <n v="2"/>
    <x v="1"/>
    <n v="19"/>
    <n v="0"/>
    <n v="0"/>
    <n v="0"/>
    <n v="0"/>
    <n v="1880.288310874334"/>
    <m/>
    <n v="1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8802883108743298E-2"/>
    <n v="12000000"/>
    <n v="6.3820000000000002E-2"/>
    <x v="2"/>
    <s v="Todo bien"/>
    <x v="0"/>
    <x v="5"/>
    <n v="819.05405998119534"/>
    <x v="1"/>
    <x v="2"/>
    <s v="Pequeña"/>
    <x v="1"/>
    <n v="1880.288310874334"/>
  </r>
  <r>
    <s v="SBTL Caladium"/>
    <x v="337"/>
    <n v="6404"/>
    <n v="3"/>
    <x v="7"/>
    <x v="0"/>
    <s v=" Sector 109 Gurgaon"/>
    <n v="0"/>
    <n v="0"/>
    <n v="3"/>
    <n v="8"/>
    <n v="2"/>
    <x v="1"/>
    <n v="19"/>
    <n v="1"/>
    <n v="0"/>
    <n v="0"/>
    <n v="0"/>
    <n v="2545.2841973766394"/>
    <m/>
    <n v="25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841973766301E-2"/>
    <n v="16300000"/>
    <n v="6.404E-2"/>
    <x v="3"/>
    <s v="Todo bien"/>
    <x v="0"/>
    <x v="5"/>
    <n v="1108.7264349890652"/>
    <x v="1"/>
    <x v="3"/>
    <s v="Pequeña"/>
    <x v="2"/>
    <n v="2545.2841973766394"/>
  </r>
  <r>
    <s v="DLF Regal Gardens"/>
    <x v="336"/>
    <n v="7052"/>
    <n v="3"/>
    <x v="5"/>
    <x v="0"/>
    <s v=" Sector 90 Gurgaon"/>
    <n v="0"/>
    <n v="0"/>
    <n v="3"/>
    <n v="19"/>
    <n v="2"/>
    <x v="1"/>
    <n v="29"/>
    <n v="0"/>
    <n v="0"/>
    <n v="0"/>
    <n v="0"/>
    <n v="1744.1860465116279"/>
    <m/>
    <n v="1744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860465116199E-2"/>
    <n v="12300000"/>
    <n v="7.0519999999999999E-2"/>
    <x v="2"/>
    <s v="Todo bien"/>
    <x v="0"/>
    <x v="2"/>
    <n v="759.76787947674075"/>
    <x v="1"/>
    <x v="2"/>
    <s v="Pequeña"/>
    <x v="1"/>
    <n v="1744.1860465116279"/>
  </r>
  <r>
    <s v="Pyramid Urban Homes "/>
    <x v="66"/>
    <n v="8582"/>
    <n v="2"/>
    <x v="2"/>
    <x v="2"/>
    <s v=" Sector 86 Gurgaon"/>
    <n v="0"/>
    <n v="0"/>
    <n v="2"/>
    <n v="6"/>
    <n v="1"/>
    <x v="0"/>
    <n v="13"/>
    <n v="0"/>
    <n v="0"/>
    <n v="0"/>
    <n v="0"/>
    <n v="501"/>
    <m/>
    <m/>
    <n v="0"/>
    <n v="0"/>
    <n v="1"/>
    <n v="0"/>
    <n v="0"/>
    <n v="0"/>
    <n v="0"/>
    <n v="1"/>
    <n v="1"/>
    <n v="1"/>
    <n v="1"/>
    <n v="1"/>
    <n v="1"/>
    <n v="1"/>
    <n v="1"/>
    <n v="0"/>
    <n v="0"/>
    <n v="3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x v="0"/>
    <s v="Todo bien"/>
    <x v="0"/>
    <x v="1"/>
    <n v="218.25694230598526"/>
    <x v="0"/>
    <x v="1"/>
    <s v="Pequeña"/>
    <x v="0"/>
    <n v="501.04870659519929"/>
  </r>
  <r>
    <s v="SS The Leaf"/>
    <x v="146"/>
    <n v="6524"/>
    <n v="2"/>
    <x v="8"/>
    <x v="0"/>
    <s v=" Sector 85 Gurgaon"/>
    <n v="0"/>
    <n v="0"/>
    <n v="2"/>
    <n v="21"/>
    <n v="3"/>
    <x v="0"/>
    <n v="26"/>
    <n v="0"/>
    <n v="0"/>
    <n v="1"/>
    <n v="0"/>
    <n v="1640.0980993255671"/>
    <m/>
    <n v="1640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980993255598E-2"/>
    <n v="10700000"/>
    <n v="6.5240000000000006E-2"/>
    <x v="2"/>
    <s v="Todo bien"/>
    <x v="0"/>
    <x v="3"/>
    <n v="714.427143566827"/>
    <x v="1"/>
    <x v="2"/>
    <s v="Pequeña"/>
    <x v="1"/>
    <n v="1640.0980993255671"/>
  </r>
  <r>
    <s v="Orris Aster Court Premier"/>
    <x v="217"/>
    <n v="6757"/>
    <n v="4"/>
    <x v="4"/>
    <x v="0"/>
    <s v=" Sector 85 Gurgaon"/>
    <n v="0"/>
    <n v="0"/>
    <n v="5"/>
    <n v="8"/>
    <n v="3"/>
    <x v="2"/>
    <n v="12"/>
    <n v="1"/>
    <n v="0"/>
    <n v="0"/>
    <n v="0"/>
    <n v="2560.307828918159"/>
    <n v="2017"/>
    <n v="256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030782891815E-2"/>
    <n v="17300000"/>
    <n v="6.7570000000000005E-2"/>
    <x v="3"/>
    <s v="Todo bien"/>
    <x v="0"/>
    <x v="2"/>
    <n v="1115.2707326579805"/>
    <x v="1"/>
    <x v="3"/>
    <s v="Grande"/>
    <x v="2"/>
    <n v="2560.307828918159"/>
  </r>
  <r>
    <s v="Orris Aster Court Premier"/>
    <x v="59"/>
    <n v="6839"/>
    <n v="3"/>
    <x v="5"/>
    <x v="2"/>
    <s v=" Sector 85 Gurgaon"/>
    <n v="0"/>
    <n v="0"/>
    <n v="4"/>
    <n v="3"/>
    <n v="2"/>
    <x v="1"/>
    <n v="12"/>
    <n v="1"/>
    <n v="0"/>
    <n v="0"/>
    <n v="0"/>
    <n v="2120.1930106740751"/>
    <n v="1616"/>
    <n v="212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9301067407E-2"/>
    <n v="14500000"/>
    <n v="6.8390000000000006E-2"/>
    <x v="2"/>
    <s v="Todo bien"/>
    <x v="0"/>
    <x v="2"/>
    <n v="923.5566074060514"/>
    <x v="1"/>
    <x v="2"/>
    <s v="Mediana"/>
    <x v="2"/>
    <n v="2120.1930106740751"/>
  </r>
  <r>
    <s v="DLF The Primus"/>
    <x v="196"/>
    <n v="10394"/>
    <n v="3"/>
    <x v="4"/>
    <x v="5"/>
    <s v=" Sector 82A Gurgaon"/>
    <n v="0"/>
    <n v="0"/>
    <n v="3"/>
    <n v="31"/>
    <n v="3"/>
    <x v="1"/>
    <n v="32"/>
    <n v="0"/>
    <n v="0"/>
    <n v="1"/>
    <n v="0"/>
    <n v="1538"/>
    <m/>
    <n v="179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11487396574E-2"/>
    <n v="18700000"/>
    <n v="0.10394"/>
    <x v="3"/>
    <s v="Todo bien"/>
    <x v="0"/>
    <x v="1"/>
    <n v="783.69489049739832"/>
    <x v="1"/>
    <x v="2"/>
    <s v="Pequeña"/>
    <x v="1"/>
    <n v="1799.1148739657494"/>
  </r>
  <r>
    <s v="DLF The Primus"/>
    <x v="20"/>
    <n v="10176"/>
    <n v="3"/>
    <x v="4"/>
    <x v="5"/>
    <s v=" Sector 82A Gurgaon"/>
    <n v="0"/>
    <n v="0"/>
    <n v="3"/>
    <n v="15"/>
    <n v="3"/>
    <x v="1"/>
    <n v="32"/>
    <n v="0"/>
    <n v="0"/>
    <n v="0"/>
    <n v="0"/>
    <n v="1538"/>
    <m/>
    <n v="1818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00314465408E-2"/>
    <n v="18500000"/>
    <n v="0.10176"/>
    <x v="3"/>
    <s v="Todo bien"/>
    <x v="0"/>
    <x v="1"/>
    <n v="791.92262594830629"/>
    <x v="1"/>
    <x v="2"/>
    <s v="Pequeña"/>
    <x v="1"/>
    <n v="1818.0031446540879"/>
  </r>
  <r>
    <s v="DLF Regal Gardens"/>
    <x v="68"/>
    <n v="7900"/>
    <n v="4"/>
    <x v="4"/>
    <x v="0"/>
    <s v=" Sector 90 Gurgaon"/>
    <n v="0"/>
    <n v="0"/>
    <n v="4"/>
    <n v="3"/>
    <n v="3"/>
    <x v="2"/>
    <n v="29"/>
    <n v="0"/>
    <n v="0"/>
    <n v="0"/>
    <n v="0"/>
    <n v="2215.1898734177216"/>
    <m/>
    <n v="2215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1898734177201E-2"/>
    <n v="17500000"/>
    <n v="7.9000000000000001E-2"/>
    <x v="3"/>
    <s v="Todo bien"/>
    <x v="0"/>
    <x v="2"/>
    <n v="964.9372646518982"/>
    <x v="1"/>
    <x v="2"/>
    <s v="Pequeña"/>
    <x v="2"/>
    <n v="2215.1898734177216"/>
  </r>
  <r>
    <s v="Microtek Greenburg"/>
    <x v="336"/>
    <n v="8310"/>
    <n v="2"/>
    <x v="8"/>
    <x v="0"/>
    <s v=" Sector 86 Gurgaon"/>
    <n v="0"/>
    <n v="0"/>
    <n v="2"/>
    <n v="13"/>
    <n v="3"/>
    <x v="0"/>
    <n v="21"/>
    <n v="0"/>
    <n v="1"/>
    <n v="0"/>
    <n v="0"/>
    <n v="1480.1444043321301"/>
    <m/>
    <n v="1480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4440433213E-2"/>
    <n v="12300000"/>
    <n v="8.3099999999999993E-2"/>
    <x v="2"/>
    <s v="Todo bien"/>
    <x v="0"/>
    <x v="2"/>
    <n v="644.75127389530689"/>
    <x v="1"/>
    <x v="2"/>
    <s v="Pequeña"/>
    <x v="1"/>
    <n v="1480.1444043321301"/>
  </r>
  <r>
    <s v="Microtek Greenburg"/>
    <x v="43"/>
    <n v="8445"/>
    <n v="2"/>
    <x v="0"/>
    <x v="5"/>
    <s v=" Sector 86 Gurgaon"/>
    <n v="0"/>
    <n v="0"/>
    <n v="2"/>
    <n v="13"/>
    <n v="3"/>
    <x v="0"/>
    <n v="21"/>
    <n v="0"/>
    <n v="1"/>
    <n v="0"/>
    <n v="0"/>
    <n v="1480.1657785671996"/>
    <m/>
    <n v="1480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x v="2"/>
    <s v="Todo bien"/>
    <x v="0"/>
    <x v="2"/>
    <n v="644.76058451746189"/>
    <x v="1"/>
    <x v="2"/>
    <s v="Pequeña"/>
    <x v="1"/>
    <n v="1480.1657785671996"/>
  </r>
  <r>
    <s v="Experion Windchants"/>
    <x v="142"/>
    <n v="11551"/>
    <n v="4"/>
    <x v="2"/>
    <x v="0"/>
    <s v=" Sector 112 Gurgaon"/>
    <n v="0"/>
    <n v="0"/>
    <n v="6"/>
    <n v="8"/>
    <n v="3"/>
    <x v="2"/>
    <n v="28"/>
    <n v="1"/>
    <n v="0"/>
    <n v="0"/>
    <n v="0"/>
    <n v="4848.0651025885209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8480651025885203E-2"/>
    <n v="56000000"/>
    <n v="0.11551"/>
    <x v="4"/>
    <s v="Todo bien"/>
    <x v="0"/>
    <x v="5"/>
    <n v="2111.8183750670937"/>
    <x v="3"/>
    <x v="3"/>
    <s v="Muy grande"/>
    <x v="3"/>
    <n v="4848.0651025885209"/>
  </r>
  <r>
    <s v="Bestech Park View Ananda"/>
    <x v="59"/>
    <n v="8011"/>
    <n v="3"/>
    <x v="5"/>
    <x v="0"/>
    <s v=" Sector 81 Gurgaon"/>
    <n v="0"/>
    <n v="0"/>
    <n v="3"/>
    <n v="8"/>
    <n v="3"/>
    <x v="1"/>
    <n v="15"/>
    <n v="0"/>
    <n v="0"/>
    <n v="0"/>
    <n v="0"/>
    <n v="1500"/>
    <n v="1650"/>
    <n v="1810"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1"/>
    <x v="1"/>
    <n v="0"/>
    <n v="2"/>
    <n v="1"/>
    <n v="5"/>
    <n v="1"/>
    <n v="1"/>
    <n v="1"/>
    <n v="0"/>
    <n v="0"/>
    <n v="1"/>
    <n v="1"/>
    <n v="0"/>
    <n v="0"/>
    <n v="0"/>
    <n v="1"/>
    <n v="2"/>
    <n v="1"/>
    <n v="0"/>
    <n v="0"/>
    <n v="0"/>
    <n v="0"/>
    <n v="0"/>
    <n v="0"/>
    <n v="2"/>
    <n v="1.8100112345524898E-2"/>
    <n v="14500000"/>
    <n v="8.0110000000000001E-2"/>
    <x v="2"/>
    <s v="Todo bien"/>
    <x v="1"/>
    <x v="4"/>
    <n v="788.44134790288342"/>
    <x v="1"/>
    <x v="2"/>
    <s v="Mediana"/>
    <x v="1"/>
    <n v="1810.0112345524904"/>
  </r>
  <r>
    <s v="DLF The Primus"/>
    <x v="58"/>
    <n v="10481"/>
    <n v="4"/>
    <x v="4"/>
    <x v="5"/>
    <s v=" Sector 82A Gurgaon"/>
    <n v="0"/>
    <n v="0"/>
    <n v="4"/>
    <n v="18"/>
    <n v="3"/>
    <x v="2"/>
    <n v="32"/>
    <n v="1"/>
    <n v="0"/>
    <n v="0"/>
    <n v="0"/>
    <n v="1306"/>
    <m/>
    <n v="2576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60900677416199E-2"/>
    <n v="27000000"/>
    <n v="0.10481"/>
    <x v="5"/>
    <s v="Todo bien"/>
    <x v="0"/>
    <x v="1"/>
    <n v="1122.1454798492477"/>
    <x v="1"/>
    <x v="2"/>
    <s v="Pequeña"/>
    <x v="2"/>
    <n v="2576.0900677416275"/>
  </r>
  <r>
    <s v="Pyramid Urban Homes "/>
    <x v="338"/>
    <n v="8483"/>
    <n v="2"/>
    <x v="2"/>
    <x v="2"/>
    <s v=" Sector 86 Gurgaon"/>
    <n v="0"/>
    <n v="0"/>
    <n v="2"/>
    <n v="2"/>
    <n v="1"/>
    <x v="0"/>
    <n v="13"/>
    <n v="1"/>
    <n v="1"/>
    <n v="1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0200400801003E-3"/>
    <n v="4250000"/>
    <n v="8.4830000000000003E-2"/>
    <x v="0"/>
    <s v="Todo bien"/>
    <x v="0"/>
    <x v="3"/>
    <n v="218.236598647292"/>
    <x v="0"/>
    <x v="1"/>
    <s v="Pequeña"/>
    <x v="0"/>
    <n v="501.002004008016"/>
  </r>
  <r>
    <s v="DLF The Ultima"/>
    <x v="129"/>
    <n v="12356"/>
    <n v="4"/>
    <x v="4"/>
    <x v="5"/>
    <s v=" Sector 81 Gurgaon"/>
    <n v="0"/>
    <n v="0"/>
    <n v="4"/>
    <n v="25"/>
    <n v="3"/>
    <x v="2"/>
    <n v="29"/>
    <n v="1"/>
    <n v="0"/>
    <n v="0"/>
    <n v="0"/>
    <n v="2792.1657494334736"/>
    <m/>
    <n v="279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921657494334701E-2"/>
    <n v="34500000"/>
    <n v="0.12356"/>
    <x v="5"/>
    <s v="Todo bien"/>
    <x v="0"/>
    <x v="3"/>
    <n v="1216.2681010076062"/>
    <x v="1"/>
    <x v="3"/>
    <s v="Pequeña"/>
    <x v="2"/>
    <n v="2792.1657494334736"/>
  </r>
  <r>
    <s v="DLF The Ultima"/>
    <x v="27"/>
    <n v="11805"/>
    <n v="4"/>
    <x v="7"/>
    <x v="5"/>
    <s v=" Sector 81 Gurgaon"/>
    <n v="0"/>
    <n v="0"/>
    <n v="4"/>
    <n v="11"/>
    <n v="3"/>
    <x v="2"/>
    <n v="19"/>
    <n v="1"/>
    <n v="0"/>
    <n v="0"/>
    <n v="0"/>
    <n v="2753.0707327403643"/>
    <m/>
    <n v="2753"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530707327403599E-2"/>
    <n v="32500000"/>
    <n v="0.11805"/>
    <x v="5"/>
    <s v="Todo bien"/>
    <x v="0"/>
    <x v="0"/>
    <n v="1199.2383019271476"/>
    <x v="1"/>
    <x v="3"/>
    <s v="Pequeña"/>
    <x v="2"/>
    <n v="2753.0707327403643"/>
  </r>
  <r>
    <s v="Apex Our Homes"/>
    <x v="290"/>
    <n v="3783"/>
    <n v="2"/>
    <x v="4"/>
    <x v="0"/>
    <s v=" Sector 37C Gurgaon"/>
    <n v="0"/>
    <n v="0"/>
    <n v="2"/>
    <n v="7"/>
    <n v="1"/>
    <x v="0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9.2519164684113E-3"/>
    <n v="3500000"/>
    <n v="3.7830000000000003E-2"/>
    <x v="0"/>
    <s v="Todo bien"/>
    <x v="1"/>
    <x v="5"/>
    <n v="403.01371349458043"/>
    <x v="0"/>
    <x v="0"/>
    <s v="Mediana"/>
    <x v="0"/>
    <n v="925.19164684113127"/>
  </r>
  <r>
    <s v="Apex Our Homes"/>
    <x v="327"/>
    <n v="3567"/>
    <n v="2"/>
    <x v="0"/>
    <x v="0"/>
    <s v=" Sector 37C Gurgaon"/>
    <n v="0"/>
    <n v="0"/>
    <n v="2"/>
    <n v="3"/>
    <n v="1"/>
    <x v="0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2514718250629995E-3"/>
    <n v="3300000"/>
    <n v="3.567E-2"/>
    <x v="0"/>
    <s v="Todo bien"/>
    <x v="1"/>
    <x v="5"/>
    <n v="402.9943448191724"/>
    <x v="0"/>
    <x v="0"/>
    <s v="Mediana"/>
    <x v="0"/>
    <n v="925.14718250630779"/>
  </r>
  <r>
    <s v="Ramprastha Primera"/>
    <x v="8"/>
    <n v="6111"/>
    <n v="3"/>
    <x v="7"/>
    <x v="0"/>
    <s v=" Sector 37D Gurgaon"/>
    <n v="0"/>
    <n v="0"/>
    <n v="3"/>
    <n v="6"/>
    <n v="3"/>
    <x v="1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x v="2"/>
    <s v="Todo bien"/>
    <x v="0"/>
    <x v="5"/>
    <n v="784.09470788741203"/>
    <x v="1"/>
    <x v="2"/>
    <s v="Mediana"/>
    <x v="1"/>
    <n v="1800.0327278677794"/>
  </r>
  <r>
    <s v="Ramprastha Primera"/>
    <x v="85"/>
    <n v="6000"/>
    <n v="3"/>
    <x v="8"/>
    <x v="0"/>
    <s v=" Sector 37D Gurgaon"/>
    <n v="0"/>
    <n v="0"/>
    <n v="3"/>
    <n v="9"/>
    <n v="3"/>
    <x v="1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10800000"/>
    <n v="0.06"/>
    <x v="2"/>
    <s v="Todo bien"/>
    <x v="0"/>
    <x v="5"/>
    <n v="784.08045161999996"/>
    <x v="1"/>
    <x v="2"/>
    <s v="Mediana"/>
    <x v="1"/>
    <n v="1800"/>
  </r>
  <r>
    <s v="BPTP Terra"/>
    <x v="100"/>
    <n v="7730"/>
    <n v="3"/>
    <x v="3"/>
    <x v="0"/>
    <s v=" Sector 37D Gurgaon"/>
    <n v="0"/>
    <n v="0"/>
    <n v="3"/>
    <n v="5"/>
    <n v="3"/>
    <x v="1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2548512289E-2"/>
    <n v="14000000"/>
    <n v="7.7299999999999994E-2"/>
    <x v="2"/>
    <s v="Todo bien"/>
    <x v="1"/>
    <x v="5"/>
    <n v="788.92671573091513"/>
    <x v="1"/>
    <x v="2"/>
    <s v="Mediana"/>
    <x v="1"/>
    <n v="1811.125485122898"/>
  </r>
  <r>
    <s v="BPTP Terra"/>
    <x v="71"/>
    <n v="7530"/>
    <n v="4"/>
    <x v="0"/>
    <x v="0"/>
    <s v=" Sector 37D Gurgaon"/>
    <n v="0"/>
    <n v="0"/>
    <n v="3"/>
    <n v="6"/>
    <n v="3"/>
    <x v="2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2350597609501E-2"/>
    <n v="16500000"/>
    <n v="7.5300000000000006E-2"/>
    <x v="3"/>
    <s v="Todo bien"/>
    <x v="1"/>
    <x v="5"/>
    <n v="954.50254181274636"/>
    <x v="1"/>
    <x v="2"/>
    <s v="Grande"/>
    <x v="2"/>
    <n v="2191.2350597609561"/>
  </r>
  <r>
    <s v="BPTP Terra"/>
    <x v="136"/>
    <n v="7622"/>
    <n v="4"/>
    <x v="0"/>
    <x v="0"/>
    <s v=" Sector 37D Gurgaon"/>
    <n v="0"/>
    <n v="0"/>
    <n v="4"/>
    <n v="11"/>
    <n v="3"/>
    <x v="2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0259774337401E-2"/>
    <n v="16700000"/>
    <n v="7.6219999999999996E-2"/>
    <x v="3"/>
    <s v="Todo bien"/>
    <x v="1"/>
    <x v="5"/>
    <n v="954.411465498555"/>
    <x v="1"/>
    <x v="2"/>
    <s v="Grande"/>
    <x v="2"/>
    <n v="2191.0259774337446"/>
  </r>
  <r>
    <s v="BPTP Terra"/>
    <x v="59"/>
    <n v="8006"/>
    <n v="3"/>
    <x v="3"/>
    <x v="0"/>
    <s v=" Sector 37D Gurgaon"/>
    <n v="0"/>
    <n v="0"/>
    <n v="3"/>
    <n v="8"/>
    <n v="3"/>
    <x v="1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416437671699E-2"/>
    <n v="14500000"/>
    <n v="8.0060000000000006E-2"/>
    <x v="2"/>
    <s v="Todo bien"/>
    <x v="1"/>
    <x v="5"/>
    <n v="788.93375444041772"/>
    <x v="1"/>
    <x v="2"/>
    <s v="Mediana"/>
    <x v="1"/>
    <n v="1811.1416437671744"/>
  </r>
  <r>
    <s v="Adani MK Oyster Grande"/>
    <x v="339"/>
    <n v="10046"/>
    <n v="3"/>
    <x v="2"/>
    <x v="0"/>
    <s v=" Sector 102 Gurgaon"/>
    <n v="0"/>
    <n v="0"/>
    <n v="3"/>
    <n v="14"/>
    <n v="3"/>
    <x v="1"/>
    <n v="24"/>
    <n v="1"/>
    <n v="1"/>
    <n v="0"/>
    <n v="0"/>
    <n v="2000"/>
    <n v="2200"/>
    <n v="259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0489747163001E-2"/>
    <n v="26100000"/>
    <n v="0.10045999999999999"/>
    <x v="5"/>
    <s v="Todo bien"/>
    <x v="0"/>
    <x v="0"/>
    <n v="1131.7107852369081"/>
    <x v="1"/>
    <x v="2"/>
    <s v="Grande"/>
    <x v="2"/>
    <n v="2598.0489747163051"/>
  </r>
  <r>
    <s v="Indiabulls Centrum Park"/>
    <x v="98"/>
    <n v="7787"/>
    <n v="3"/>
    <x v="2"/>
    <x v="0"/>
    <s v=" Sector 103 Gurgaon"/>
    <n v="0"/>
    <n v="0"/>
    <n v="3"/>
    <n v="6"/>
    <n v="3"/>
    <x v="1"/>
    <n v="18"/>
    <n v="0"/>
    <n v="1"/>
    <n v="0"/>
    <n v="0"/>
    <n v="1200"/>
    <n v="1300"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1329138307401E-2"/>
    <n v="13200000"/>
    <n v="7.7869999999999995E-2"/>
    <x v="2"/>
    <s v="Todo bien"/>
    <x v="0"/>
    <x v="1"/>
    <n v="738.40032257351857"/>
    <x v="1"/>
    <x v="0"/>
    <s v="Mediana"/>
    <x v="1"/>
    <n v="1695.1329138307437"/>
  </r>
  <r>
    <s v="Emaar Gurgaon Greens"/>
    <x v="59"/>
    <n v="8787"/>
    <n v="3"/>
    <x v="2"/>
    <x v="0"/>
    <s v=" Sector 102 Gurgaon"/>
    <n v="0"/>
    <n v="0"/>
    <n v="3"/>
    <n v="8"/>
    <n v="3"/>
    <x v="1"/>
    <n v="14"/>
    <n v="1"/>
    <n v="0"/>
    <n v="0"/>
    <n v="0"/>
    <n v="1100"/>
    <n v="13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4500000"/>
    <n v="8.7870000000000004E-2"/>
    <x v="2"/>
    <s v="Todo bien"/>
    <x v="1"/>
    <x v="1"/>
    <n v="718.81229521452144"/>
    <x v="1"/>
    <x v="0"/>
    <s v="Mediana"/>
    <x v="1"/>
    <n v="1650.1650165016501"/>
  </r>
  <r>
    <s v="Signature The Serenas"/>
    <x v="63"/>
    <n v="57"/>
    <n v="1"/>
    <x v="7"/>
    <x v="0"/>
    <s v=" Sohna"/>
    <n v="0"/>
    <n v="0"/>
    <n v="1"/>
    <n v="1"/>
    <n v="2"/>
    <x v="3"/>
    <n v="14"/>
    <n v="0"/>
    <n v="1"/>
    <n v="0"/>
    <n v="0"/>
    <n v="48811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9122807017543851"/>
    <n v="2800000"/>
    <n v="5.6999999999999998E-4"/>
    <x v="0"/>
    <s v="Todo bien"/>
    <x v="0"/>
    <x v="0"/>
    <n v="21397.907061754384"/>
    <x v="2"/>
    <x v="3"/>
    <s v="Pequeña"/>
    <x v="0"/>
    <n v="49122.807017543862"/>
  </r>
  <r>
    <s v="Eldeco Accolade"/>
    <x v="313"/>
    <n v="5775"/>
    <n v="2"/>
    <x v="0"/>
    <x v="0"/>
    <s v=" Sohna"/>
    <n v="0"/>
    <n v="0"/>
    <n v="2"/>
    <n v="5"/>
    <n v="3"/>
    <x v="0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0"/>
    <n v="1"/>
    <n v="1"/>
    <n v="0"/>
    <n v="0"/>
    <n v="0"/>
    <n v="21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06926406926E-2"/>
    <n v="7300000"/>
    <n v="5.7750000000000003E-2"/>
    <x v="1"/>
    <s v="Todo bien"/>
    <x v="0"/>
    <x v="1"/>
    <n v="550.62888858354802"/>
    <x v="1"/>
    <x v="0"/>
    <s v="Pequeña"/>
    <x v="1"/>
    <n v="1264.0692640692639"/>
  </r>
  <r>
    <s v="Eldeco Accolade"/>
    <x v="120"/>
    <n v="4907"/>
    <n v="2"/>
    <x v="2"/>
    <x v="0"/>
    <s v=" Sohna"/>
    <n v="0"/>
    <n v="0"/>
    <n v="2"/>
    <n v="10"/>
    <n v="3"/>
    <x v="0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020990421801E-2"/>
    <n v="7150000"/>
    <n v="4.9070000000000003E-2"/>
    <x v="1"/>
    <s v="Todo bien"/>
    <x v="0"/>
    <x v="1"/>
    <n v="634.71403992969033"/>
    <x v="1"/>
    <x v="0"/>
    <s v="Pequeña"/>
    <x v="1"/>
    <n v="1457.1020990421846"/>
  </r>
  <r>
    <s v="Eldeco Accolade"/>
    <x v="340"/>
    <n v="5181"/>
    <n v="2"/>
    <x v="7"/>
    <x v="0"/>
    <s v=" Sohna"/>
    <n v="0"/>
    <n v="0"/>
    <n v="2"/>
    <n v="12"/>
    <n v="3"/>
    <x v="0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23470372514E-2"/>
    <n v="6550000"/>
    <n v="5.1810000000000002E-2"/>
    <x v="1"/>
    <s v="Todo bien"/>
    <x v="0"/>
    <x v="1"/>
    <n v="550.70095413915817"/>
    <x v="1"/>
    <x v="0"/>
    <s v="Pequeña"/>
    <x v="1"/>
    <n v="1264.2347037251495"/>
  </r>
  <r>
    <s v="Signature Global Park"/>
    <x v="15"/>
    <n v="6254"/>
    <n v="3"/>
    <x v="7"/>
    <x v="0"/>
    <s v=" Sohna"/>
    <n v="0"/>
    <n v="0"/>
    <n v="3"/>
    <n v="3"/>
    <n v="3"/>
    <x v="1"/>
    <n v="4"/>
    <n v="0"/>
    <n v="0"/>
    <n v="1"/>
    <n v="0"/>
    <n v="1439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0789894467499E-2"/>
    <n v="9000000"/>
    <n v="6.2539999999999998E-2"/>
    <x v="1"/>
    <s v="Todo bien"/>
    <x v="0"/>
    <x v="4"/>
    <n v="626.86316886792281"/>
    <x v="1"/>
    <x v="2"/>
    <s v="Pequeña"/>
    <x v="0"/>
    <n v="1439.0789894467541"/>
  </r>
  <r>
    <s v="Signature Global Park"/>
    <x v="295"/>
    <n v="6404"/>
    <n v="3"/>
    <x v="3"/>
    <x v="0"/>
    <s v=" Sohna"/>
    <n v="0"/>
    <n v="0"/>
    <n v="3"/>
    <n v="1"/>
    <n v="3"/>
    <x v="1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811367895E-2"/>
    <n v="7750000"/>
    <n v="6.404E-2"/>
    <x v="1"/>
    <s v="Todo bien"/>
    <x v="0"/>
    <x v="5"/>
    <n v="527.15520681995349"/>
    <x v="1"/>
    <x v="2"/>
    <s v="Pequeña"/>
    <x v="0"/>
    <n v="1210.1811367895066"/>
  </r>
  <r>
    <s v="Signature Global Park"/>
    <x v="4"/>
    <n v="6071"/>
    <n v="3"/>
    <x v="5"/>
    <x v="0"/>
    <s v=" Sohna"/>
    <n v="0"/>
    <n v="0"/>
    <n v="3"/>
    <n v="2"/>
    <n v="3"/>
    <x v="1"/>
    <n v="4"/>
    <n v="0"/>
    <n v="0"/>
    <n v="1"/>
    <n v="0"/>
    <n v="1153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1.1530225662987901E-2"/>
    <n v="7000000"/>
    <n v="6.071E-2"/>
    <x v="1"/>
    <s v="Todo bien"/>
    <x v="0"/>
    <x v="5"/>
    <n v="502.25691917311485"/>
    <x v="1"/>
    <x v="0"/>
    <s v="Pequeña"/>
    <x v="0"/>
    <n v="1153.0225662987975"/>
  </r>
  <r>
    <s v="Signature Global Park"/>
    <x v="341"/>
    <n v="6295"/>
    <n v="2"/>
    <x v="4"/>
    <x v="0"/>
    <s v=" Sohna"/>
    <n v="0"/>
    <n v="0"/>
    <n v="2"/>
    <n v="1"/>
    <n v="2"/>
    <x v="0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4511517077044997E-3"/>
    <n v="5320000"/>
    <n v="6.2950000000000006E-2"/>
    <x v="1"/>
    <s v="Todo bien"/>
    <x v="0"/>
    <x v="5"/>
    <n v="368.13238042700436"/>
    <x v="0"/>
    <x v="0"/>
    <s v="Pequeña"/>
    <x v="0"/>
    <n v="845.11517077045266"/>
  </r>
  <r>
    <s v="Signature Global Park"/>
    <x v="248"/>
    <n v="6326"/>
    <n v="2"/>
    <x v="7"/>
    <x v="0"/>
    <s v=" Sohna"/>
    <n v="0"/>
    <n v="0"/>
    <n v="2"/>
    <n v="3"/>
    <n v="2"/>
    <x v="0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0442617767003E-3"/>
    <n v="5200000"/>
    <n v="6.3259999999999997E-2"/>
    <x v="1"/>
    <s v="Todo bien"/>
    <x v="0"/>
    <x v="5"/>
    <n v="358.06533428390361"/>
    <x v="0"/>
    <x v="0"/>
    <s v="Pequeña"/>
    <x v="0"/>
    <n v="822.00442617767942"/>
  </r>
  <r>
    <s v="Signature Global Park"/>
    <x v="342"/>
    <n v="6289"/>
    <n v="3"/>
    <x v="0"/>
    <x v="0"/>
    <s v=" Sohna"/>
    <n v="0"/>
    <n v="0"/>
    <n v="3"/>
    <n v="1"/>
    <n v="3"/>
    <x v="1"/>
    <n v="4"/>
    <n v="0"/>
    <n v="0"/>
    <n v="1"/>
    <n v="0"/>
    <n v="143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90205120050801E-2"/>
    <n v="9050000"/>
    <n v="6.2890000000000001E-2"/>
    <x v="1"/>
    <s v="Todo bien"/>
    <x v="0"/>
    <x v="5"/>
    <n v="626.83769607965939"/>
    <x v="1"/>
    <x v="2"/>
    <s v="Pequeña"/>
    <x v="0"/>
    <n v="1439.0205120050882"/>
  </r>
  <r>
    <s v="Signature Global Park"/>
    <x v="343"/>
    <n v="6386"/>
    <n v="2"/>
    <x v="2"/>
    <x v="0"/>
    <s v=" Sohna"/>
    <n v="0"/>
    <n v="0"/>
    <n v="2"/>
    <n v="2"/>
    <n v="2"/>
    <x v="0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2211086752270006E-3"/>
    <n v="5250000"/>
    <n v="6.386E-2"/>
    <x v="1"/>
    <s v="Todo bien"/>
    <x v="0"/>
    <x v="5"/>
    <n v="358.11170016050482"/>
    <x v="0"/>
    <x v="0"/>
    <s v="Pequeña"/>
    <x v="0"/>
    <n v="822.11086752270592"/>
  </r>
  <r>
    <s v="Corona Optus"/>
    <x v="56"/>
    <n v="6916"/>
    <n v="3"/>
    <x v="6"/>
    <x v="0"/>
    <s v=" Sector 37C Gurgaon"/>
    <n v="0"/>
    <n v="0"/>
    <n v="4"/>
    <n v="8"/>
    <n v="3"/>
    <x v="1"/>
    <n v="14"/>
    <n v="0"/>
    <n v="0"/>
    <n v="0"/>
    <n v="0"/>
    <n v="1535"/>
    <n v="1635"/>
    <n v="173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10699826489E-2"/>
    <n v="12000000"/>
    <n v="6.9159999999999999E-2"/>
    <x v="2"/>
    <s v="Todo bien"/>
    <x v="0"/>
    <x v="5"/>
    <n v="755.81304378253196"/>
    <x v="1"/>
    <x v="2"/>
    <s v="Mediana"/>
    <x v="1"/>
    <n v="1735.106998264893"/>
  </r>
  <r>
    <s v="Corona Optus"/>
    <x v="282"/>
    <n v="6912"/>
    <n v="3"/>
    <x v="3"/>
    <x v="0"/>
    <s v=" Sector 37C Gurgaon"/>
    <n v="0"/>
    <n v="0"/>
    <n v="4"/>
    <n v="5"/>
    <n v="3"/>
    <x v="1"/>
    <n v="14"/>
    <n v="0"/>
    <n v="0"/>
    <n v="0"/>
    <n v="0"/>
    <n v="1565"/>
    <n v="1665"/>
    <n v="17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0462962962899E-2"/>
    <n v="12200000"/>
    <n v="6.9120000000000001E-2"/>
    <x v="2"/>
    <s v="Todo bien"/>
    <x v="0"/>
    <x v="5"/>
    <n v="768.85460951677965"/>
    <x v="1"/>
    <x v="2"/>
    <s v="Mediana"/>
    <x v="1"/>
    <n v="1765.0462962962963"/>
  </r>
  <r>
    <s v="Corona Optus"/>
    <x v="100"/>
    <n v="7035"/>
    <n v="3"/>
    <x v="8"/>
    <x v="0"/>
    <s v=" Sector 37C Gurgaon"/>
    <n v="0"/>
    <n v="0"/>
    <n v="3"/>
    <n v="4"/>
    <n v="3"/>
    <x v="1"/>
    <n v="14"/>
    <n v="1"/>
    <n v="0"/>
    <n v="0"/>
    <n v="0"/>
    <n v="1790"/>
    <n v="1890"/>
    <n v="19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000000"/>
    <n v="7.0349999999999996E-2"/>
    <x v="2"/>
    <s v="Todo bien"/>
    <x v="0"/>
    <x v="5"/>
    <n v="866.86617094527321"/>
    <x v="1"/>
    <x v="2"/>
    <s v="Grande"/>
    <x v="1"/>
    <n v="1990.0497512437812"/>
  </r>
  <r>
    <s v="Eldeco Accolade"/>
    <x v="313"/>
    <n v="5752"/>
    <n v="2"/>
    <x v="2"/>
    <x v="0"/>
    <s v=" Sohna"/>
    <n v="0"/>
    <n v="0"/>
    <n v="2"/>
    <n v="9"/>
    <n v="3"/>
    <x v="0"/>
    <n v="18"/>
    <n v="0"/>
    <n v="0"/>
    <n v="1"/>
    <n v="0"/>
    <n v="1269.1237830319888"/>
    <m/>
    <n v="126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12378303198E-2"/>
    <n v="7300000"/>
    <n v="5.7520000000000002E-2"/>
    <x v="1"/>
    <s v="Todo bien"/>
    <x v="0"/>
    <x v="5"/>
    <n v="552.8306383118877"/>
    <x v="1"/>
    <x v="2"/>
    <s v="Pequeña"/>
    <x v="1"/>
    <n v="1269.1237830319888"/>
  </r>
  <r>
    <s v="Eldeco Accolade"/>
    <x v="344"/>
    <n v="4975"/>
    <n v="2"/>
    <x v="4"/>
    <x v="0"/>
    <s v=" Sohna"/>
    <n v="0"/>
    <n v="0"/>
    <n v="2"/>
    <n v="12"/>
    <n v="3"/>
    <x v="0"/>
    <n v="18"/>
    <n v="0"/>
    <n v="1"/>
    <n v="0"/>
    <n v="0"/>
    <n v="849"/>
    <m/>
    <n v="1457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2864321608E-2"/>
    <n v="7250000"/>
    <n v="4.9750000000000003E-2"/>
    <x v="1"/>
    <s v="Todo bien"/>
    <x v="0"/>
    <x v="5"/>
    <n v="634.79433548241036"/>
    <x v="1"/>
    <x v="0"/>
    <s v="Pequeña"/>
    <x v="1"/>
    <n v="1457.286432160804"/>
  </r>
  <r>
    <s v="Eldeco Accolade"/>
    <x v="344"/>
    <n v="5735"/>
    <n v="2"/>
    <x v="0"/>
    <x v="0"/>
    <s v=" Sohna"/>
    <n v="0"/>
    <n v="0"/>
    <n v="2"/>
    <n v="8"/>
    <n v="3"/>
    <x v="0"/>
    <n v="18"/>
    <n v="0"/>
    <n v="0"/>
    <n v="0"/>
    <n v="0"/>
    <n v="126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6739319965E-2"/>
    <n v="7250000"/>
    <n v="5.7349999999999998E-2"/>
    <x v="1"/>
    <s v="Todo bien"/>
    <x v="0"/>
    <x v="5"/>
    <n v="550.67163365736656"/>
    <x v="1"/>
    <x v="2"/>
    <s v="Pequeña"/>
    <x v="0"/>
    <n v="1264.1673931996513"/>
  </r>
  <r>
    <s v="Signature Global Park"/>
    <x v="344"/>
    <n v="5991"/>
    <n v="2"/>
    <x v="7"/>
    <x v="0"/>
    <s v=" Sohna"/>
    <n v="0"/>
    <n v="0"/>
    <n v="2"/>
    <n v="3"/>
    <n v="3"/>
    <x v="0"/>
    <n v="4"/>
    <n v="0"/>
    <n v="0"/>
    <n v="1"/>
    <n v="0"/>
    <n v="1210.1485561675847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4855616758E-2"/>
    <n v="7250000"/>
    <n v="5.9909999999999998E-2"/>
    <x v="1"/>
    <s v="Todo bien"/>
    <x v="0"/>
    <x v="5"/>
    <n v="527.14101469287061"/>
    <x v="1"/>
    <x v="2"/>
    <s v="Pequeña"/>
    <x v="1"/>
    <n v="1210.1485561675847"/>
  </r>
  <r>
    <s v="Signature Global Park"/>
    <x v="345"/>
    <n v="6331"/>
    <n v="2"/>
    <x v="0"/>
    <x v="0"/>
    <s v=" Sohna"/>
    <n v="0"/>
    <n v="0"/>
    <n v="2"/>
    <n v="4"/>
    <n v="2"/>
    <x v="0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4504817564364995E-3"/>
    <n v="5350000"/>
    <n v="6.3310000000000005E-2"/>
    <x v="1"/>
    <s v="Todo bien"/>
    <x v="0"/>
    <x v="5"/>
    <n v="368.1031973329612"/>
    <x v="0"/>
    <x v="0"/>
    <s v="Pequeña"/>
    <x v="0"/>
    <n v="845.04817564365817"/>
  </r>
  <r>
    <s v="Signature Global Park"/>
    <x v="346"/>
    <n v="5537"/>
    <n v="2"/>
    <x v="2"/>
    <x v="0"/>
    <s v=" Sohna"/>
    <n v="0"/>
    <n v="0"/>
    <n v="2"/>
    <n v="4"/>
    <n v="3"/>
    <x v="0"/>
    <n v="4"/>
    <n v="0"/>
    <n v="0"/>
    <n v="1"/>
    <n v="0"/>
    <n v="1210.0415387393896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415387393801E-2"/>
    <n v="6700000"/>
    <n v="5.5370000000000003E-2"/>
    <x v="1"/>
    <s v="Todo bien"/>
    <x v="0"/>
    <x v="5"/>
    <n v="527.09439787429608"/>
    <x v="1"/>
    <x v="2"/>
    <s v="Pequeña"/>
    <x v="1"/>
    <n v="1210.0415387393896"/>
  </r>
  <r>
    <s v="Signature Global Park"/>
    <x v="32"/>
    <n v="6446"/>
    <n v="3"/>
    <x v="6"/>
    <x v="0"/>
    <s v=" Sohna"/>
    <n v="0"/>
    <n v="0"/>
    <n v="3"/>
    <n v="3"/>
    <n v="3"/>
    <x v="1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527458889201E-2"/>
    <n v="7800000"/>
    <n v="6.4460000000000003E-2"/>
    <x v="1"/>
    <s v="Todo bien"/>
    <x v="0"/>
    <x v="5"/>
    <n v="527.09927971144759"/>
    <x v="1"/>
    <x v="2"/>
    <s v="Pequeña"/>
    <x v="0"/>
    <n v="1210.0527458889233"/>
  </r>
  <r>
    <s v="Signature Global Park"/>
    <x v="53"/>
    <n v="5637"/>
    <n v="2"/>
    <x v="7"/>
    <x v="0"/>
    <s v=" Sohna"/>
    <n v="0"/>
    <n v="0"/>
    <n v="2"/>
    <n v="2"/>
    <n v="2"/>
    <x v="0"/>
    <n v="4"/>
    <n v="0"/>
    <n v="0"/>
    <n v="1"/>
    <n v="0"/>
    <n v="1153.0956182366506"/>
    <m/>
    <n v="115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0956182366501E-2"/>
    <n v="6500000"/>
    <n v="5.6370000000000003E-2"/>
    <x v="1"/>
    <s v="Todo bien"/>
    <x v="0"/>
    <x v="5"/>
    <n v="502.28874061557542"/>
    <x v="1"/>
    <x v="0"/>
    <s v="Pequeña"/>
    <x v="1"/>
    <n v="1153.0956182366506"/>
  </r>
  <r>
    <s v="Puri Diplomatic Greens"/>
    <x v="151"/>
    <n v="11864"/>
    <n v="4"/>
    <x v="2"/>
    <x v="0"/>
    <s v=" Sector 111 Gurgaon"/>
    <n v="0"/>
    <n v="0"/>
    <n v="5"/>
    <n v="10"/>
    <n v="3"/>
    <x v="2"/>
    <n v="21"/>
    <n v="1"/>
    <n v="0"/>
    <n v="0"/>
    <n v="0"/>
    <n v="2500"/>
    <n v="2700"/>
    <n v="2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6"/>
    <n v="1"/>
    <n v="0"/>
    <n v="0"/>
    <n v="0"/>
    <n v="1"/>
    <n v="5"/>
    <n v="1"/>
    <n v="0"/>
    <n v="0"/>
    <n v="0"/>
    <n v="0"/>
    <n v="0"/>
    <n v="0"/>
    <n v="2"/>
    <n v="2.9501011463250099E-2"/>
    <n v="35000000"/>
    <n v="0.11864"/>
    <x v="5"/>
    <s v="Todo bien"/>
    <x v="1"/>
    <x v="1"/>
    <n v="1285.064799519552"/>
    <x v="1"/>
    <x v="2"/>
    <s v="Muy grande"/>
    <x v="2"/>
    <n v="2950.101146325017"/>
  </r>
  <r>
    <s v="Ireo Uptown"/>
    <x v="287"/>
    <n v="12999"/>
    <n v="4"/>
    <x v="5"/>
    <x v="0"/>
    <s v=" Sector 66 Gurgaon"/>
    <n v="0"/>
    <n v="0"/>
    <n v="4"/>
    <n v="15"/>
    <n v="3"/>
    <x v="2"/>
    <n v="23"/>
    <n v="1"/>
    <n v="1"/>
    <n v="1"/>
    <n v="1"/>
    <n v="3300"/>
    <n v="3500"/>
    <n v="373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8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310562350949997E-2"/>
    <n v="48500000"/>
    <n v="0.12998999999999999"/>
    <x v="4"/>
    <s v="Todo bien"/>
    <x v="1"/>
    <x v="5"/>
    <n v="1625.2490321293913"/>
    <x v="3"/>
    <x v="3"/>
    <s v="Muy grande"/>
    <x v="3"/>
    <n v="3731.0562350950077"/>
  </r>
  <r>
    <s v="DLF New Town Heights "/>
    <x v="49"/>
    <n v="6967"/>
    <n v="4"/>
    <x v="2"/>
    <x v="0"/>
    <s v=" Sector 90 Gurgaon"/>
    <n v="0"/>
    <n v="0"/>
    <n v="4"/>
    <n v="19"/>
    <n v="3"/>
    <x v="2"/>
    <n v="27"/>
    <n v="1"/>
    <n v="0"/>
    <n v="0"/>
    <n v="1"/>
    <n v="2300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4"/>
    <n v="1"/>
    <n v="1"/>
    <n v="1"/>
    <n v="0"/>
    <n v="0"/>
    <n v="1"/>
    <n v="1"/>
    <n v="0"/>
    <n v="0"/>
    <n v="0"/>
    <n v="1"/>
    <n v="0"/>
    <n v="0"/>
    <n v="0"/>
    <n v="0"/>
    <n v="0"/>
    <n v="0"/>
    <n v="0"/>
    <n v="0"/>
    <n v="2"/>
    <n v="2.7271422419979902E-2"/>
    <n v="19000000"/>
    <n v="6.9669999999999996E-2"/>
    <x v="3"/>
    <s v="Todo bien"/>
    <x v="1"/>
    <x v="5"/>
    <n v="1187.9438448543131"/>
    <x v="1"/>
    <x v="2"/>
    <s v="Pequeña"/>
    <x v="2"/>
    <n v="2727.1422419979908"/>
  </r>
  <r>
    <s v="Pareena Coban Residences"/>
    <x v="163"/>
    <n v="7811"/>
    <n v="3"/>
    <x v="2"/>
    <x v="2"/>
    <s v=" Sector 99A Gurgaon"/>
    <n v="0"/>
    <n v="0"/>
    <n v="5"/>
    <n v="4"/>
    <n v="3"/>
    <x v="1"/>
    <n v="20"/>
    <n v="1"/>
    <n v="0"/>
    <n v="0"/>
    <n v="0"/>
    <n v="1997.183459224171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1834592241701E-2"/>
    <n v="15600000"/>
    <n v="7.8109999999999999E-2"/>
    <x v="3"/>
    <s v="Todo bien"/>
    <x v="1"/>
    <x v="1"/>
    <n v="869.9736159313785"/>
    <x v="1"/>
    <x v="2"/>
    <s v="Pequeña"/>
    <x v="1"/>
    <n v="1997.183459224171"/>
  </r>
  <r>
    <s v="Tata Primanti"/>
    <x v="127"/>
    <n v="13769"/>
    <n v="4"/>
    <x v="2"/>
    <x v="0"/>
    <s v=" Sector 72 Gurgaon"/>
    <n v="0"/>
    <n v="0"/>
    <n v="5"/>
    <n v="9"/>
    <n v="3"/>
    <x v="2"/>
    <n v="40"/>
    <n v="1"/>
    <n v="0"/>
    <n v="0"/>
    <n v="0"/>
    <n v="2500"/>
    <n v="2800"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9050766213958801E-2"/>
    <n v="40000000"/>
    <n v="0.13769000000000001"/>
    <x v="5"/>
    <s v="Todo bien"/>
    <x v="1"/>
    <x v="5"/>
    <n v="1265.4521051637698"/>
    <x v="1"/>
    <x v="2"/>
    <s v="Muy grande"/>
    <x v="2"/>
    <n v="2905.0766213958891"/>
  </r>
  <r>
    <s v="MM Merlin"/>
    <x v="101"/>
    <n v="14655"/>
    <n v="3"/>
    <x v="2"/>
    <x v="0"/>
    <s v=" Sector 67 Gurgaon"/>
    <n v="0"/>
    <n v="0"/>
    <n v="3"/>
    <n v="4"/>
    <n v="3"/>
    <x v="1"/>
    <n v="21"/>
    <n v="0"/>
    <n v="0"/>
    <n v="0"/>
    <n v="1"/>
    <n v="1800"/>
    <n v="1900"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829068577199E-2"/>
    <n v="30000000"/>
    <n v="0.14655000000000001"/>
    <x v="5"/>
    <s v="Todo bien"/>
    <x v="1"/>
    <x v="5"/>
    <n v="891.70982784032412"/>
    <x v="1"/>
    <x v="2"/>
    <s v="Grande"/>
    <x v="2"/>
    <n v="2047.0829068577275"/>
  </r>
  <r>
    <s v="Tata Primanti"/>
    <x v="178"/>
    <n v="15384"/>
    <n v="3"/>
    <x v="2"/>
    <x v="0"/>
    <s v=" Sector 72 Gurgaon"/>
    <n v="0"/>
    <n v="0"/>
    <n v="3"/>
    <n v="10"/>
    <n v="3"/>
    <x v="1"/>
    <n v="40"/>
    <n v="1"/>
    <n v="0"/>
    <n v="0"/>
    <n v="0"/>
    <n v="1800"/>
    <n v="2000"/>
    <n v="21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1450858034321299E-2"/>
    <n v="33000000"/>
    <n v="0.15384"/>
    <x v="5"/>
    <s v="Todo bien"/>
    <x v="1"/>
    <x v="5"/>
    <n v="934.39991417706392"/>
    <x v="1"/>
    <x v="2"/>
    <s v="Grande"/>
    <x v="2"/>
    <n v="2145.0858034321373"/>
  </r>
  <r>
    <s v="Emaar MGF The Enclave"/>
    <x v="69"/>
    <n v="12352"/>
    <n v="3"/>
    <x v="2"/>
    <x v="0"/>
    <s v=" Sector 66 Gurgaon"/>
    <n v="0"/>
    <n v="0"/>
    <n v="4"/>
    <n v="12"/>
    <n v="2"/>
    <x v="1"/>
    <n v="16"/>
    <n v="1"/>
    <n v="0"/>
    <n v="0"/>
    <n v="0"/>
    <n v="1700"/>
    <n v="180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70012953367875E-2"/>
    <n v="21000000"/>
    <n v="0.12352"/>
    <x v="3"/>
    <s v="Todo bien"/>
    <x v="1"/>
    <x v="5"/>
    <n v="740.57685143296351"/>
    <x v="1"/>
    <x v="2"/>
    <s v="Mediana"/>
    <x v="1"/>
    <n v="1700.1295336787564"/>
  </r>
  <r>
    <s v="Emaar MGF The Enclave"/>
    <x v="49"/>
    <n v="10555"/>
    <n v="3"/>
    <x v="2"/>
    <x v="0"/>
    <s v=" Sector 66 Gurgaon"/>
    <n v="0"/>
    <n v="0"/>
    <n v="4"/>
    <n v="8"/>
    <n v="2"/>
    <x v="1"/>
    <n v="16"/>
    <n v="1"/>
    <n v="0"/>
    <n v="0"/>
    <n v="0"/>
    <n v="1800"/>
    <n v="185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8000947418285101E-2"/>
    <n v="19000000"/>
    <n v="0.10555"/>
    <x v="3"/>
    <s v="Todo bien"/>
    <x v="1"/>
    <x v="5"/>
    <n v="784.12172118426975"/>
    <x v="1"/>
    <x v="2"/>
    <s v="Grande"/>
    <x v="1"/>
    <n v="1800.0947418285173"/>
  </r>
  <r>
    <s v="Ireo Uptown"/>
    <x v="92"/>
    <n v="13064"/>
    <n v="3"/>
    <x v="2"/>
    <x v="0"/>
    <s v=" Sector 66 Gurgaon"/>
    <n v="0"/>
    <n v="0"/>
    <n v="2"/>
    <n v="5"/>
    <n v="3"/>
    <x v="1"/>
    <n v="23"/>
    <n v="1"/>
    <n v="0"/>
    <n v="0"/>
    <n v="0"/>
    <n v="1600"/>
    <n v="1700"/>
    <n v="183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3710961420698E-2"/>
    <n v="24000000"/>
    <n v="0.13064000000000001"/>
    <x v="3"/>
    <s v="Todo bien"/>
    <x v="1"/>
    <x v="5"/>
    <n v="800.2454088793628"/>
    <x v="1"/>
    <x v="2"/>
    <s v="Mediana"/>
    <x v="1"/>
    <n v="1837.109614206981"/>
  </r>
  <r>
    <s v="MM Skywalk"/>
    <x v="203"/>
    <n v="13342"/>
    <n v="2"/>
    <x v="3"/>
    <x v="0"/>
    <s v=" Sector 74 Gurgaon"/>
    <n v="0"/>
    <n v="0"/>
    <n v="2"/>
    <n v="6"/>
    <n v="3"/>
    <x v="0"/>
    <n v="30"/>
    <n v="0"/>
    <n v="0"/>
    <n v="0"/>
    <n v="1"/>
    <n v="1139.2"/>
    <n v="125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925948133713E-2"/>
    <n v="15200000"/>
    <n v="0.13342000000000001"/>
    <x v="3"/>
    <s v="Todo bien"/>
    <x v="0"/>
    <x v="5"/>
    <n v="496.2617159106577"/>
    <x v="0"/>
    <x v="0"/>
    <s v="Mediana"/>
    <x v="1"/>
    <n v="1139.2594813371309"/>
  </r>
  <r>
    <s v="MM Skywalk"/>
    <x v="130"/>
    <n v="12333"/>
    <n v="2"/>
    <x v="2"/>
    <x v="0"/>
    <s v=" Sector 74 Gurgaon"/>
    <n v="0"/>
    <n v="0"/>
    <n v="2"/>
    <n v="13"/>
    <n v="3"/>
    <x v="0"/>
    <n v="30"/>
    <n v="0"/>
    <n v="0"/>
    <n v="0"/>
    <n v="1"/>
    <n v="1200"/>
    <n v="1300"/>
    <n v="14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2433309E-2"/>
    <n v="14800000"/>
    <n v="0.12333"/>
    <x v="2"/>
    <s v="Todo bien"/>
    <x v="0"/>
    <x v="5"/>
    <n v="522.73442903753789"/>
    <x v="1"/>
    <x v="0"/>
    <s v="Mediana"/>
    <x v="1"/>
    <n v="1200.0324333090084"/>
  </r>
  <r>
    <s v="Bestech Park View Grand Spa"/>
    <x v="114"/>
    <n v="8609"/>
    <n v="3"/>
    <x v="2"/>
    <x v="0"/>
    <s v=" Sector 81 Gurgaon"/>
    <n v="0"/>
    <n v="0"/>
    <n v="4"/>
    <n v="10"/>
    <n v="3"/>
    <x v="1"/>
    <n v="29"/>
    <n v="1"/>
    <n v="1"/>
    <n v="0"/>
    <n v="0"/>
    <n v="2000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4"/>
    <n v="1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1"/>
    <n v="2.66000696945057E-2"/>
    <n v="22900000"/>
    <n v="8.609E-2"/>
    <x v="3"/>
    <s v="Todo bien"/>
    <x v="2"/>
    <x v="5"/>
    <n v="1158.6997032884169"/>
    <x v="1"/>
    <x v="2"/>
    <s v="Pequeña"/>
    <x v="2"/>
    <n v="2660.0069694505751"/>
  </r>
  <r>
    <s v="Ireo The Grand Arch"/>
    <x v="127"/>
    <n v="18484"/>
    <n v="3"/>
    <x v="7"/>
    <x v="1"/>
    <s v=" sector 58 Gurgaon"/>
    <n v="0"/>
    <n v="0"/>
    <n v="4"/>
    <n v="5"/>
    <n v="3"/>
    <x v="1"/>
    <n v="29"/>
    <n v="1"/>
    <n v="0"/>
    <n v="0"/>
    <n v="0"/>
    <n v="2164.0337589266392"/>
    <m/>
    <n v="21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1640337589266301E-2"/>
    <n v="40000000"/>
    <n v="0.18484"/>
    <x v="5"/>
    <s v="Todo bien"/>
    <x v="1"/>
    <x v="1"/>
    <n v="942.65364834451032"/>
    <x v="1"/>
    <x v="2"/>
    <s v="Pequeña"/>
    <x v="2"/>
    <n v="2164.0337589266392"/>
  </r>
  <r>
    <s v="Indiabulls Enigma"/>
    <x v="185"/>
    <n v="10588"/>
    <n v="4"/>
    <x v="5"/>
    <x v="0"/>
    <s v=" Sector 110 Gurgaon"/>
    <n v="0"/>
    <n v="0"/>
    <n v="5"/>
    <n v="7"/>
    <n v="3"/>
    <x v="2"/>
    <n v="21"/>
    <n v="1"/>
    <n v="0"/>
    <n v="0"/>
    <n v="0"/>
    <n v="3400.0755572346052"/>
    <m/>
    <n v="34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755572345998E-2"/>
    <n v="36000000"/>
    <n v="0.10588"/>
    <x v="5"/>
    <s v="Todo bien"/>
    <x v="1"/>
    <x v="5"/>
    <n v="1481.073765810349"/>
    <x v="1"/>
    <x v="3"/>
    <s v="Pequeña"/>
    <x v="3"/>
    <n v="3400.0755572346052"/>
  </r>
  <r>
    <s v="Suncity Vatsal Valley"/>
    <x v="65"/>
    <n v="9650"/>
    <n v="3"/>
    <x v="4"/>
    <x v="0"/>
    <s v=" Gwal Pahari"/>
    <n v="0"/>
    <n v="0"/>
    <n v="3"/>
    <n v="1"/>
    <n v="2"/>
    <x v="1"/>
    <n v="4"/>
    <n v="0"/>
    <n v="0"/>
    <n v="0"/>
    <n v="0"/>
    <n v="1430.0518134715026"/>
    <m/>
    <n v="143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1"/>
    <x v="1"/>
    <x v="1"/>
    <x v="1"/>
    <x v="0"/>
    <x v="0"/>
    <x v="1"/>
    <x v="1"/>
    <n v="0"/>
    <n v="2"/>
    <n v="1"/>
    <n v="3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300518134714999E-2"/>
    <n v="13800000"/>
    <n v="9.6500000000000002E-2"/>
    <x v="2"/>
    <s v="Todo bien"/>
    <x v="1"/>
    <x v="5"/>
    <n v="622.93092874818547"/>
    <x v="1"/>
    <x v="2"/>
    <s v="Pequeña"/>
    <x v="1"/>
    <n v="1430.0518134715026"/>
  </r>
  <r>
    <s v="ATS Kocoon"/>
    <x v="18"/>
    <n v="10501"/>
    <n v="3"/>
    <x v="0"/>
    <x v="0"/>
    <s v=" Sector 109 Gurgaon"/>
    <n v="0"/>
    <n v="0"/>
    <n v="4"/>
    <n v="13"/>
    <n v="3"/>
    <x v="1"/>
    <n v="21"/>
    <n v="1"/>
    <n v="0"/>
    <n v="0"/>
    <n v="0"/>
    <n v="2095.0385677554518"/>
    <n v="1860"/>
    <n v="209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950385677554501E-2"/>
    <n v="22000000.000000004"/>
    <n v="0.10501000000000001"/>
    <x v="3"/>
    <s v="Todo bien"/>
    <x v="1"/>
    <x v="5"/>
    <n v="912.59932575945072"/>
    <x v="1"/>
    <x v="2"/>
    <s v="Grande"/>
    <x v="2"/>
    <n v="2095.0385677554518"/>
  </r>
  <r>
    <s v="Indiabulls Enigma"/>
    <x v="347"/>
    <n v="11572"/>
    <n v="5"/>
    <x v="2"/>
    <x v="0"/>
    <s v=" Sector 110 Gurgaon"/>
    <n v="0"/>
    <n v="0"/>
    <n v="5"/>
    <n v="4"/>
    <n v="3"/>
    <x v="4"/>
    <n v="15"/>
    <n v="1"/>
    <n v="0"/>
    <n v="0"/>
    <n v="0"/>
    <n v="3880.0553059108192"/>
    <m/>
    <n v="3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800553059108102E-2"/>
    <n v="44900000"/>
    <n v="0.11572"/>
    <x v="4"/>
    <s v="Todo bien"/>
    <x v="1"/>
    <x v="5"/>
    <n v="1690.1530647606253"/>
    <x v="3"/>
    <x v="3"/>
    <s v="Pequeña"/>
    <x v="3"/>
    <n v="3880.0553059108192"/>
  </r>
  <r>
    <s v="Indiabulls Enigma"/>
    <x v="132"/>
    <n v="10264"/>
    <n v="4"/>
    <x v="7"/>
    <x v="0"/>
    <s v=" Sector 110 Gurgaon"/>
    <n v="0"/>
    <n v="0"/>
    <n v="5"/>
    <n v="7"/>
    <n v="3"/>
    <x v="2"/>
    <n v="21"/>
    <n v="1"/>
    <n v="0"/>
    <n v="0"/>
    <n v="0"/>
    <n v="3400.233826968044"/>
    <m/>
    <n v="3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338269680403E-2"/>
    <n v="34900000"/>
    <n v="0.10264"/>
    <x v="5"/>
    <s v="Todo bien"/>
    <x v="1"/>
    <x v="5"/>
    <n v="1481.1427081459456"/>
    <x v="1"/>
    <x v="3"/>
    <s v="Pequeña"/>
    <x v="3"/>
    <n v="3400.233826968044"/>
  </r>
  <r>
    <s v="Indiabulls Enigma"/>
    <x v="139"/>
    <n v="10882"/>
    <n v="4"/>
    <x v="6"/>
    <x v="0"/>
    <s v=" Sector 110 Gurgaon"/>
    <n v="0"/>
    <n v="0"/>
    <n v="5"/>
    <n v="7"/>
    <n v="3"/>
    <x v="2"/>
    <n v="21"/>
    <n v="1"/>
    <n v="0"/>
    <n v="0"/>
    <n v="0"/>
    <n v="3400.1102738467193"/>
    <m/>
    <n v="3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1102738467098E-2"/>
    <n v="37000000"/>
    <n v="0.10882"/>
    <x v="5"/>
    <s v="Todo bien"/>
    <x v="1"/>
    <x v="5"/>
    <n v="1481.0888883752946"/>
    <x v="1"/>
    <x v="3"/>
    <s v="Pequeña"/>
    <x v="3"/>
    <n v="3400.1102738467193"/>
  </r>
  <r>
    <s v="Emaar Gurgaon Greens"/>
    <x v="113"/>
    <n v="8606"/>
    <n v="3"/>
    <x v="5"/>
    <x v="0"/>
    <s v=" Sector 102 Gurgaon"/>
    <n v="0"/>
    <n v="0"/>
    <n v="3"/>
    <n v="4"/>
    <n v="3"/>
    <x v="1"/>
    <n v="14"/>
    <n v="0"/>
    <n v="0"/>
    <n v="0"/>
    <n v="0"/>
    <n v="1022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x v="2"/>
    <s v="Todo bien"/>
    <x v="0"/>
    <x v="1"/>
    <n v="718.74547557285211"/>
    <x v="1"/>
    <x v="0"/>
    <s v="Pequeña"/>
    <x v="1"/>
    <n v="1650.0116198001394"/>
  </r>
  <r>
    <s v="Ireo Victory Valley"/>
    <x v="61"/>
    <n v="14097"/>
    <n v="4"/>
    <x v="5"/>
    <x v="0"/>
    <s v=" Sector 67 Gurgaon"/>
    <n v="0"/>
    <n v="0"/>
    <n v="4"/>
    <n v="0"/>
    <n v="3"/>
    <x v="2"/>
    <n v="51"/>
    <n v="1"/>
    <n v="0"/>
    <n v="1"/>
    <n v="0"/>
    <n v="3000"/>
    <n v="3160"/>
    <n v="319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921685464992501E-2"/>
    <n v="45000000"/>
    <n v="0.14097000000000001"/>
    <x v="4"/>
    <s v="Todo bien"/>
    <x v="1"/>
    <x v="1"/>
    <n v="1390.5094197701617"/>
    <x v="1"/>
    <x v="3"/>
    <s v="Muy grande"/>
    <x v="3"/>
    <n v="3192.1685464992547"/>
  </r>
  <r>
    <s v="ATS Triumph"/>
    <x v="20"/>
    <n v="8078"/>
    <n v="3"/>
    <x v="4"/>
    <x v="0"/>
    <s v=" Sector 104 Gurgaon"/>
    <n v="0"/>
    <n v="0"/>
    <n v="3"/>
    <n v="24"/>
    <n v="3"/>
    <x v="1"/>
    <n v="24"/>
    <n v="1"/>
    <n v="0"/>
    <n v="0"/>
    <n v="0"/>
    <n v="2290.1708343649416"/>
    <m/>
    <n v="22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083436494E-2"/>
    <n v="18500000"/>
    <n v="8.0780000000000005E-2"/>
    <x v="3"/>
    <s v="Todo bien"/>
    <x v="0"/>
    <x v="5"/>
    <n v="997.5989900532303"/>
    <x v="1"/>
    <x v="2"/>
    <s v="Pequeña"/>
    <x v="2"/>
    <n v="2290.1708343649416"/>
  </r>
  <r>
    <s v="ATS Triumph"/>
    <x v="348"/>
    <n v="8317"/>
    <n v="4"/>
    <x v="5"/>
    <x v="0"/>
    <s v=" Sector 104 Gurgaon"/>
    <n v="0"/>
    <n v="0"/>
    <n v="4"/>
    <n v="14"/>
    <n v="3"/>
    <x v="2"/>
    <n v="27"/>
    <n v="1"/>
    <n v="0"/>
    <n v="0"/>
    <n v="0"/>
    <n v="3150.1743417097514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743417097501E-2"/>
    <n v="26200000"/>
    <n v="8.3169999999999994E-2"/>
    <x v="5"/>
    <s v="Todo bien"/>
    <x v="0"/>
    <x v="5"/>
    <n v="1372.2167336275095"/>
    <x v="1"/>
    <x v="3"/>
    <s v="Pequeña"/>
    <x v="3"/>
    <n v="3150.1743417097514"/>
  </r>
  <r>
    <s v="Vatika Gurgaon "/>
    <x v="8"/>
    <n v="6162"/>
    <n v="3"/>
    <x v="7"/>
    <x v="0"/>
    <s v=" Sector 83 Gurgaon"/>
    <n v="0"/>
    <n v="0"/>
    <n v="3"/>
    <n v="5"/>
    <n v="3"/>
    <x v="1"/>
    <n v="15"/>
    <n v="0"/>
    <n v="0"/>
    <n v="0"/>
    <n v="0"/>
    <n v="1500"/>
    <n v="1600"/>
    <n v="178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851346965270999E-2"/>
    <n v="11000000"/>
    <n v="6.1620000000000001E-2"/>
    <x v="2"/>
    <s v="Todo bien"/>
    <x v="0"/>
    <x v="4"/>
    <n v="777.60512169750018"/>
    <x v="1"/>
    <x v="2"/>
    <s v="Mediana"/>
    <x v="1"/>
    <n v="1785.1346965271016"/>
  </r>
  <r>
    <s v="Godrej "/>
    <x v="207"/>
    <n v="8531"/>
    <n v="2"/>
    <x v="7"/>
    <x v="0"/>
    <s v=" Sector 79 Gurgaon"/>
    <n v="0"/>
    <n v="0"/>
    <n v="2"/>
    <n v="6"/>
    <n v="3"/>
    <x v="0"/>
    <n v="15"/>
    <n v="0"/>
    <n v="1"/>
    <n v="0"/>
    <n v="0"/>
    <n v="1559.02004454343"/>
    <m/>
    <n v="155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02004454342E-2"/>
    <n v="13300000"/>
    <n v="8.5309999999999997E-2"/>
    <x v="2"/>
    <s v="Todo bien"/>
    <x v="0"/>
    <x v="5"/>
    <n v="679.10952256124301"/>
    <x v="1"/>
    <x v="2"/>
    <s v="Pequeña"/>
    <x v="1"/>
    <n v="1559.02004454343"/>
  </r>
  <r>
    <s v="Godrej "/>
    <x v="280"/>
    <n v="8524"/>
    <n v="2"/>
    <x v="7"/>
    <x v="0"/>
    <s v=" Sector 79 Gurgaon"/>
    <n v="0"/>
    <n v="0"/>
    <n v="2"/>
    <n v="2"/>
    <n v="3"/>
    <x v="0"/>
    <n v="15"/>
    <n v="0"/>
    <n v="1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x v="2"/>
    <s v="Todo bien"/>
    <x v="0"/>
    <x v="5"/>
    <n v="684.77749437587795"/>
    <x v="1"/>
    <x v="2"/>
    <s v="Pequeña"/>
    <x v="1"/>
    <n v="1572.0319099014548"/>
  </r>
  <r>
    <s v="Godrej "/>
    <x v="148"/>
    <n v="8532"/>
    <n v="2"/>
    <x v="7"/>
    <x v="0"/>
    <s v=" Sector 79 Gurgaon"/>
    <n v="0"/>
    <n v="0"/>
    <n v="2"/>
    <n v="7"/>
    <n v="3"/>
    <x v="0"/>
    <n v="15"/>
    <n v="0"/>
    <n v="0"/>
    <n v="0"/>
    <n v="0"/>
    <n v="1383.0285982184716"/>
    <m/>
    <n v="138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285982184699E-2"/>
    <n v="11800000"/>
    <n v="8.5319999999999993E-2"/>
    <x v="2"/>
    <s v="Todo bien"/>
    <x v="0"/>
    <x v="5"/>
    <n v="602.4476043858408"/>
    <x v="1"/>
    <x v="2"/>
    <s v="Pequeña"/>
    <x v="1"/>
    <n v="1383.0285982184716"/>
  </r>
  <r>
    <s v="Vatika Gurgaon "/>
    <x v="13"/>
    <n v="6574"/>
    <n v="2"/>
    <x v="8"/>
    <x v="0"/>
    <s v=" Sector 83 Gurgaon"/>
    <n v="0"/>
    <n v="0"/>
    <n v="2"/>
    <n v="5"/>
    <n v="3"/>
    <x v="0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4508670520231E-2"/>
    <n v="9500000"/>
    <n v="6.5740000000000007E-2"/>
    <x v="1"/>
    <s v="Todo bien"/>
    <x v="0"/>
    <x v="4"/>
    <n v="629.48013135838062"/>
    <x v="1"/>
    <x v="0"/>
    <s v="Mediana"/>
    <x v="1"/>
    <n v="1445.086705202312"/>
  </r>
  <r>
    <s v="Vatika Gurgaon "/>
    <x v="187"/>
    <n v="8166"/>
    <n v="2"/>
    <x v="8"/>
    <x v="0"/>
    <s v=" Sector 83 Gurgaon"/>
    <n v="0"/>
    <n v="0"/>
    <n v="2"/>
    <n v="5"/>
    <n v="3"/>
    <x v="0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0009796718099E-2"/>
    <n v="9800000"/>
    <n v="8.1659999999999996E-2"/>
    <x v="1"/>
    <s v="Todo bien"/>
    <x v="0"/>
    <x v="4"/>
    <n v="522.76297560861917"/>
    <x v="1"/>
    <x v="0"/>
    <s v="Mediana"/>
    <x v="1"/>
    <n v="1200.0979671809944"/>
  </r>
  <r>
    <s v="Paras Dews"/>
    <x v="81"/>
    <n v="6534"/>
    <n v="3"/>
    <x v="4"/>
    <x v="0"/>
    <s v=" Sector 106 Gurgaon"/>
    <n v="0"/>
    <n v="0"/>
    <n v="4"/>
    <n v="12"/>
    <n v="3"/>
    <x v="1"/>
    <n v="24"/>
    <n v="1"/>
    <n v="1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00244872972098E-2"/>
    <n v="11500000"/>
    <n v="6.5339999999999995E-2"/>
    <x v="2"/>
    <s v="Todo bien"/>
    <x v="1"/>
    <x v="5"/>
    <n v="766.66710825680855"/>
    <x v="1"/>
    <x v="0"/>
    <s v="Mediana"/>
    <x v="1"/>
    <n v="1760.0244872972146"/>
  </r>
  <r>
    <s v="Tulip White"/>
    <x v="15"/>
    <n v="6787"/>
    <n v="3"/>
    <x v="2"/>
    <x v="0"/>
    <s v=" Sector 69 Gurgaon"/>
    <n v="0"/>
    <n v="0"/>
    <n v="2"/>
    <n v="6"/>
    <n v="3"/>
    <x v="1"/>
    <n v="13"/>
    <n v="0"/>
    <n v="0"/>
    <n v="1"/>
    <n v="0"/>
    <n v="1326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0645351407099E-2"/>
    <n v="9000000"/>
    <n v="6.787E-2"/>
    <x v="1"/>
    <s v="Todo bien"/>
    <x v="0"/>
    <x v="3"/>
    <n v="577.63404421688517"/>
    <x v="1"/>
    <x v="2"/>
    <s v="Pequeña"/>
    <x v="0"/>
    <n v="1326.0645351407102"/>
  </r>
  <r>
    <s v="ATS Triumph"/>
    <x v="349"/>
    <n v="8000"/>
    <n v="4"/>
    <x v="2"/>
    <x v="0"/>
    <s v=" Sector 104 Gurgaon"/>
    <n v="0"/>
    <n v="0"/>
    <n v="4"/>
    <n v="19"/>
    <n v="3"/>
    <x v="2"/>
    <n v="27"/>
    <n v="1"/>
    <n v="0"/>
    <n v="0"/>
    <n v="1"/>
    <n v="2400"/>
    <n v="2800"/>
    <n v="3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5E-2"/>
    <n v="25200000"/>
    <n v="0.08"/>
    <x v="5"/>
    <s v="Todo bien"/>
    <x v="1"/>
    <x v="5"/>
    <n v="1372.140790335"/>
    <x v="1"/>
    <x v="2"/>
    <s v="Muy grande"/>
    <x v="3"/>
    <n v="3150"/>
  </r>
  <r>
    <s v="Godrej "/>
    <x v="160"/>
    <n v="8495"/>
    <n v="3"/>
    <x v="4"/>
    <x v="0"/>
    <s v=" Sector 79 Gurgaon"/>
    <n v="0"/>
    <n v="0"/>
    <n v="4"/>
    <n v="6"/>
    <n v="3"/>
    <x v="1"/>
    <n v="15"/>
    <n v="1"/>
    <n v="0"/>
    <n v="0"/>
    <n v="0"/>
    <n v="2366.0977045320778"/>
    <m/>
    <n v="2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60977045320698E-2"/>
    <n v="20100000"/>
    <n v="8.4949999999999998E-2"/>
    <x v="3"/>
    <s v="Todo bien"/>
    <x v="0"/>
    <x v="5"/>
    <n v="1030.6727537480838"/>
    <x v="1"/>
    <x v="2"/>
    <s v="Pequeña"/>
    <x v="2"/>
    <n v="2366.0977045320778"/>
  </r>
  <r>
    <s v="Godrej "/>
    <x v="128"/>
    <n v="8532"/>
    <n v="3"/>
    <x v="4"/>
    <x v="0"/>
    <s v=" Sector 79 Gurgaon"/>
    <n v="0"/>
    <n v="0"/>
    <n v="4"/>
    <n v="5"/>
    <n v="3"/>
    <x v="1"/>
    <n v="15"/>
    <n v="1"/>
    <n v="0"/>
    <n v="0"/>
    <n v="0"/>
    <n v="2262.0721987810598"/>
    <m/>
    <n v="226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219878105E-2"/>
    <n v="19300000"/>
    <n v="8.5319999999999993E-2"/>
    <x v="3"/>
    <s v="Todo bien"/>
    <x v="0"/>
    <x v="5"/>
    <n v="985.35921734294016"/>
    <x v="1"/>
    <x v="2"/>
    <s v="Pequeña"/>
    <x v="2"/>
    <n v="2262.0721987810598"/>
  </r>
  <r>
    <s v="Godrej "/>
    <x v="154"/>
    <n v="8504"/>
    <n v="3"/>
    <x v="2"/>
    <x v="0"/>
    <s v=" Sector 79 Gurgaon"/>
    <n v="0"/>
    <n v="0"/>
    <n v="3"/>
    <n v="7"/>
    <n v="3"/>
    <x v="1"/>
    <n v="15"/>
    <n v="0"/>
    <n v="0"/>
    <n v="0"/>
    <n v="0"/>
    <n v="1505.1740357478832"/>
    <m/>
    <n v="15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1740357478799E-2"/>
    <n v="12800000"/>
    <n v="8.5040000000000004E-2"/>
    <x v="2"/>
    <s v="Todo bien"/>
    <x v="0"/>
    <x v="5"/>
    <n v="655.65418761994215"/>
    <x v="1"/>
    <x v="2"/>
    <s v="Pequeña"/>
    <x v="1"/>
    <n v="1505.1740357478832"/>
  </r>
  <r>
    <s v="Godrej "/>
    <x v="264"/>
    <n v="8511"/>
    <n v="3"/>
    <x v="2"/>
    <x v="0"/>
    <s v=" Sector 79 Gurgaon"/>
    <n v="0"/>
    <n v="0"/>
    <n v="4"/>
    <n v="7"/>
    <n v="3"/>
    <x v="1"/>
    <n v="15"/>
    <n v="1"/>
    <n v="0"/>
    <n v="0"/>
    <n v="0"/>
    <n v="2244.1546234285042"/>
    <m/>
    <n v="224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41546234285001E-2"/>
    <n v="19100000"/>
    <n v="8.5110000000000005E-2"/>
    <x v="3"/>
    <s v="Todo bien"/>
    <x v="0"/>
    <x v="5"/>
    <n v="977.55431702384976"/>
    <x v="1"/>
    <x v="2"/>
    <s v="Pequeña"/>
    <x v="2"/>
    <n v="2244.1546234285042"/>
  </r>
  <r>
    <s v="Godrej "/>
    <x v="280"/>
    <n v="8524"/>
    <n v="3"/>
    <x v="4"/>
    <x v="0"/>
    <s v=" Sector 79 Gurgaon"/>
    <n v="0"/>
    <n v="0"/>
    <n v="3"/>
    <n v="7"/>
    <n v="3"/>
    <x v="1"/>
    <n v="15"/>
    <n v="0"/>
    <n v="0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x v="2"/>
    <s v="Todo bien"/>
    <x v="0"/>
    <x v="5"/>
    <n v="684.77749437587795"/>
    <x v="1"/>
    <x v="2"/>
    <s v="Pequeña"/>
    <x v="1"/>
    <n v="1572.0319099014548"/>
  </r>
  <r>
    <s v="ATS Kocoon"/>
    <x v="74"/>
    <n v="12878"/>
    <n v="3"/>
    <x v="4"/>
    <x v="0"/>
    <s v=" Sector 109 Gurgaon"/>
    <n v="0"/>
    <n v="0"/>
    <n v="3"/>
    <n v="22"/>
    <n v="3"/>
    <x v="1"/>
    <n v="24"/>
    <n v="0"/>
    <n v="0"/>
    <n v="0"/>
    <n v="0"/>
    <n v="1320"/>
    <n v="1550"/>
    <n v="1745"/>
    <n v="0"/>
    <n v="0"/>
    <n v="1"/>
    <n v="1"/>
    <n v="0"/>
    <n v="0"/>
    <n v="1"/>
    <n v="1"/>
    <n v="1"/>
    <n v="1"/>
    <n v="1"/>
    <n v="1"/>
    <n v="1"/>
    <n v="0"/>
    <n v="0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2008075788165E-2"/>
    <n v="17000000"/>
    <n v="0.12878000000000001"/>
    <x v="3"/>
    <s v="Todo bien"/>
    <x v="0"/>
    <x v="4"/>
    <n v="575.0275093415089"/>
    <x v="1"/>
    <x v="2"/>
    <s v="Mediana"/>
    <x v="1"/>
    <n v="1320.0807578816587"/>
  </r>
  <r>
    <s v="Emaar MGF The Palm Drive"/>
    <x v="151"/>
    <n v="15909"/>
    <n v="3"/>
    <x v="2"/>
    <x v="5"/>
    <s v=" Sector 66 Gurgaon"/>
    <n v="0"/>
    <n v="0"/>
    <n v="3"/>
    <n v="7"/>
    <n v="3"/>
    <x v="1"/>
    <n v="17"/>
    <n v="1"/>
    <n v="0"/>
    <n v="0"/>
    <n v="1"/>
    <n v="2000"/>
    <n v="2125"/>
    <n v="2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2000125715003999E-2"/>
    <n v="35000000"/>
    <n v="0.15909000000000001"/>
    <x v="5"/>
    <s v="Todo bien"/>
    <x v="1"/>
    <x v="5"/>
    <n v="958.32602812872847"/>
    <x v="1"/>
    <x v="2"/>
    <s v="Grande"/>
    <x v="2"/>
    <n v="2200.0125715004083"/>
  </r>
  <r>
    <s v="Bestech Park View Sanskruti"/>
    <x v="38"/>
    <n v="7870"/>
    <n v="4"/>
    <x v="4"/>
    <x v="2"/>
    <s v=" Sector 92 Gurgaon"/>
    <n v="0"/>
    <n v="0"/>
    <n v="3"/>
    <n v="8"/>
    <n v="3"/>
    <x v="2"/>
    <n v="19"/>
    <n v="1"/>
    <n v="0"/>
    <n v="0"/>
    <n v="0"/>
    <n v="2325.2858958068614"/>
    <m/>
    <n v="23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2858958068601E-2"/>
    <n v="18300000"/>
    <n v="7.8700000000000006E-2"/>
    <x v="3"/>
    <s v="Todo bien"/>
    <x v="1"/>
    <x v="5"/>
    <n v="1012.8951196276996"/>
    <x v="1"/>
    <x v="2"/>
    <s v="Pequeña"/>
    <x v="2"/>
    <n v="2325.2858958068614"/>
  </r>
  <r>
    <s v="DLF New Town Heights "/>
    <x v="43"/>
    <n v="8638"/>
    <n v="3"/>
    <x v="7"/>
    <x v="1"/>
    <s v=" Sector 90 Gurgaon"/>
    <n v="0"/>
    <n v="0"/>
    <n v="4"/>
    <n v="0"/>
    <n v="3"/>
    <x v="1"/>
    <n v="19"/>
    <n v="1"/>
    <n v="0"/>
    <n v="0"/>
    <n v="0"/>
    <n v="1447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44709423477656E-2"/>
    <n v="12500000"/>
    <n v="8.6379999999999998E-2"/>
    <x v="2"/>
    <s v="Todo bien"/>
    <x v="2"/>
    <x v="0"/>
    <n v="630.35461174461307"/>
    <x v="1"/>
    <x v="2"/>
    <s v="Pequeña"/>
    <x v="0"/>
    <n v="1447.0942347765688"/>
  </r>
  <r>
    <s v="Emaar Palm Gardens"/>
    <x v="7"/>
    <n v="12000"/>
    <n v="3"/>
    <x v="6"/>
    <x v="0"/>
    <s v=" Sector 83 Gurgaon"/>
    <n v="0"/>
    <n v="0"/>
    <n v="4"/>
    <n v="6"/>
    <n v="3"/>
    <x v="1"/>
    <n v="16"/>
    <n v="1"/>
    <n v="0"/>
    <n v="0"/>
    <n v="0"/>
    <n v="1500"/>
    <m/>
    <m/>
    <n v="1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1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4999999999999999E-2"/>
    <n v="18000000"/>
    <n v="0.12"/>
    <x v="3"/>
    <s v="Todo bien"/>
    <x v="1"/>
    <x v="4"/>
    <n v="653.40037634999999"/>
    <x v="1"/>
    <x v="2"/>
    <s v="Pequeña"/>
    <x v="0"/>
    <n v="1500"/>
  </r>
  <r>
    <s v="Emaar Palm Gardens"/>
    <x v="100"/>
    <n v="9675"/>
    <n v="3"/>
    <x v="5"/>
    <x v="0"/>
    <s v=" Sector 83 Gurgaon"/>
    <n v="0"/>
    <n v="0"/>
    <n v="3"/>
    <n v="11"/>
    <n v="3"/>
    <x v="1"/>
    <n v="16"/>
    <n v="1"/>
    <n v="0"/>
    <n v="0"/>
    <n v="0"/>
    <n v="1447"/>
    <m/>
    <n v="172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0"/>
    <n v="1"/>
    <n v="1"/>
    <n v="1"/>
    <n v="4"/>
    <n v="1"/>
    <n v="1"/>
    <n v="0"/>
    <n v="0"/>
    <n v="0"/>
    <n v="0"/>
    <n v="0"/>
    <n v="1"/>
    <n v="1.4470284237726E-2"/>
    <n v="14000000"/>
    <n v="9.6750000000000003E-2"/>
    <x v="2"/>
    <s v="Todo bien"/>
    <x v="2"/>
    <x v="3"/>
    <n v="630.32594445477616"/>
    <x v="1"/>
    <x v="2"/>
    <s v="Pequeña"/>
    <x v="1"/>
    <n v="1447.0284237726098"/>
  </r>
  <r>
    <s v="MM Skywalk"/>
    <x v="150"/>
    <n v="11000"/>
    <n v="2"/>
    <x v="8"/>
    <x v="0"/>
    <s v=" Sector 74 Gurgaon"/>
    <n v="0"/>
    <n v="0"/>
    <n v="2"/>
    <n v="22"/>
    <n v="3"/>
    <x v="0"/>
    <n v="30"/>
    <n v="0"/>
    <n v="0"/>
    <n v="0"/>
    <n v="0"/>
    <n v="1100"/>
    <n v="1200"/>
    <n v="140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5400000"/>
    <n v="0.11"/>
    <x v="3"/>
    <s v="Todo bien"/>
    <x v="0"/>
    <x v="5"/>
    <n v="609.84035126000003"/>
    <x v="1"/>
    <x v="0"/>
    <s v="Mediana"/>
    <x v="1"/>
    <n v="1400"/>
  </r>
  <r>
    <s v="Vipul Belmonte"/>
    <x v="169"/>
    <n v="24489"/>
    <n v="3"/>
    <x v="7"/>
    <x v="5"/>
    <s v=" Sector 53 Gurgaon"/>
    <n v="0"/>
    <n v="0"/>
    <n v="4"/>
    <n v="6"/>
    <n v="3"/>
    <x v="1"/>
    <n v="18"/>
    <n v="1"/>
    <n v="0"/>
    <n v="0"/>
    <n v="0"/>
    <n v="2450.0796275878965"/>
    <m/>
    <n v="24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1"/>
    <x v="1"/>
    <n v="1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2.4500796275878901E-2"/>
    <n v="60000000"/>
    <n v="0.24489"/>
    <x v="4"/>
    <s v="Todo bien"/>
    <x v="1"/>
    <x v="0"/>
    <n v="1067.2553005022635"/>
    <x v="1"/>
    <x v="2"/>
    <s v="Pequeña"/>
    <x v="2"/>
    <n v="2450.0796275878965"/>
  </r>
  <r>
    <s v="DLF Park Place"/>
    <x v="287"/>
    <n v="25866"/>
    <n v="3"/>
    <x v="3"/>
    <x v="0"/>
    <s v=" Sector 54 Gurgaon"/>
    <n v="0"/>
    <n v="0"/>
    <n v="4"/>
    <n v="25"/>
    <n v="3"/>
    <x v="1"/>
    <n v="30"/>
    <n v="1"/>
    <n v="0"/>
    <n v="0"/>
    <n v="0"/>
    <n v="1875.0483259877831"/>
    <m/>
    <n v="1875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0"/>
    <x v="0"/>
    <x v="1"/>
    <x v="0"/>
    <n v="0"/>
    <n v="4"/>
    <n v="1"/>
    <n v="3"/>
    <n v="1"/>
    <n v="1"/>
    <n v="1"/>
    <n v="0"/>
    <n v="0"/>
    <n v="5"/>
    <n v="1"/>
    <n v="0"/>
    <n v="1"/>
    <n v="1"/>
    <n v="1"/>
    <n v="5"/>
    <n v="1"/>
    <n v="0"/>
    <n v="0"/>
    <n v="0"/>
    <n v="0"/>
    <n v="0"/>
    <n v="0"/>
    <n v="1"/>
    <n v="1.8750483259877802E-2"/>
    <n v="48500000"/>
    <n v="0.25866"/>
    <x v="4"/>
    <s v="Todo bien"/>
    <x v="2"/>
    <x v="0"/>
    <n v="816.77152124990209"/>
    <x v="1"/>
    <x v="2"/>
    <s v="Pequeña"/>
    <x v="1"/>
    <n v="1875.0483259877831"/>
  </r>
  <r>
    <s v="DLF Park Place"/>
    <x v="350"/>
    <n v="25920"/>
    <n v="3"/>
    <x v="0"/>
    <x v="0"/>
    <s v=" Sector 54 Gurgaon"/>
    <n v="0"/>
    <n v="0"/>
    <n v="4"/>
    <n v="7"/>
    <n v="3"/>
    <x v="1"/>
    <n v="30"/>
    <n v="1"/>
    <n v="0"/>
    <n v="0"/>
    <n v="0"/>
    <n v="1875.0000000000002"/>
    <m/>
    <n v="18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1"/>
    <x v="0"/>
    <n v="0"/>
    <n v="0"/>
    <n v="0"/>
    <n v="3"/>
    <n v="1"/>
    <n v="1"/>
    <n v="1"/>
    <n v="0"/>
    <n v="0"/>
    <n v="0"/>
    <n v="0"/>
    <n v="0"/>
    <n v="0"/>
    <n v="0"/>
    <n v="1"/>
    <n v="3"/>
    <n v="1"/>
    <n v="0"/>
    <n v="0"/>
    <n v="0"/>
    <n v="0"/>
    <n v="0"/>
    <n v="0"/>
    <n v="2"/>
    <n v="1.8749999999999999E-2"/>
    <n v="48600000.000000007"/>
    <n v="0.25919999999999999"/>
    <x v="4"/>
    <s v="Todo bien"/>
    <x v="1"/>
    <x v="1"/>
    <n v="816.75047043749998"/>
    <x v="1"/>
    <x v="2"/>
    <s v="Pequeña"/>
    <x v="1"/>
    <n v="1875.0000000000002"/>
  </r>
  <r>
    <s v="Central Park Resorts"/>
    <x v="351"/>
    <n v="20900"/>
    <n v="3"/>
    <x v="7"/>
    <x v="5"/>
    <s v=" Sector 48 Gurgaon"/>
    <n v="0"/>
    <n v="0"/>
    <n v="3"/>
    <n v="8"/>
    <n v="3"/>
    <x v="1"/>
    <n v="17"/>
    <n v="1"/>
    <n v="0"/>
    <n v="0"/>
    <n v="0"/>
    <n v="2264"/>
    <n v="2364"/>
    <n v="2464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2.4641148325358801E-2"/>
    <n v="51500000"/>
    <n v="0.20899999999999999"/>
    <x v="4"/>
    <s v="Todo bien"/>
    <x v="2"/>
    <x v="1"/>
    <n v="1073.3690392990409"/>
    <x v="1"/>
    <x v="2"/>
    <s v="Grande"/>
    <x v="2"/>
    <n v="2464.1148325358854"/>
  </r>
  <r>
    <s v="Central Park Resorts"/>
    <x v="352"/>
    <n v="24926"/>
    <n v="4"/>
    <x v="2"/>
    <x v="5"/>
    <s v=" Sector 48 Gurgaon"/>
    <n v="0"/>
    <n v="0"/>
    <n v="4"/>
    <n v="10"/>
    <n v="3"/>
    <x v="2"/>
    <n v="17"/>
    <n v="1"/>
    <n v="1"/>
    <n v="1"/>
    <n v="1"/>
    <n v="3731"/>
    <n v="3831"/>
    <n v="3931"/>
    <n v="0"/>
    <n v="0"/>
    <n v="1"/>
    <n v="1"/>
    <n v="0"/>
    <n v="0"/>
    <n v="0"/>
    <n v="1"/>
    <n v="1"/>
    <n v="1"/>
    <n v="0"/>
    <n v="0"/>
    <n v="1"/>
    <n v="0"/>
    <n v="0"/>
    <n v="1"/>
    <n v="1"/>
    <n v="34"/>
    <x v="0"/>
    <x v="1"/>
    <x v="1"/>
    <x v="1"/>
    <x v="1"/>
    <x v="0"/>
    <x v="0"/>
    <x v="1"/>
    <x v="1"/>
    <n v="0"/>
    <n v="8"/>
    <n v="1"/>
    <n v="6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3.7310438899141402E-2"/>
    <n v="93000000"/>
    <n v="0.24926000000000001"/>
    <x v="6"/>
    <s v="Todo bien"/>
    <x v="1"/>
    <x v="3"/>
    <n v="1625.2436545655116"/>
    <x v="3"/>
    <x v="3"/>
    <s v="Muy grande"/>
    <x v="3"/>
    <n v="3731.0438899141459"/>
  </r>
  <r>
    <s v="Bestech Park View City"/>
    <x v="186"/>
    <n v="10022"/>
    <n v="3"/>
    <x v="1"/>
    <x v="0"/>
    <s v=" Sector 48 Gurgaon"/>
    <n v="0"/>
    <n v="0"/>
    <n v="4"/>
    <n v="5"/>
    <n v="2"/>
    <x v="1"/>
    <n v="14"/>
    <n v="0"/>
    <n v="1"/>
    <n v="1"/>
    <n v="0"/>
    <n v="1300"/>
    <m/>
    <n v="1776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925962881601E-2"/>
    <n v="17800000"/>
    <n v="0.10022"/>
    <x v="3"/>
    <s v="Todo bien"/>
    <x v="0"/>
    <x v="1"/>
    <n v="773.66638056475506"/>
    <x v="1"/>
    <x v="2"/>
    <s v="Pequeña"/>
    <x v="1"/>
    <n v="1776.0925962881661"/>
  </r>
  <r>
    <s v="Vatika City"/>
    <x v="87"/>
    <n v="12785"/>
    <n v="3"/>
    <x v="1"/>
    <x v="1"/>
    <s v=" Sector 49 Gurgaon"/>
    <n v="0"/>
    <n v="0"/>
    <n v="3"/>
    <n v="9"/>
    <n v="3"/>
    <x v="1"/>
    <n v="9"/>
    <n v="1"/>
    <n v="0"/>
    <n v="0"/>
    <n v="0"/>
    <n v="14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782166601399E-2"/>
    <n v="17900000"/>
    <n v="0.12784999999999999"/>
    <x v="3"/>
    <s v="Todo bien"/>
    <x v="0"/>
    <x v="1"/>
    <n v="609.87442245678153"/>
    <x v="1"/>
    <x v="2"/>
    <s v="Pequeña"/>
    <x v="0"/>
    <n v="1400.0782166601487"/>
  </r>
  <r>
    <s v="Siddhi Vinayak Apartments"/>
    <x v="276"/>
    <n v="9600"/>
    <n v="3"/>
    <x v="8"/>
    <x v="5"/>
    <s v=" Sector 55 Gurgaon"/>
    <n v="0"/>
    <n v="0"/>
    <n v="3"/>
    <n v="6"/>
    <n v="2"/>
    <x v="1"/>
    <n v="10"/>
    <n v="0"/>
    <n v="0"/>
    <n v="0"/>
    <n v="0"/>
    <n v="1500"/>
    <n v="1700"/>
    <n v="1850"/>
    <n v="0"/>
    <n v="1"/>
    <n v="0"/>
    <n v="0"/>
    <n v="0"/>
    <n v="0"/>
    <n v="0"/>
    <n v="0"/>
    <n v="0"/>
    <n v="0"/>
    <n v="0"/>
    <n v="0"/>
    <n v="0"/>
    <n v="0"/>
    <n v="1"/>
    <n v="0"/>
    <n v="0"/>
    <n v="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4999999999999999E-2"/>
    <n v="14400000"/>
    <n v="9.6000000000000002E-2"/>
    <x v="2"/>
    <s v="Todo bien"/>
    <x v="1"/>
    <x v="2"/>
    <n v="653.40037634999999"/>
    <x v="1"/>
    <x v="2"/>
    <s v="Mediana"/>
    <x v="1"/>
    <n v="1500"/>
  </r>
  <r>
    <s v="Madhur Jeevan Apartments"/>
    <x v="244"/>
    <n v="8594"/>
    <n v="4"/>
    <x v="5"/>
    <x v="1"/>
    <s v=" Sector 56 Gurgaon"/>
    <n v="0"/>
    <n v="0"/>
    <n v="3"/>
    <n v="3"/>
    <n v="3"/>
    <x v="2"/>
    <n v="9"/>
    <n v="0"/>
    <n v="0"/>
    <n v="0"/>
    <n v="0"/>
    <n v="1850"/>
    <n v="1900"/>
    <n v="2000"/>
    <n v="0"/>
    <n v="0"/>
    <n v="0"/>
    <n v="0"/>
    <n v="0"/>
    <n v="0"/>
    <n v="0"/>
    <n v="1"/>
    <n v="0"/>
    <n v="1"/>
    <n v="1"/>
    <n v="1"/>
    <n v="1"/>
    <n v="1"/>
    <n v="0"/>
    <n v="0"/>
    <n v="0"/>
    <n v="20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12799627647E-2"/>
    <n v="15900000"/>
    <n v="8.5940000000000003E-2"/>
    <x v="3"/>
    <s v="Todo bien"/>
    <x v="0"/>
    <x v="0"/>
    <n v="805.91621937514469"/>
    <x v="1"/>
    <x v="2"/>
    <s v="Grande"/>
    <x v="1"/>
    <n v="1850.127996276472"/>
  </r>
  <r>
    <s v="The Lions CGHS"/>
    <x v="37"/>
    <n v="11055"/>
    <n v="4"/>
    <x v="4"/>
    <x v="1"/>
    <s v=" Sector 56 Gurgaon"/>
    <n v="0"/>
    <n v="0"/>
    <n v="4"/>
    <n v="4"/>
    <n v="3"/>
    <x v="2"/>
    <n v="9"/>
    <n v="0"/>
    <n v="0"/>
    <n v="1"/>
    <n v="0"/>
    <n v="1800"/>
    <n v="2000"/>
    <n v="2400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8000904568068701E-2"/>
    <n v="19900000"/>
    <n v="0.11055"/>
    <x v="3"/>
    <s v="Todo bien"/>
    <x v="1"/>
    <x v="1"/>
    <n v="784.11985462776829"/>
    <x v="1"/>
    <x v="2"/>
    <s v="Grande"/>
    <x v="2"/>
    <n v="1800.0904568068747"/>
  </r>
  <r>
    <s v="ProfeSS The Leafors Enclave CGHS"/>
    <x v="150"/>
    <n v="8324"/>
    <n v="3"/>
    <x v="8"/>
    <x v="1"/>
    <s v=" Sector 56 Gurgaon"/>
    <n v="0"/>
    <n v="0"/>
    <n v="3"/>
    <n v="6"/>
    <n v="2"/>
    <x v="1"/>
    <n v="9"/>
    <n v="1"/>
    <n v="0"/>
    <n v="1"/>
    <n v="0"/>
    <n v="1850"/>
    <n v="1920"/>
    <n v="200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5007208073041E-2"/>
    <n v="15400000"/>
    <n v="8.3239999999999995E-2"/>
    <x v="3"/>
    <s v="Todo bien"/>
    <x v="1"/>
    <x v="1"/>
    <n v="805.89186254925175"/>
    <x v="1"/>
    <x v="2"/>
    <s v="Grande"/>
    <x v="1"/>
    <n v="1850.0720807304183"/>
  </r>
  <r>
    <s v="Guru Gram Haryana CGHS"/>
    <x v="274"/>
    <n v="8424"/>
    <n v="3"/>
    <x v="8"/>
    <x v="1"/>
    <s v=" Sector 56 Gurgaon"/>
    <n v="0"/>
    <n v="0"/>
    <n v="2"/>
    <n v="6"/>
    <n v="3"/>
    <x v="1"/>
    <n v="10"/>
    <n v="1"/>
    <n v="0"/>
    <n v="1"/>
    <n v="0"/>
    <n v="1650"/>
    <n v="1750"/>
    <n v="185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748338081E-2"/>
    <n v="13900000"/>
    <n v="8.4239999999999995E-2"/>
    <x v="2"/>
    <s v="Todo bien"/>
    <x v="0"/>
    <x v="1"/>
    <n v="718.76109775759448"/>
    <x v="1"/>
    <x v="2"/>
    <s v="Mediana"/>
    <x v="1"/>
    <n v="1650.0474833808169"/>
  </r>
  <r>
    <s v="Park View Apartment"/>
    <x v="353"/>
    <n v="7565"/>
    <n v="3"/>
    <x v="8"/>
    <x v="1"/>
    <s v=" Sector 56 Gurgaon"/>
    <n v="0"/>
    <n v="0"/>
    <n v="3"/>
    <n v="2"/>
    <n v="3"/>
    <x v="1"/>
    <n v="9"/>
    <n v="1"/>
    <n v="0"/>
    <n v="1"/>
    <n v="0"/>
    <n v="2300"/>
    <n v="2400"/>
    <n v="2450"/>
    <n v="1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3000660938532699E-2"/>
    <n v="17400000"/>
    <n v="7.5649999999999995E-2"/>
    <x v="3"/>
    <s v="Todo bien"/>
    <x v="1"/>
    <x v="1"/>
    <n v="1001.9093675690674"/>
    <x v="1"/>
    <x v="2"/>
    <s v="Grande"/>
    <x v="2"/>
    <n v="2300.0660938532719"/>
  </r>
  <r>
    <s v="Shapoorji Pallonji Joyville Gurugram"/>
    <x v="154"/>
    <n v="10534"/>
    <n v="2"/>
    <x v="4"/>
    <x v="0"/>
    <s v=" Sector 102 Gurgaon"/>
    <n v="0"/>
    <n v="0"/>
    <n v="2"/>
    <n v="10"/>
    <n v="3"/>
    <x v="0"/>
    <n v="26"/>
    <n v="0"/>
    <n v="0"/>
    <n v="0"/>
    <n v="0"/>
    <n v="1215.1129675337004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1129675337E-2"/>
    <n v="12800000"/>
    <n v="0.10534"/>
    <x v="2"/>
    <s v="Todo bien"/>
    <x v="0"/>
    <x v="1"/>
    <n v="529.30351352952334"/>
    <x v="1"/>
    <x v="2"/>
    <s v="Pequeña"/>
    <x v="1"/>
    <n v="1215.1129675337004"/>
  </r>
  <r>
    <s v="ATS Tourmaline"/>
    <x v="252"/>
    <n v="8000"/>
    <n v="3"/>
    <x v="6"/>
    <x v="0"/>
    <s v=" Sector 109 Gurgaon"/>
    <n v="0"/>
    <n v="0"/>
    <n v="4"/>
    <n v="7"/>
    <n v="3"/>
    <x v="1"/>
    <n v="27"/>
    <n v="1"/>
    <n v="0"/>
    <n v="0"/>
    <n v="0"/>
    <n v="2150"/>
    <n v="1797"/>
    <n v="21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1499999999999998E-2"/>
    <n v="17200000"/>
    <n v="0.08"/>
    <x v="3"/>
    <s v="Todo bien"/>
    <x v="0"/>
    <x v="5"/>
    <n v="936.54053943500003"/>
    <x v="1"/>
    <x v="2"/>
    <s v="Mediana"/>
    <x v="2"/>
    <n v="2150"/>
  </r>
  <r>
    <s v="ATS Tourmaline"/>
    <x v="78"/>
    <n v="8571"/>
    <n v="3"/>
    <x v="2"/>
    <x v="0"/>
    <s v=" Sector 109 Gurgaon"/>
    <n v="0"/>
    <n v="0"/>
    <n v="3"/>
    <n v="7"/>
    <n v="3"/>
    <x v="1"/>
    <n v="27"/>
    <n v="0"/>
    <n v="0"/>
    <n v="0"/>
    <n v="0"/>
    <n v="1750.0875043752189"/>
    <n v="1466"/>
    <n v="17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875043752102E-2"/>
    <n v="15000000"/>
    <n v="8.5709999999999995E-2"/>
    <x v="2"/>
    <s v="Todo bien"/>
    <x v="1"/>
    <x v="5"/>
    <n v="762.33855600279639"/>
    <x v="1"/>
    <x v="2"/>
    <s v="Mediana"/>
    <x v="1"/>
    <n v="1750.0875043752189"/>
  </r>
  <r>
    <s v="Shapoorji Pallonji Joyville Gurugram"/>
    <x v="110"/>
    <n v="10307"/>
    <n v="2"/>
    <x v="2"/>
    <x v="0"/>
    <s v=" Sector 102 Gurgaon"/>
    <n v="0"/>
    <n v="0"/>
    <n v="2"/>
    <n v="0"/>
    <n v="3"/>
    <x v="0"/>
    <n v="26"/>
    <n v="0"/>
    <n v="0"/>
    <n v="0"/>
    <n v="0"/>
    <n v="1368.0023285146017"/>
    <m/>
    <n v="136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023285146E-2"/>
    <n v="14100000"/>
    <n v="0.10306999999999999"/>
    <x v="2"/>
    <s v="Todo bien"/>
    <x v="0"/>
    <x v="1"/>
    <n v="595.90215753274401"/>
    <x v="1"/>
    <x v="2"/>
    <s v="Pequeña"/>
    <x v="1"/>
    <n v="1368.0023285146017"/>
  </r>
  <r>
    <s v="Empire estate"/>
    <x v="151"/>
    <n v="16666"/>
    <n v="3"/>
    <x v="7"/>
    <x v="5"/>
    <s v=" Sultanpur"/>
    <n v="0"/>
    <n v="0"/>
    <n v="3"/>
    <n v="3"/>
    <n v="2"/>
    <x v="1"/>
    <n v="5"/>
    <n v="1"/>
    <n v="0"/>
    <n v="0"/>
    <n v="0"/>
    <n v="2100.0840033601344"/>
    <m/>
    <n v="21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0"/>
    <x v="0"/>
    <x v="0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000840033601299E-2"/>
    <n v="35000000"/>
    <n v="0.16666"/>
    <x v="5"/>
    <s v="Todo bien"/>
    <x v="1"/>
    <x v="5"/>
    <n v="914.79711877474904"/>
    <x v="1"/>
    <x v="2"/>
    <s v="Pequeña"/>
    <x v="2"/>
    <n v="2100.0840033601344"/>
  </r>
  <r>
    <s v="ATS Tourmaline"/>
    <x v="78"/>
    <n v="6976"/>
    <n v="3"/>
    <x v="7"/>
    <x v="0"/>
    <s v=" Sector 109 Gurgaon"/>
    <n v="0"/>
    <n v="0"/>
    <n v="4"/>
    <n v="4"/>
    <n v="3"/>
    <x v="1"/>
    <n v="27"/>
    <n v="1"/>
    <n v="0"/>
    <n v="0"/>
    <n v="0"/>
    <n v="1670"/>
    <n v="1797"/>
    <n v="2150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293577981599E-2"/>
    <n v="15000000"/>
    <n v="6.9760000000000003E-2"/>
    <x v="2"/>
    <s v="Todo bien"/>
    <x v="0"/>
    <x v="0"/>
    <n v="936.64044774942442"/>
    <x v="1"/>
    <x v="2"/>
    <s v="Mediana"/>
    <x v="2"/>
    <n v="2150.229357798165"/>
  </r>
  <r>
    <s v="ATS Tourmaline"/>
    <x v="59"/>
    <n v="6744"/>
    <n v="3"/>
    <x v="7"/>
    <x v="0"/>
    <s v=" Sector 109 Gurgaon"/>
    <n v="0"/>
    <n v="0"/>
    <n v="4"/>
    <n v="4"/>
    <n v="3"/>
    <x v="1"/>
    <n v="27"/>
    <n v="1"/>
    <n v="0"/>
    <n v="0"/>
    <n v="0"/>
    <n v="1660"/>
    <n v="1797"/>
    <n v="21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593119810198E-2"/>
    <n v="14500000"/>
    <n v="6.744E-2"/>
    <x v="2"/>
    <s v="Todo bien"/>
    <x v="1"/>
    <x v="0"/>
    <n v="936.5663757488137"/>
    <x v="1"/>
    <x v="2"/>
    <s v="Mediana"/>
    <x v="2"/>
    <n v="2150.0593119810201"/>
  </r>
  <r>
    <s v="SS The Leaf"/>
    <x v="354"/>
    <n v="7574"/>
    <n v="4"/>
    <x v="5"/>
    <x v="0"/>
    <s v=" Sector 85 Gurgaon"/>
    <n v="0"/>
    <n v="0"/>
    <n v="4"/>
    <n v="2"/>
    <n v="3"/>
    <x v="2"/>
    <n v="15"/>
    <n v="0"/>
    <n v="0"/>
    <n v="0"/>
    <n v="0"/>
    <n v="22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x v="3"/>
    <s v="Todo bien"/>
    <x v="0"/>
    <x v="1"/>
    <n v="1225.0178695761792"/>
    <x v="1"/>
    <x v="2"/>
    <s v="Muy grande"/>
    <x v="2"/>
    <n v="2812.2524425666752"/>
  </r>
  <r>
    <s v="SS The Leaf"/>
    <x v="6"/>
    <n v="8305"/>
    <n v="3"/>
    <x v="5"/>
    <x v="0"/>
    <s v=" Sector 85 Gurgaon"/>
    <n v="0"/>
    <n v="0"/>
    <n v="4"/>
    <n v="6"/>
    <n v="3"/>
    <x v="1"/>
    <n v="14"/>
    <n v="1"/>
    <n v="0"/>
    <n v="0"/>
    <n v="0"/>
    <n v="2200"/>
    <n v="2300"/>
    <n v="2408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8783865141E-2"/>
    <n v="20000000"/>
    <n v="8.3049999999999999E-2"/>
    <x v="3"/>
    <s v="Todo bien"/>
    <x v="0"/>
    <x v="1"/>
    <n v="1049.0072267308828"/>
    <x v="1"/>
    <x v="2"/>
    <s v="Grande"/>
    <x v="2"/>
    <n v="2408.1878386514149"/>
  </r>
  <r>
    <s v="SS The Leaf"/>
    <x v="69"/>
    <n v="7467"/>
    <n v="4"/>
    <x v="5"/>
    <x v="0"/>
    <s v=" Sector 85 Gurgaon"/>
    <n v="0"/>
    <n v="0"/>
    <n v="4"/>
    <n v="7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x v="3"/>
    <s v="Todo bien"/>
    <x v="0"/>
    <x v="1"/>
    <n v="1225.071014985936"/>
    <x v="1"/>
    <x v="2"/>
    <s v="Muy grande"/>
    <x v="2"/>
    <n v="2812.3744475693047"/>
  </r>
  <r>
    <s v="SS The Leaf"/>
    <x v="354"/>
    <n v="7574"/>
    <n v="4"/>
    <x v="5"/>
    <x v="0"/>
    <s v=" Sector 85 Gurgaon"/>
    <n v="0"/>
    <n v="0"/>
    <n v="4"/>
    <n v="6"/>
    <n v="3"/>
    <x v="2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x v="3"/>
    <s v="Todo bien"/>
    <x v="0"/>
    <x v="1"/>
    <n v="1225.0178695761792"/>
    <x v="1"/>
    <x v="2"/>
    <s v="Muy grande"/>
    <x v="2"/>
    <n v="2812.2524425666752"/>
  </r>
  <r>
    <s v="SS The Leaf"/>
    <x v="43"/>
    <n v="7179"/>
    <n v="2"/>
    <x v="3"/>
    <x v="0"/>
    <s v=" Sector 85 Gurgaon"/>
    <n v="0"/>
    <n v="0"/>
    <n v="2"/>
    <n v="10"/>
    <n v="3"/>
    <x v="0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895807215399E-2"/>
    <n v="12500000"/>
    <n v="7.1790000000000007E-2"/>
    <x v="2"/>
    <s v="Todo bien"/>
    <x v="0"/>
    <x v="1"/>
    <n v="758.46261822676865"/>
    <x v="1"/>
    <x v="2"/>
    <s v="Mediana"/>
    <x v="1"/>
    <n v="1741.1895807215487"/>
  </r>
  <r>
    <s v="SS The Leaf"/>
    <x v="190"/>
    <n v="7225"/>
    <n v="2"/>
    <x v="3"/>
    <x v="0"/>
    <s v=" Sector 83 Gurgaon"/>
    <n v="0"/>
    <n v="0"/>
    <n v="2"/>
    <n v="4"/>
    <n v="3"/>
    <x v="0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11900000"/>
    <n v="7.2249999999999995E-2"/>
    <x v="2"/>
    <s v="Todo bien"/>
    <x v="0"/>
    <x v="1"/>
    <n v="717.45923677646988"/>
    <x v="1"/>
    <x v="2"/>
    <s v="Mediana"/>
    <x v="1"/>
    <n v="1647.0588235294119"/>
  </r>
  <r>
    <s v="SS The Leaf"/>
    <x v="228"/>
    <n v="7001"/>
    <n v="2"/>
    <x v="4"/>
    <x v="0"/>
    <s v="Sector 83 Gurgaon"/>
    <n v="0"/>
    <n v="0"/>
    <n v="2"/>
    <n v="11"/>
    <n v="3"/>
    <x v="0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898300242799E-2"/>
    <n v="11700000"/>
    <n v="7.0010000000000003E-2"/>
    <x v="2"/>
    <s v="Todo bien"/>
    <x v="0"/>
    <x v="1"/>
    <n v="727.97070926010474"/>
    <x v="1"/>
    <x v="2"/>
    <s v="Mediana"/>
    <x v="1"/>
    <n v="1671.1898300242822"/>
  </r>
  <r>
    <s v="SS The Leaf"/>
    <x v="263"/>
    <n v="7432"/>
    <n v="4"/>
    <x v="3"/>
    <x v="0"/>
    <s v=" Sector 85 Gurgaon"/>
    <n v="0"/>
    <n v="0"/>
    <n v="4"/>
    <n v="8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16361679224E-2"/>
    <n v="20900000"/>
    <n v="7.4319999999999997E-2"/>
    <x v="3"/>
    <s v="Todo bien"/>
    <x v="0"/>
    <x v="1"/>
    <n v="1224.9791770465513"/>
    <x v="1"/>
    <x v="2"/>
    <s v="Muy grande"/>
    <x v="2"/>
    <n v="2812.1636167922497"/>
  </r>
  <r>
    <s v="SS The Leaf"/>
    <x v="355"/>
    <n v="7716"/>
    <n v="4"/>
    <x v="5"/>
    <x v="0"/>
    <s v=" Sector 85 Gurgaon"/>
    <n v="0"/>
    <n v="0"/>
    <n v="4"/>
    <n v="7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379989631901E-2"/>
    <n v="21700000"/>
    <n v="7.7160000000000006E-2"/>
    <x v="3"/>
    <s v="Todo bien"/>
    <x v="0"/>
    <x v="1"/>
    <n v="1225.0551379639696"/>
    <x v="1"/>
    <x v="2"/>
    <s v="Muy grande"/>
    <x v="2"/>
    <n v="2812.3379989631931"/>
  </r>
  <r>
    <s v="SS The Leaf"/>
    <x v="265"/>
    <n v="7610"/>
    <n v="4"/>
    <x v="5"/>
    <x v="0"/>
    <s v=" Sector 85 Gurgaon"/>
    <n v="0"/>
    <n v="0"/>
    <n v="4"/>
    <n v="6"/>
    <n v="3"/>
    <x v="2"/>
    <n v="15"/>
    <n v="1"/>
    <n v="1"/>
    <n v="1"/>
    <n v="0"/>
    <n v="2000"/>
    <n v="23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8935611038E-2"/>
    <n v="21400000"/>
    <n v="7.6100000000000001E-2"/>
    <x v="3"/>
    <s v="Todo bien"/>
    <x v="0"/>
    <x v="1"/>
    <n v="1224.946829074901"/>
    <x v="1"/>
    <x v="2"/>
    <s v="Grande"/>
    <x v="2"/>
    <n v="2812.0893561103812"/>
  </r>
  <r>
    <s v="SS The Leaf"/>
    <x v="69"/>
    <n v="7467"/>
    <n v="4"/>
    <x v="7"/>
    <x v="0"/>
    <s v=" Sector 85 Gurgaon"/>
    <n v="0"/>
    <n v="0"/>
    <n v="4"/>
    <n v="2"/>
    <n v="3"/>
    <x v="2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x v="3"/>
    <s v="Todo bien"/>
    <x v="0"/>
    <x v="1"/>
    <n v="1225.071014985936"/>
    <x v="1"/>
    <x v="2"/>
    <s v="Muy grande"/>
    <x v="2"/>
    <n v="2812.3744475693047"/>
  </r>
  <r>
    <s v="SS The Leaf"/>
    <x v="138"/>
    <n v="8222"/>
    <n v="3"/>
    <x v="0"/>
    <x v="0"/>
    <s v=" Sector 85 Gurgaon"/>
    <n v="0"/>
    <n v="0"/>
    <n v="4"/>
    <n v="6"/>
    <n v="3"/>
    <x v="1"/>
    <n v="14"/>
    <n v="0"/>
    <n v="0"/>
    <n v="0"/>
    <n v="0"/>
    <n v="2200"/>
    <n v="2300"/>
    <n v="240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731938701001E-2"/>
    <n v="19800000"/>
    <n v="8.2220000000000001E-2"/>
    <x v="3"/>
    <s v="Todo bien"/>
    <x v="0"/>
    <x v="1"/>
    <n v="1049.0008474604699"/>
    <x v="1"/>
    <x v="2"/>
    <s v="Grande"/>
    <x v="2"/>
    <n v="2408.1731938701046"/>
  </r>
  <r>
    <s v="SS The Leaf"/>
    <x v="224"/>
    <n v="7122"/>
    <n v="2"/>
    <x v="0"/>
    <x v="0"/>
    <s v=" Sector 85 Gurgaon"/>
    <n v="0"/>
    <n v="0"/>
    <n v="2"/>
    <n v="10"/>
    <n v="3"/>
    <x v="0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839651783201E-2"/>
    <n v="12400000"/>
    <n v="7.1220000000000006E-2"/>
    <x v="2"/>
    <s v="Todo bien"/>
    <x v="0"/>
    <x v="1"/>
    <n v="758.41661206964318"/>
    <x v="1"/>
    <x v="2"/>
    <s v="Mediana"/>
    <x v="1"/>
    <n v="1741.0839651783206"/>
  </r>
  <r>
    <s v="SS The Leaf"/>
    <x v="148"/>
    <n v="7170"/>
    <n v="2"/>
    <x v="0"/>
    <x v="0"/>
    <s v=" Sector 85 Gurgaon"/>
    <n v="0"/>
    <n v="0"/>
    <n v="2"/>
    <n v="4"/>
    <n v="3"/>
    <x v="0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7461645746099E-2"/>
    <n v="11800000"/>
    <n v="7.17E-2"/>
    <x v="2"/>
    <s v="Todo bien"/>
    <x v="0"/>
    <x v="1"/>
    <n v="716.88744220641274"/>
    <x v="1"/>
    <x v="2"/>
    <s v="Mediana"/>
    <x v="1"/>
    <n v="1645.7461645746164"/>
  </r>
  <r>
    <s v="SS The Leaf"/>
    <x v="56"/>
    <n v="7151"/>
    <n v="2"/>
    <x v="2"/>
    <x v="0"/>
    <s v=" Sector 85 Gurgaon"/>
    <n v="0"/>
    <n v="0"/>
    <n v="2"/>
    <n v="15"/>
    <n v="3"/>
    <x v="0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80869808418399E-2"/>
    <n v="12000000"/>
    <n v="7.1510000000000004E-2"/>
    <x v="2"/>
    <s v="Todo bien"/>
    <x v="0"/>
    <x v="1"/>
    <n v="730.975109886729"/>
    <x v="1"/>
    <x v="2"/>
    <s v="Mediana"/>
    <x v="1"/>
    <n v="1678.0869808418402"/>
  </r>
  <r>
    <s v="SS The Leaf"/>
    <x v="190"/>
    <n v="7121"/>
    <n v="2"/>
    <x v="0"/>
    <x v="0"/>
    <s v=" Sector 85 Gurgaon"/>
    <n v="0"/>
    <n v="0"/>
    <n v="2"/>
    <n v="11"/>
    <n v="3"/>
    <x v="0"/>
    <n v="26"/>
    <n v="0"/>
    <n v="0"/>
    <n v="0"/>
    <n v="0"/>
    <n v="1660"/>
    <n v="167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136076393698E-2"/>
    <n v="11900000"/>
    <n v="7.1209999999999996E-2"/>
    <x v="2"/>
    <s v="Todo bien"/>
    <x v="0"/>
    <x v="1"/>
    <n v="727.93750677011371"/>
    <x v="1"/>
    <x v="2"/>
    <s v="Mediana"/>
    <x v="1"/>
    <n v="1671.1136076393766"/>
  </r>
  <r>
    <s v="Orchid Petals"/>
    <x v="263"/>
    <n v="11578"/>
    <n v="3"/>
    <x v="8"/>
    <x v="0"/>
    <s v=" Sector 49 Gurgaon"/>
    <n v="0"/>
    <n v="0"/>
    <n v="3"/>
    <n v="0"/>
    <n v="3"/>
    <x v="1"/>
    <n v="14"/>
    <n v="0"/>
    <n v="0"/>
    <n v="0"/>
    <n v="0"/>
    <n v="1805.1476939022284"/>
    <m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51476939022201E-2"/>
    <n v="20900000"/>
    <n v="0.11577999999999999"/>
    <x v="3"/>
    <s v="Todo bien"/>
    <x v="0"/>
    <x v="1"/>
    <n v="786.32278837536353"/>
    <x v="1"/>
    <x v="2"/>
    <s v="Pequeña"/>
    <x v="1"/>
    <n v="1805.1476939022284"/>
  </r>
  <r>
    <s v="Orchid Petals"/>
    <x v="158"/>
    <n v="11887"/>
    <n v="3"/>
    <x v="2"/>
    <x v="0"/>
    <s v=" Sector 49 Gurgaon"/>
    <n v="0"/>
    <n v="0"/>
    <n v="3"/>
    <n v="0"/>
    <n v="3"/>
    <x v="1"/>
    <n v="14"/>
    <n v="0"/>
    <n v="1"/>
    <n v="0"/>
    <n v="0"/>
    <n v="2061.075124085135"/>
    <m/>
    <n v="20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0751240851301E-2"/>
    <n v="24500000.000000004"/>
    <n v="0.11887"/>
    <x v="3"/>
    <s v="Todo bien"/>
    <x v="0"/>
    <x v="1"/>
    <n v="897.80484117523133"/>
    <x v="1"/>
    <x v="2"/>
    <s v="Pequeña"/>
    <x v="2"/>
    <n v="2061.075124085135"/>
  </r>
  <r>
    <s v="Orchid Petals"/>
    <x v="334"/>
    <n v="10969"/>
    <n v="3"/>
    <x v="5"/>
    <x v="0"/>
    <s v=" Sector 49 Gurgaon"/>
    <n v="0"/>
    <n v="0"/>
    <n v="3"/>
    <n v="14"/>
    <n v="3"/>
    <x v="1"/>
    <n v="14"/>
    <n v="0"/>
    <n v="0"/>
    <n v="0"/>
    <n v="0"/>
    <n v="2033.0020968183062"/>
    <m/>
    <n v="2033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020968183E-2"/>
    <n v="22300000"/>
    <n v="0.10969"/>
    <x v="3"/>
    <s v="Todo bien"/>
    <x v="0"/>
    <x v="1"/>
    <n v="885.57622345427762"/>
    <x v="1"/>
    <x v="2"/>
    <s v="Pequeña"/>
    <x v="2"/>
    <n v="2033.0020968183062"/>
  </r>
  <r>
    <s v="Orchid Petals"/>
    <x v="356"/>
    <n v="11835"/>
    <n v="5"/>
    <x v="3"/>
    <x v="0"/>
    <s v=" Sector 49 Gurgaon"/>
    <n v="0"/>
    <n v="0"/>
    <n v="6"/>
    <n v="14"/>
    <n v="3"/>
    <x v="4"/>
    <n v="14"/>
    <n v="1"/>
    <n v="0"/>
    <n v="1"/>
    <n v="0"/>
    <n v="3557.2454583861427"/>
    <m/>
    <n v="3557"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724545838614E-2"/>
    <n v="42100000"/>
    <n v="0.11835"/>
    <x v="4"/>
    <s v="Todo bien"/>
    <x v="0"/>
    <x v="1"/>
    <n v="1549.5370141858882"/>
    <x v="3"/>
    <x v="3"/>
    <s v="Pequeña"/>
    <x v="3"/>
    <n v="3557.2454583861427"/>
  </r>
  <r>
    <s v="Orchid Petals"/>
    <x v="357"/>
    <n v="11700"/>
    <n v="5"/>
    <x v="4"/>
    <x v="0"/>
    <s v=" Sector 49 Gurgaon"/>
    <n v="0"/>
    <n v="0"/>
    <n v="4"/>
    <n v="14"/>
    <n v="3"/>
    <x v="4"/>
    <n v="14"/>
    <n v="1"/>
    <n v="1"/>
    <n v="0"/>
    <n v="0"/>
    <n v="3555.5555555555552"/>
    <m/>
    <n v="3557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555555555555E-2"/>
    <n v="41600000"/>
    <n v="0.11700000000000001"/>
    <x v="4"/>
    <s v="Todo bien"/>
    <x v="0"/>
    <x v="1"/>
    <n v="1548.8008920888865"/>
    <x v="3"/>
    <x v="3"/>
    <s v="Pequeña"/>
    <x v="3"/>
    <n v="3555.5555555555552"/>
  </r>
  <r>
    <s v="Orchid Petals"/>
    <x v="358"/>
    <n v="10984"/>
    <n v="5"/>
    <x v="0"/>
    <x v="5"/>
    <s v=" Sector 49 Gurgaon"/>
    <n v="0"/>
    <n v="0"/>
    <n v="5"/>
    <n v="14"/>
    <n v="3"/>
    <x v="4"/>
    <n v="14"/>
    <n v="1"/>
    <n v="1"/>
    <n v="1"/>
    <n v="0"/>
    <n v="4115.0764748725423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50764748725401E-2"/>
    <n v="45200000"/>
    <n v="0.10983999999999999"/>
    <x v="4"/>
    <s v="Todo bien"/>
    <x v="0"/>
    <x v="1"/>
    <n v="1792.528344927166"/>
    <x v="3"/>
    <x v="3"/>
    <s v="Pequeña"/>
    <x v="3"/>
    <n v="4115.0764748725423"/>
  </r>
  <r>
    <s v="Godrej Aria"/>
    <x v="13"/>
    <n v="6551"/>
    <n v="2"/>
    <x v="4"/>
    <x v="0"/>
    <s v=" Sector 79 Gurgaon"/>
    <n v="0"/>
    <n v="0"/>
    <n v="2"/>
    <n v="5"/>
    <n v="3"/>
    <x v="0"/>
    <n v="15"/>
    <n v="0"/>
    <n v="0"/>
    <n v="0"/>
    <n v="0"/>
    <n v="14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16028087314E-2"/>
    <n v="9500000"/>
    <n v="6.5509999999999999E-2"/>
    <x v="1"/>
    <s v="Todo bien"/>
    <x v="0"/>
    <x v="5"/>
    <n v="631.69018219355428"/>
    <x v="1"/>
    <x v="2"/>
    <s v="Pequeña"/>
    <x v="0"/>
    <n v="1450.1602808731491"/>
  </r>
  <r>
    <s v="Ireo Uptown"/>
    <x v="78"/>
    <n v="11219"/>
    <n v="2"/>
    <x v="8"/>
    <x v="0"/>
    <s v=" Sector 66 Gurgaon"/>
    <n v="0"/>
    <n v="0"/>
    <n v="3"/>
    <n v="1"/>
    <n v="3"/>
    <x v="0"/>
    <n v="25"/>
    <n v="1"/>
    <n v="0"/>
    <n v="0"/>
    <n v="0"/>
    <n v="1050"/>
    <n v="1330"/>
    <n v="1337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0"/>
    <n v="3"/>
    <n v="1"/>
    <n v="1"/>
    <n v="0"/>
    <n v="0"/>
    <n v="0"/>
    <n v="0"/>
    <n v="0"/>
    <n v="2"/>
    <n v="1.33701755949728E-2"/>
    <n v="15000000"/>
    <n v="0.11219"/>
    <x v="2"/>
    <s v="Todo bien"/>
    <x v="1"/>
    <x v="4"/>
    <n v="582.40518437472087"/>
    <x v="1"/>
    <x v="0"/>
    <s v="Mediana"/>
    <x v="1"/>
    <n v="1337.0175594972814"/>
  </r>
  <r>
    <s v="Raisina Residency"/>
    <x v="227"/>
    <n v="13058"/>
    <n v="4"/>
    <x v="7"/>
    <x v="0"/>
    <s v=" Sector 59 Gurgaon"/>
    <n v="0"/>
    <n v="0"/>
    <n v="4"/>
    <n v="13"/>
    <n v="3"/>
    <x v="2"/>
    <n v="20"/>
    <n v="1"/>
    <n v="1"/>
    <n v="1"/>
    <n v="1"/>
    <n v="382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0"/>
    <x v="1"/>
    <x v="0"/>
    <x v="0"/>
    <x v="1"/>
    <x v="0"/>
    <x v="0"/>
    <n v="1"/>
    <n v="7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8290703017307401E-2"/>
    <n v="50000000"/>
    <n v="0.13058"/>
    <x v="4"/>
    <s v="Todo bien"/>
    <x v="1"/>
    <x v="5"/>
    <n v="1667.9439841476492"/>
    <x v="3"/>
    <x v="3"/>
    <s v="Pequeña"/>
    <x v="0"/>
    <n v="3829.0703017307396"/>
  </r>
  <r>
    <s v="Tata Primanti"/>
    <x v="127"/>
    <n v="16032"/>
    <n v="4"/>
    <x v="0"/>
    <x v="0"/>
    <s v=" Sector 72 Gurgaon"/>
    <n v="0"/>
    <n v="0"/>
    <n v="5"/>
    <n v="22"/>
    <n v="3"/>
    <x v="2"/>
    <n v="40"/>
    <n v="1"/>
    <n v="0"/>
    <n v="0"/>
    <n v="0"/>
    <n v="2495"/>
    <m/>
    <n v="29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2.4950099800399202E-2"/>
    <n v="40000000"/>
    <n v="0.16031999999999999"/>
    <x v="5"/>
    <s v="Todo bien"/>
    <x v="1"/>
    <x v="5"/>
    <n v="1086.8269733033933"/>
    <x v="1"/>
    <x v="2"/>
    <s v="Pequeña"/>
    <x v="2"/>
    <n v="2495.0099800399203"/>
  </r>
  <r>
    <s v="Signature Global Orchard Avenue"/>
    <x v="319"/>
    <n v="6715"/>
    <n v="2"/>
    <x v="5"/>
    <x v="0"/>
    <s v=" Sector 93 Gurgaon"/>
    <n v="0"/>
    <n v="0"/>
    <n v="2"/>
    <n v="6"/>
    <n v="2"/>
    <x v="0"/>
    <n v="14"/>
    <n v="0"/>
    <n v="0"/>
    <n v="0"/>
    <n v="0"/>
    <n v="543.53"/>
    <m/>
    <m/>
    <n v="0"/>
    <n v="0"/>
    <n v="0"/>
    <n v="0"/>
    <n v="1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355919583023004E-3"/>
    <n v="3650000"/>
    <n v="6.7150000000000001E-2"/>
    <x v="0"/>
    <s v="Todo bien"/>
    <x v="0"/>
    <x v="2"/>
    <n v="236.77452208265046"/>
    <x v="0"/>
    <x v="1"/>
    <s v="Pequeña"/>
    <x v="0"/>
    <n v="543.55919583023081"/>
  </r>
  <r>
    <s v="Bestech Park View Grand Spa"/>
    <x v="215"/>
    <n v="6786"/>
    <n v="4"/>
    <x v="5"/>
    <x v="0"/>
    <s v=" Sector 81 Gurgaon"/>
    <n v="0"/>
    <n v="0"/>
    <n v="4"/>
    <n v="19"/>
    <n v="3"/>
    <x v="2"/>
    <n v="21"/>
    <n v="1"/>
    <n v="0"/>
    <n v="0"/>
    <n v="0"/>
    <n v="6926.0241674034778"/>
    <m/>
    <n v="6926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6.9260241674034703E-2"/>
    <n v="47000000"/>
    <n v="6.7860000000000004E-2"/>
    <x v="4"/>
    <s v="Todo bien"/>
    <x v="1"/>
    <x v="4"/>
    <n v="3016.9778650604153"/>
    <x v="2"/>
    <x v="3"/>
    <s v="Pequeña"/>
    <x v="3"/>
    <n v="6926.0241674034778"/>
  </r>
  <r>
    <s v="Bestech Park View Ananda"/>
    <x v="13"/>
    <n v="10626"/>
    <n v="2"/>
    <x v="2"/>
    <x v="0"/>
    <s v=" Sector 81 Gurgaon"/>
    <n v="0"/>
    <n v="0"/>
    <n v="2"/>
    <n v="2"/>
    <n v="2"/>
    <x v="0"/>
    <n v="15"/>
    <n v="0"/>
    <n v="0"/>
    <n v="0"/>
    <n v="0"/>
    <n v="8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9403350272914996E-3"/>
    <n v="9500000"/>
    <n v="0.10625999999999999"/>
    <x v="1"/>
    <s v="Todo bien"/>
    <x v="0"/>
    <x v="4"/>
    <n v="389.44121810182361"/>
    <x v="0"/>
    <x v="0"/>
    <s v="Pequeña"/>
    <x v="1"/>
    <n v="894.03350272915497"/>
  </r>
  <r>
    <s v="Signature Global Orchard Avenue"/>
    <x v="94"/>
    <n v="6387"/>
    <n v="2"/>
    <x v="5"/>
    <x v="0"/>
    <s v=" Sector 93 Gurgaon"/>
    <n v="0"/>
    <n v="0"/>
    <n v="2"/>
    <n v="7"/>
    <n v="2"/>
    <x v="0"/>
    <n v="14"/>
    <n v="0"/>
    <n v="0"/>
    <n v="0"/>
    <n v="0"/>
    <n v="594.91"/>
    <m/>
    <m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95850947235999E-3"/>
    <n v="3800000"/>
    <n v="6.3869999999999996E-2"/>
    <x v="0"/>
    <s v="Todo bien"/>
    <x v="0"/>
    <x v="2"/>
    <n v="259.16407600125007"/>
    <x v="0"/>
    <x v="1"/>
    <s v="Pequeña"/>
    <x v="0"/>
    <n v="594.95850947236579"/>
  </r>
  <r>
    <s v="Vatika Gurgaon "/>
    <x v="8"/>
    <n v="6051"/>
    <n v="3"/>
    <x v="5"/>
    <x v="0"/>
    <s v=" Sector 83 Gurgaon"/>
    <n v="0"/>
    <n v="0"/>
    <n v="3"/>
    <n v="12"/>
    <n v="3"/>
    <x v="1"/>
    <n v="18"/>
    <n v="1"/>
    <n v="0"/>
    <n v="0"/>
    <n v="0"/>
    <n v="1817.8813419269543"/>
    <m/>
    <n v="1735"/>
    <n v="0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788134192695E-2"/>
    <n v="11000000"/>
    <n v="6.0510000000000001E-2"/>
    <x v="2"/>
    <s v="Todo bien"/>
    <x v="1"/>
    <x v="1"/>
    <n v="791.86956864980812"/>
    <x v="1"/>
    <x v="2"/>
    <s v="Pequeña"/>
    <x v="1"/>
    <n v="1817.8813419269543"/>
  </r>
  <r>
    <s v="Bestech Park View Sanskruti"/>
    <x v="46"/>
    <n v="7568"/>
    <n v="3"/>
    <x v="8"/>
    <x v="0"/>
    <s v=" Sector 92 Gurgaon"/>
    <n v="0"/>
    <n v="0"/>
    <n v="4"/>
    <n v="16"/>
    <n v="3"/>
    <x v="1"/>
    <n v="19"/>
    <n v="1"/>
    <n v="0"/>
    <n v="0"/>
    <n v="0"/>
    <n v="2048.0972515856238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80972515856202E-2"/>
    <n v="15500000"/>
    <n v="7.5679999999999997E-2"/>
    <x v="3"/>
    <s v="Todo bien"/>
    <x v="1"/>
    <x v="1"/>
    <n v="892.15167665829665"/>
    <x v="1"/>
    <x v="2"/>
    <s v="Pequeña"/>
    <x v="1"/>
    <n v="2048.0972515856238"/>
  </r>
  <r>
    <s v="Bestech Park View Sanskruti"/>
    <x v="46"/>
    <n v="9687"/>
    <n v="3"/>
    <x v="1"/>
    <x v="0"/>
    <s v=" Sector 92 Gurgaon"/>
    <n v="0"/>
    <n v="0"/>
    <n v="3"/>
    <n v="17"/>
    <n v="3"/>
    <x v="1"/>
    <n v="19"/>
    <n v="1"/>
    <n v="0"/>
    <n v="0"/>
    <n v="0"/>
    <n v="1600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000825849076E-2"/>
    <n v="15500000"/>
    <n v="9.6869999999999998E-2"/>
    <x v="3"/>
    <s v="Todo bien"/>
    <x v="1"/>
    <x v="1"/>
    <n v="696.99637544647112"/>
    <x v="1"/>
    <x v="2"/>
    <s v="Pequeña"/>
    <x v="1"/>
    <n v="1600.0825849076082"/>
  </r>
  <r>
    <s v="Bestech Park View Sanskruti"/>
    <x v="6"/>
    <n v="8333"/>
    <n v="4"/>
    <x v="5"/>
    <x v="0"/>
    <s v=" Sector 92 Gurgaon"/>
    <n v="0"/>
    <n v="0"/>
    <n v="5"/>
    <n v="12"/>
    <n v="3"/>
    <x v="2"/>
    <n v="19"/>
    <n v="1"/>
    <n v="0"/>
    <n v="0"/>
    <n v="0"/>
    <n v="2400"/>
    <m/>
    <n v="247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DLF The Ultima"/>
    <x v="133"/>
    <n v="14603"/>
    <n v="3"/>
    <x v="4"/>
    <x v="0"/>
    <s v=" Sector 81 Gurgaon"/>
    <n v="0"/>
    <n v="0"/>
    <n v="4"/>
    <n v="27"/>
    <n v="3"/>
    <x v="1"/>
    <n v="29"/>
    <n v="1"/>
    <n v="0"/>
    <n v="0"/>
    <n v="0"/>
    <n v="1575"/>
    <m/>
    <n v="2100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50188317469001E-2"/>
    <n v="23000000"/>
    <n v="0.14602999999999999"/>
    <x v="3"/>
    <s v="Todo bien"/>
    <x v="1"/>
    <x v="4"/>
    <n v="686.07859828117455"/>
    <x v="1"/>
    <x v="2"/>
    <s v="Pequeña"/>
    <x v="2"/>
    <n v="1575.0188317469015"/>
  </r>
  <r>
    <s v="SS The Leaf"/>
    <x v="69"/>
    <n v="7467"/>
    <n v="4"/>
    <x v="4"/>
    <x v="0"/>
    <s v=" Sector 85 Gurgaon"/>
    <n v="0"/>
    <n v="0"/>
    <n v="5"/>
    <n v="9"/>
    <n v="3"/>
    <x v="2"/>
    <n v="26"/>
    <n v="0"/>
    <n v="0"/>
    <n v="0"/>
    <n v="0"/>
    <n v="2812.3744475693047"/>
    <m/>
    <n v="281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8123744475693001E-2"/>
    <n v="21000000"/>
    <n v="7.467E-2"/>
    <x v="3"/>
    <s v="Todo bien"/>
    <x v="1"/>
    <x v="3"/>
    <n v="1225.071014985936"/>
    <x v="1"/>
    <x v="3"/>
    <s v="Pequeña"/>
    <x v="2"/>
    <n v="2812.3744475693047"/>
  </r>
  <r>
    <s v="Vatika Lifestyle Homes"/>
    <x v="35"/>
    <n v="4545"/>
    <n v="3"/>
    <x v="7"/>
    <x v="0"/>
    <s v=" Sector 83 Gurgaon"/>
    <n v="0"/>
    <n v="0"/>
    <n v="3"/>
    <n v="6"/>
    <n v="1"/>
    <x v="1"/>
    <n v="15"/>
    <n v="0"/>
    <n v="0"/>
    <n v="0"/>
    <n v="0"/>
    <n v="2860.2860286028604"/>
    <m/>
    <n v="286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8602860286028601E-2"/>
    <n v="13000000"/>
    <n v="4.5449999999999997E-2"/>
    <x v="2"/>
    <s v="Todo bien"/>
    <x v="0"/>
    <x v="4"/>
    <n v="1245.9413117051706"/>
    <x v="1"/>
    <x v="3"/>
    <s v="Pequeña"/>
    <x v="2"/>
    <n v="2860.2860286028604"/>
  </r>
  <r>
    <s v="Signature Global Synera"/>
    <x v="2"/>
    <n v="6319"/>
    <n v="2"/>
    <x v="8"/>
    <x v="0"/>
    <s v=" Sector 81 Gurgaon"/>
    <n v="0"/>
    <n v="0"/>
    <n v="2"/>
    <n v="12"/>
    <n v="1"/>
    <x v="0"/>
    <n v="14"/>
    <n v="0"/>
    <n v="0"/>
    <n v="0"/>
    <n v="0"/>
    <n v="539"/>
    <m/>
    <n v="633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3301155246083003E-3"/>
    <n v="4000000"/>
    <n v="6.3189999999999996E-2"/>
    <x v="0"/>
    <s v="Todo bien"/>
    <x v="1"/>
    <x v="2"/>
    <n v="275.73999107453608"/>
    <x v="0"/>
    <x v="1"/>
    <s v="Pequeña"/>
    <x v="0"/>
    <n v="633.01155246083249"/>
  </r>
  <r>
    <s v="Tata Primanti"/>
    <x v="178"/>
    <n v="15102"/>
    <n v="3"/>
    <x v="5"/>
    <x v="2"/>
    <s v=" Sector 72 Gurgaon"/>
    <n v="0"/>
    <n v="0"/>
    <n v="4"/>
    <n v="15"/>
    <n v="3"/>
    <x v="1"/>
    <n v="40"/>
    <n v="1"/>
    <n v="0"/>
    <n v="0"/>
    <n v="0"/>
    <n v="1600"/>
    <n v="1800"/>
    <n v="218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3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2.1851410409217301E-2"/>
    <n v="33000000"/>
    <n v="0.15101999999999999"/>
    <x v="5"/>
    <s v="Todo bien"/>
    <x v="2"/>
    <x v="5"/>
    <n v="951.8479856773929"/>
    <x v="1"/>
    <x v="2"/>
    <s v="Mediana"/>
    <x v="2"/>
    <n v="2185.1410409217324"/>
  </r>
  <r>
    <s v="Shree Vardhman Victoria"/>
    <x v="8"/>
    <n v="8461"/>
    <n v="2"/>
    <x v="0"/>
    <x v="2"/>
    <s v=" Sector 70 Gurgaon"/>
    <n v="0"/>
    <n v="0"/>
    <n v="2"/>
    <n v="0"/>
    <n v="2"/>
    <x v="0"/>
    <n v="12"/>
    <n v="0"/>
    <n v="1"/>
    <n v="0"/>
    <n v="0"/>
    <n v="788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x v="2"/>
    <s v="Todo bien"/>
    <x v="1"/>
    <x v="1"/>
    <n v="566.31636448410131"/>
    <x v="1"/>
    <x v="0"/>
    <s v="Pequeña"/>
    <x v="1"/>
    <n v="1300.0827325375251"/>
  </r>
  <r>
    <s v="SS The Leaf"/>
    <x v="56"/>
    <n v="9677"/>
    <n v="2"/>
    <x v="4"/>
    <x v="0"/>
    <s v=" Sector 85 Gurgaon"/>
    <n v="0"/>
    <n v="0"/>
    <n v="2"/>
    <n v="9"/>
    <n v="3"/>
    <x v="0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05373566187E-2"/>
    <n v="12000000"/>
    <n v="9.6769999999999995E-2"/>
    <x v="2"/>
    <s v="Todo bien"/>
    <x v="0"/>
    <x v="5"/>
    <n v="540.16771838379282"/>
    <x v="1"/>
    <x v="2"/>
    <s v="Pequeña"/>
    <x v="1"/>
    <n v="1240.0537356618788"/>
  </r>
  <r>
    <s v="SS The Leaf"/>
    <x v="86"/>
    <n v="10924"/>
    <n v="4"/>
    <x v="8"/>
    <x v="0"/>
    <s v=" Sector 85 Gurgaon"/>
    <n v="0"/>
    <n v="0"/>
    <n v="5"/>
    <n v="6"/>
    <n v="3"/>
    <x v="2"/>
    <n v="12"/>
    <n v="1"/>
    <n v="0"/>
    <n v="0"/>
    <n v="0"/>
    <n v="1968"/>
    <m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435371658701E-2"/>
    <n v="21500000"/>
    <n v="0.10924"/>
    <x v="3"/>
    <s v="Todo bien"/>
    <x v="0"/>
    <x v="5"/>
    <n v="857.32381859666657"/>
    <x v="1"/>
    <x v="2"/>
    <s v="Pequeña"/>
    <x v="2"/>
    <n v="1968.1435371658733"/>
  </r>
  <r>
    <s v="SS The Leaf"/>
    <x v="6"/>
    <n v="11869"/>
    <n v="3"/>
    <x v="0"/>
    <x v="0"/>
    <s v=" Sector 85 Gurgaon"/>
    <n v="0"/>
    <n v="0"/>
    <n v="4"/>
    <n v="5"/>
    <n v="3"/>
    <x v="1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50619260257799E-2"/>
    <n v="20000000"/>
    <n v="0.11869"/>
    <x v="3"/>
    <s v="Todo bien"/>
    <x v="0"/>
    <x v="5"/>
    <n v="734.01339775886697"/>
    <x v="1"/>
    <x v="2"/>
    <s v="Pequeña"/>
    <x v="2"/>
    <n v="1685.0619260257813"/>
  </r>
  <r>
    <s v="SS The Leaf"/>
    <x v="69"/>
    <n v="8720"/>
    <n v="3"/>
    <x v="5"/>
    <x v="0"/>
    <s v=" Sector 85 Gurgaon"/>
    <n v="0"/>
    <n v="0"/>
    <n v="4"/>
    <n v="6"/>
    <n v="3"/>
    <x v="1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2568807339399E-2"/>
    <n v="21000000"/>
    <n v="8.72E-2"/>
    <x v="3"/>
    <s v="Todo bien"/>
    <x v="0"/>
    <x v="5"/>
    <n v="1049.0373014793556"/>
    <x v="1"/>
    <x v="2"/>
    <s v="Pequeña"/>
    <x v="2"/>
    <n v="2408.2568807339449"/>
  </r>
  <r>
    <s v="SS The Leaf"/>
    <x v="56"/>
    <n v="10452"/>
    <n v="2"/>
    <x v="0"/>
    <x v="0"/>
    <s v=" Sector 85 Gurgaon"/>
    <n v="0"/>
    <n v="0"/>
    <n v="2"/>
    <n v="2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10562571756E-2"/>
    <n v="12000000"/>
    <n v="0.10452"/>
    <x v="2"/>
    <s v="Todo bien"/>
    <x v="0"/>
    <x v="5"/>
    <n v="500.11509862227069"/>
    <x v="1"/>
    <x v="0"/>
    <s v="Pequeña"/>
    <x v="1"/>
    <n v="1148.105625717566"/>
  </r>
  <r>
    <s v="SS The Leaf"/>
    <x v="35"/>
    <n v="7779"/>
    <n v="2"/>
    <x v="4"/>
    <x v="0"/>
    <s v=" Sector 85 Gurgaon"/>
    <n v="0"/>
    <n v="0"/>
    <n v="2"/>
    <n v="16"/>
    <n v="3"/>
    <x v="0"/>
    <n v="26"/>
    <n v="0"/>
    <n v="0"/>
    <n v="0"/>
    <n v="1"/>
    <n v="1169"/>
    <m/>
    <n v="167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659596349099E-2"/>
    <n v="13000000"/>
    <n v="7.7789999999999998E-2"/>
    <x v="2"/>
    <s v="Todo bien"/>
    <x v="0"/>
    <x v="5"/>
    <n v="727.96031131250606"/>
    <x v="1"/>
    <x v="0"/>
    <s v="Pequeña"/>
    <x v="1"/>
    <n v="1671.1659596349145"/>
  </r>
  <r>
    <s v="SS The Leaf"/>
    <x v="35"/>
    <n v="10483"/>
    <n v="2"/>
    <x v="4"/>
    <x v="0"/>
    <s v=" Sector 85 Gurgaon"/>
    <n v="0"/>
    <n v="0"/>
    <n v="2"/>
    <n v="10"/>
    <n v="3"/>
    <x v="0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1030239435199E-2"/>
    <n v="13000000"/>
    <n v="0.10483000000000001"/>
    <x v="2"/>
    <s v="Todo bien"/>
    <x v="0"/>
    <x v="5"/>
    <n v="540.18918837164608"/>
    <x v="1"/>
    <x v="2"/>
    <s v="Pequeña"/>
    <x v="1"/>
    <n v="1240.1030239435274"/>
  </r>
  <r>
    <s v="SS The Leaf"/>
    <x v="56"/>
    <n v="7317"/>
    <n v="2"/>
    <x v="4"/>
    <x v="0"/>
    <s v=" Sector 85 Gurgaon"/>
    <n v="0"/>
    <n v="0"/>
    <n v="2"/>
    <n v="14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164001639999E-2"/>
    <n v="12000000"/>
    <n v="7.3169999999999999E-2"/>
    <x v="2"/>
    <s v="Todo bien"/>
    <x v="0"/>
    <x v="5"/>
    <n v="714.3915553915532"/>
    <x v="1"/>
    <x v="0"/>
    <s v="Pequeña"/>
    <x v="1"/>
    <n v="1640.0164001640017"/>
  </r>
  <r>
    <s v="SS The Leaf"/>
    <x v="8"/>
    <n v="6318"/>
    <n v="2"/>
    <x v="3"/>
    <x v="0"/>
    <s v=" Sector 85 Gurgaon"/>
    <n v="0"/>
    <n v="0"/>
    <n v="2"/>
    <n v="3"/>
    <n v="3"/>
    <x v="0"/>
    <n v="26"/>
    <n v="0"/>
    <n v="0"/>
    <n v="0"/>
    <n v="1"/>
    <n v="1218"/>
    <m/>
    <n v="1741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572966128499E-2"/>
    <n v="11000000"/>
    <n v="6.318E-2"/>
    <x v="2"/>
    <s v="Todo bien"/>
    <x v="0"/>
    <x v="5"/>
    <n v="758.40499523583321"/>
    <x v="1"/>
    <x v="2"/>
    <s v="Pequeña"/>
    <x v="1"/>
    <n v="1741.0572966128523"/>
  </r>
  <r>
    <s v="SS The Leaf"/>
    <x v="43"/>
    <n v="10888"/>
    <n v="2"/>
    <x v="4"/>
    <x v="0"/>
    <s v=" Sector 85 Gurgaon"/>
    <n v="0"/>
    <n v="0"/>
    <n v="2"/>
    <n v="17"/>
    <n v="3"/>
    <x v="0"/>
    <n v="26"/>
    <n v="0"/>
    <n v="0"/>
    <n v="0"/>
    <n v="1"/>
    <n v="1148"/>
    <m/>
    <n v="17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529022777301E-2"/>
    <n v="12500000"/>
    <n v="0.10888"/>
    <x v="2"/>
    <s v="Todo bien"/>
    <x v="0"/>
    <x v="5"/>
    <n v="500.0921322786524"/>
    <x v="1"/>
    <x v="0"/>
    <s v="Pequeña"/>
    <x v="1"/>
    <n v="1148.0529022777368"/>
  </r>
  <r>
    <s v="SS The Leaf"/>
    <x v="81"/>
    <n v="10017"/>
    <n v="2"/>
    <x v="4"/>
    <x v="0"/>
    <s v=" Sector 85 Gurgaon"/>
    <n v="0"/>
    <n v="0"/>
    <n v="2"/>
    <n v="18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483178596301E-2"/>
    <n v="11500000"/>
    <n v="0.10017"/>
    <x v="2"/>
    <s v="Todo bien"/>
    <x v="0"/>
    <x v="5"/>
    <n v="500.09013530497782"/>
    <x v="1"/>
    <x v="0"/>
    <s v="Pequeña"/>
    <x v="1"/>
    <n v="1148.0483178596387"/>
  </r>
  <r>
    <s v="AIPL Zen Residences"/>
    <x v="68"/>
    <n v="10257"/>
    <n v="3"/>
    <x v="2"/>
    <x v="0"/>
    <s v=" Sector 70A Gurgaon"/>
    <n v="0"/>
    <n v="0"/>
    <n v="4"/>
    <n v="20"/>
    <n v="3"/>
    <x v="1"/>
    <n v="28"/>
    <n v="0"/>
    <n v="0"/>
    <n v="0"/>
    <n v="0"/>
    <n v="1050"/>
    <n v="170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1"/>
    <n v="1"/>
    <n v="0"/>
    <n v="0"/>
    <n v="1"/>
    <n v="0"/>
    <n v="0"/>
    <n v="1"/>
    <n v="4"/>
    <n v="1"/>
    <n v="1"/>
    <n v="0"/>
    <n v="0"/>
    <n v="0"/>
    <n v="0"/>
    <n v="0"/>
    <n v="1"/>
    <n v="1.7061518962659599E-2"/>
    <n v="17500000"/>
    <n v="0.10256999999999999"/>
    <x v="3"/>
    <s v="Todo bien"/>
    <x v="2"/>
    <x v="1"/>
    <n v="743.20019408696294"/>
    <x v="1"/>
    <x v="0"/>
    <s v="Mediana"/>
    <x v="0"/>
    <n v="1706.1518962659648"/>
  </r>
  <r>
    <s v="Shree Vardhman Victoria"/>
    <x v="71"/>
    <n v="8461"/>
    <n v="3"/>
    <x v="2"/>
    <x v="0"/>
    <s v=" Sector 70 Gurgaon"/>
    <n v="0"/>
    <n v="0"/>
    <n v="5"/>
    <n v="6"/>
    <n v="3"/>
    <x v="1"/>
    <n v="18"/>
    <n v="1"/>
    <n v="0"/>
    <n v="1"/>
    <n v="0"/>
    <n v="1161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240988062801E-2"/>
    <n v="16500000"/>
    <n v="8.4610000000000005E-2"/>
    <x v="3"/>
    <s v="Todo bien"/>
    <x v="1"/>
    <x v="5"/>
    <n v="849.47454672615208"/>
    <x v="1"/>
    <x v="0"/>
    <s v="Pequeña"/>
    <x v="1"/>
    <n v="1950.1240988062875"/>
  </r>
  <r>
    <s v="Puri Emerald Bay"/>
    <x v="161"/>
    <n v="10408"/>
    <n v="4"/>
    <x v="4"/>
    <x v="0"/>
    <s v=" Sector 104 Gurgaon"/>
    <n v="0"/>
    <n v="0"/>
    <n v="4"/>
    <n v="5"/>
    <n v="3"/>
    <x v="2"/>
    <n v="29"/>
    <n v="1"/>
    <n v="0"/>
    <n v="0"/>
    <n v="0"/>
    <n v="2150"/>
    <m/>
    <n v="2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500384319754001E-2"/>
    <n v="25500000"/>
    <n v="0.10408000000000001"/>
    <x v="5"/>
    <s v="Todo bien"/>
    <x v="1"/>
    <x v="1"/>
    <n v="1067.2373556831269"/>
    <x v="1"/>
    <x v="2"/>
    <s v="Pequeña"/>
    <x v="2"/>
    <n v="2450.0384319754035"/>
  </r>
  <r>
    <s v="Tata Primanti"/>
    <x v="135"/>
    <n v="13425"/>
    <n v="4"/>
    <x v="4"/>
    <x v="0"/>
    <s v=" Sector 72 Gurgaon"/>
    <n v="0"/>
    <n v="0"/>
    <n v="4"/>
    <n v="39"/>
    <n v="3"/>
    <x v="2"/>
    <n v="40"/>
    <n v="1"/>
    <n v="0"/>
    <n v="0"/>
    <n v="0"/>
    <n v="2150"/>
    <m/>
    <n v="29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0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279329608901E-2"/>
    <n v="39000000"/>
    <n v="0.13425000000000001"/>
    <x v="5"/>
    <s v="Todo bien"/>
    <x v="1"/>
    <x v="1"/>
    <n v="1265.4308964692723"/>
    <x v="1"/>
    <x v="2"/>
    <s v="Pequeña"/>
    <x v="2"/>
    <n v="2905.0279329608938"/>
  </r>
  <r>
    <s v="MM Sierra "/>
    <x v="85"/>
    <n v="8674"/>
    <n v="2"/>
    <x v="0"/>
    <x v="0"/>
    <s v=" Sector 68 Gurgaon"/>
    <n v="0"/>
    <n v="0"/>
    <n v="2"/>
    <n v="1"/>
    <n v="3"/>
    <x v="0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002997463601E-2"/>
    <n v="10800000"/>
    <n v="8.6739999999999998E-2"/>
    <x v="2"/>
    <s v="Todo bien"/>
    <x v="1"/>
    <x v="5"/>
    <n v="542.36600296517963"/>
    <x v="1"/>
    <x v="0"/>
    <s v="Mediana"/>
    <x v="1"/>
    <n v="1245.1002997463686"/>
  </r>
  <r>
    <s v="MM Ikonic"/>
    <x v="7"/>
    <n v="9230"/>
    <n v="3"/>
    <x v="2"/>
    <x v="0"/>
    <s v=" Sector 68 Gurgaon"/>
    <n v="0"/>
    <n v="0"/>
    <n v="3"/>
    <n v="18"/>
    <n v="3"/>
    <x v="1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16251354279E-2"/>
    <n v="18000000"/>
    <n v="9.2299999999999993E-2"/>
    <x v="3"/>
    <s v="Todo bien"/>
    <x v="1"/>
    <x v="5"/>
    <n v="849.49128019501404"/>
    <x v="1"/>
    <x v="2"/>
    <s v="Grande"/>
    <x v="1"/>
    <n v="1950.1625135427953"/>
  </r>
  <r>
    <s v="MM Sierra "/>
    <x v="281"/>
    <n v="9076"/>
    <n v="2"/>
    <x v="0"/>
    <x v="0"/>
    <s v=" Sector 68 Gurgaon"/>
    <n v="0"/>
    <n v="0"/>
    <n v="2"/>
    <n v="9"/>
    <n v="3"/>
    <x v="0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0418686646E-2"/>
    <n v="11300000"/>
    <n v="9.0759999999999993E-2"/>
    <x v="2"/>
    <s v="Todo bien"/>
    <x v="1"/>
    <x v="5"/>
    <n v="542.34055037130463"/>
    <x v="1"/>
    <x v="0"/>
    <s v="Mediana"/>
    <x v="1"/>
    <n v="1245.0418686646101"/>
  </r>
  <r>
    <s v="MM Ikonic"/>
    <x v="186"/>
    <n v="9128"/>
    <n v="3"/>
    <x v="8"/>
    <x v="0"/>
    <s v=" Sector 68 Gurgaon"/>
    <n v="0"/>
    <n v="0"/>
    <n v="3"/>
    <n v="27"/>
    <n v="3"/>
    <x v="1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0438212094601E-2"/>
    <n v="17800000"/>
    <n v="9.128E-2"/>
    <x v="3"/>
    <s v="Todo bien"/>
    <x v="1"/>
    <x v="5"/>
    <n v="849.43957778483559"/>
    <x v="1"/>
    <x v="2"/>
    <s v="Grande"/>
    <x v="1"/>
    <n v="1950.0438212094655"/>
  </r>
  <r>
    <s v="MM Sierra "/>
    <x v="8"/>
    <n v="8986"/>
    <n v="2"/>
    <x v="2"/>
    <x v="0"/>
    <s v=" Sector 68 Gurgaon"/>
    <n v="0"/>
    <n v="0"/>
    <n v="2"/>
    <n v="1"/>
    <n v="3"/>
    <x v="0"/>
    <n v="15"/>
    <n v="0"/>
    <n v="0"/>
    <n v="0"/>
    <n v="0"/>
    <n v="830"/>
    <n v="1150"/>
    <n v="122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4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2241264188737999E-2"/>
    <n v="11000000"/>
    <n v="8.9859999999999995E-2"/>
    <x v="2"/>
    <s v="Todo bien"/>
    <x v="1"/>
    <x v="5"/>
    <n v="533.2297751947458"/>
    <x v="1"/>
    <x v="0"/>
    <s v="Mediana"/>
    <x v="1"/>
    <n v="1224.1264188738037"/>
  </r>
  <r>
    <s v="AIPL The Peaceful Homes"/>
    <x v="51"/>
    <n v="11627"/>
    <n v="3"/>
    <x v="2"/>
    <x v="0"/>
    <s v=" Sector 70A Gurgaon"/>
    <n v="0"/>
    <n v="0"/>
    <n v="3"/>
    <n v="15"/>
    <n v="3"/>
    <x v="1"/>
    <n v="31"/>
    <n v="0"/>
    <n v="0"/>
    <n v="0"/>
    <n v="0"/>
    <n v="1350"/>
    <m/>
    <n v="2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677130816198E-2"/>
    <n v="25000000"/>
    <n v="0.11627"/>
    <x v="3"/>
    <s v="Todo bien"/>
    <x v="1"/>
    <x v="5"/>
    <n v="936.6135952954329"/>
    <x v="1"/>
    <x v="2"/>
    <s v="Pequeña"/>
    <x v="2"/>
    <n v="2150.1677130816206"/>
  </r>
  <r>
    <s v="SS The Leaf"/>
    <x v="359"/>
    <n v="7641"/>
    <n v="3"/>
    <x v="3"/>
    <x v="0"/>
    <s v=" Sector 85 Gurgaon"/>
    <n v="0"/>
    <n v="0"/>
    <n v="4"/>
    <n v="8"/>
    <n v="3"/>
    <x v="1"/>
    <n v="26"/>
    <n v="0"/>
    <n v="0"/>
    <n v="1"/>
    <n v="0"/>
    <n v="1685"/>
    <m/>
    <n v="2408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617720193601E-2"/>
    <n v="18400000"/>
    <n v="7.6410000000000006E-2"/>
    <x v="3"/>
    <s v="Todo bien"/>
    <x v="0"/>
    <x v="5"/>
    <n v="1048.952312074332"/>
    <x v="1"/>
    <x v="2"/>
    <s v="Pequeña"/>
    <x v="2"/>
    <n v="2408.0617720193691"/>
  </r>
  <r>
    <s v="SS The Leaf"/>
    <x v="148"/>
    <n v="10094"/>
    <n v="2"/>
    <x v="5"/>
    <x v="0"/>
    <s v=" Sector 85 Gurgaon"/>
    <n v="0"/>
    <n v="0"/>
    <n v="3"/>
    <n v="12"/>
    <n v="3"/>
    <x v="0"/>
    <n v="26"/>
    <n v="0"/>
    <n v="0"/>
    <n v="1"/>
    <n v="0"/>
    <n v="1169"/>
    <n v="1420"/>
    <n v="167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901129383792E-2"/>
    <n v="11800000"/>
    <n v="0.10094"/>
    <x v="2"/>
    <s v="Todo bien"/>
    <x v="1"/>
    <x v="5"/>
    <n v="509.2216129007316"/>
    <x v="1"/>
    <x v="0"/>
    <s v="Mediana"/>
    <x v="1"/>
    <n v="1169.0112938379234"/>
  </r>
  <r>
    <s v="Shree Vardhman Victoria"/>
    <x v="337"/>
    <n v="8358"/>
    <n v="3"/>
    <x v="4"/>
    <x v="2"/>
    <s v=" Sector 70 Gurgaon"/>
    <n v="0"/>
    <n v="0"/>
    <n v="3"/>
    <n v="5"/>
    <n v="3"/>
    <x v="1"/>
    <n v="15"/>
    <n v="1"/>
    <n v="0"/>
    <n v="0"/>
    <n v="0"/>
    <n v="1161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22732711174E-2"/>
    <n v="16300000"/>
    <n v="8.3580000000000002E-2"/>
    <x v="3"/>
    <s v="Todo bien"/>
    <x v="1"/>
    <x v="1"/>
    <n v="849.51951300191035"/>
    <x v="1"/>
    <x v="0"/>
    <s v="Pequeña"/>
    <x v="1"/>
    <n v="1950.2273271117492"/>
  </r>
  <r>
    <s v="Adani MK Oyster Grande"/>
    <x v="51"/>
    <n v="7817"/>
    <n v="4"/>
    <x v="8"/>
    <x v="0"/>
    <s v=" Sector 102 Gurgaon"/>
    <n v="0"/>
    <n v="0"/>
    <n v="5"/>
    <n v="5"/>
    <n v="3"/>
    <x v="2"/>
    <n v="24"/>
    <n v="1"/>
    <n v="0"/>
    <n v="0"/>
    <n v="0"/>
    <n v="3198.1578610720226"/>
    <m/>
    <n v="3198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815786107202E-2"/>
    <n v="25000000"/>
    <n v="7.8170000000000003E-2"/>
    <x v="3"/>
    <s v="Todo bien"/>
    <x v="0"/>
    <x v="3"/>
    <n v="1393.1183667007795"/>
    <x v="1"/>
    <x v="3"/>
    <s v="Pequeña"/>
    <x v="3"/>
    <n v="3198.1578610720226"/>
  </r>
  <r>
    <s v="MM Woodshire"/>
    <x v="59"/>
    <n v="6141"/>
    <n v="3"/>
    <x v="8"/>
    <x v="0"/>
    <s v=" Sector 107 Gurgaon"/>
    <n v="0"/>
    <n v="0"/>
    <n v="4"/>
    <n v="7"/>
    <n v="3"/>
    <x v="1"/>
    <n v="14"/>
    <n v="1"/>
    <n v="0"/>
    <n v="0"/>
    <n v="0"/>
    <n v="2361.1789610812571"/>
    <n v="1900"/>
    <n v="2361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611789610812499E-2"/>
    <n v="14500000"/>
    <n v="6.1409999999999999E-2"/>
    <x v="2"/>
    <s v="Todo bien"/>
    <x v="0"/>
    <x v="3"/>
    <n v="1028.5301478667939"/>
    <x v="1"/>
    <x v="2"/>
    <s v="Grande"/>
    <x v="2"/>
    <n v="2361.1789610812571"/>
  </r>
  <r>
    <s v="Experion The Heartsong"/>
    <x v="56"/>
    <n v="6825"/>
    <n v="3"/>
    <x v="8"/>
    <x v="0"/>
    <s v=" Sector 108 Gurgaon"/>
    <n v="0"/>
    <n v="0"/>
    <n v="3"/>
    <n v="10"/>
    <n v="3"/>
    <x v="1"/>
    <n v="14"/>
    <n v="0"/>
    <n v="1"/>
    <n v="0"/>
    <n v="0"/>
    <n v="974.68"/>
    <n v="1275.53"/>
    <n v="1758"/>
    <n v="0"/>
    <n v="0"/>
    <n v="0"/>
    <n v="1"/>
    <n v="0"/>
    <n v="1"/>
    <n v="0"/>
    <n v="1"/>
    <n v="1"/>
    <n v="1"/>
    <n v="1"/>
    <n v="1"/>
    <n v="1"/>
    <n v="0"/>
    <n v="1"/>
    <n v="1"/>
    <n v="1"/>
    <n v="46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82417582417499E-2"/>
    <n v="12000000"/>
    <n v="6.8250000000000005E-2"/>
    <x v="2"/>
    <s v="Todo bien"/>
    <x v="0"/>
    <x v="4"/>
    <n v="765.89055103296346"/>
    <x v="1"/>
    <x v="0"/>
    <s v="Mediana"/>
    <x v="1"/>
    <n v="1758.2417582417581"/>
  </r>
  <r>
    <s v="Experion The Heartsong"/>
    <x v="26"/>
    <n v="7988"/>
    <n v="3"/>
    <x v="8"/>
    <x v="0"/>
    <s v=" Sector 108 Gurgaon"/>
    <n v="0"/>
    <n v="0"/>
    <n v="4"/>
    <n v="3"/>
    <n v="3"/>
    <x v="1"/>
    <n v="14"/>
    <n v="1"/>
    <n v="0"/>
    <n v="0"/>
    <n v="0"/>
    <n v="1140.98"/>
    <n v="1500.29"/>
    <n v="200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1"/>
    <x v="0"/>
    <x v="1"/>
    <n v="0"/>
    <n v="4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0300450676014E-2"/>
    <n v="16000000"/>
    <n v="7.9880000000000007E-2"/>
    <x v="3"/>
    <s v="Todo bien"/>
    <x v="1"/>
    <x v="1"/>
    <n v="872.50926569854778"/>
    <x v="1"/>
    <x v="0"/>
    <s v="Mediana"/>
    <x v="2"/>
    <n v="2003.00450676014"/>
  </r>
  <r>
    <s v="Pyramid Urban"/>
    <x v="216"/>
    <n v="11854"/>
    <n v="2"/>
    <x v="8"/>
    <x v="0"/>
    <s v=" Sector 67A Gurgaon"/>
    <n v="0"/>
    <n v="0"/>
    <n v="2"/>
    <n v="2"/>
    <n v="2"/>
    <x v="0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1"/>
    <n v="1"/>
    <n v="0"/>
    <n v="0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3020077610002E-3"/>
    <n v="6200000"/>
    <n v="0.11854000000000001"/>
    <x v="1"/>
    <s v="Todo bien"/>
    <x v="0"/>
    <x v="3"/>
    <n v="227.83208668634657"/>
    <x v="0"/>
    <x v="1"/>
    <s v="Pequeña"/>
    <x v="0"/>
    <n v="523.03020077610927"/>
  </r>
  <r>
    <s v="Pyramid Urban"/>
    <x v="52"/>
    <n v="10516"/>
    <n v="2"/>
    <x v="6"/>
    <x v="0"/>
    <s v=" Sector 67A Gurgaon"/>
    <n v="0"/>
    <n v="0"/>
    <n v="2"/>
    <n v="3"/>
    <n v="2"/>
    <x v="0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0"/>
    <n v="1"/>
    <n v="0"/>
    <n v="1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1255230125E-3"/>
    <n v="5500000"/>
    <n v="0.10516"/>
    <x v="1"/>
    <s v="Todo bien"/>
    <x v="0"/>
    <x v="3"/>
    <n v="227.82439900627389"/>
    <x v="0"/>
    <x v="1"/>
    <s v="Pequeña"/>
    <x v="0"/>
    <n v="523.01255230125525"/>
  </r>
  <r>
    <s v="Ireo Skyon"/>
    <x v="22"/>
    <n v="13936"/>
    <n v="3"/>
    <x v="8"/>
    <x v="0"/>
    <s v=" Sector 60 Gurgaon"/>
    <n v="0"/>
    <n v="0"/>
    <n v="4"/>
    <n v="5"/>
    <n v="3"/>
    <x v="1"/>
    <n v="10"/>
    <n v="1"/>
    <n v="0"/>
    <n v="0"/>
    <n v="0"/>
    <n v="1490"/>
    <n v="1640"/>
    <n v="20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0450631458094101E-2"/>
    <n v="28500000"/>
    <n v="0.13936000000000001"/>
    <x v="5"/>
    <s v="Todo bien"/>
    <x v="1"/>
    <x v="5"/>
    <n v="890.83001942092244"/>
    <x v="1"/>
    <x v="2"/>
    <s v="Mediana"/>
    <x v="2"/>
    <n v="2045.0631458094142"/>
  </r>
  <r>
    <s v="SS The Leaf"/>
    <x v="233"/>
    <n v="7987"/>
    <n v="2"/>
    <x v="0"/>
    <x v="0"/>
    <s v=" Sector 85 Gurgaon"/>
    <n v="0"/>
    <n v="0"/>
    <n v="2"/>
    <n v="5"/>
    <n v="2"/>
    <x v="0"/>
    <n v="26"/>
    <n v="1"/>
    <n v="0"/>
    <n v="0"/>
    <n v="0"/>
    <n v="1640"/>
    <m/>
    <m/>
    <n v="1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401652685614099E-2"/>
    <n v="13100000"/>
    <n v="7.9869999999999997E-2"/>
    <x v="2"/>
    <s v="Todo bien"/>
    <x v="0"/>
    <x v="3"/>
    <n v="714.4564025028161"/>
    <x v="1"/>
    <x v="2"/>
    <s v="Pequeña"/>
    <x v="0"/>
    <n v="1640.1652685614124"/>
  </r>
  <r>
    <s v="SS The Leaf"/>
    <x v="18"/>
    <n v="11178"/>
    <n v="4"/>
    <x v="0"/>
    <x v="0"/>
    <s v=" Sector 85 Gurgaon"/>
    <n v="0"/>
    <n v="0"/>
    <n v="5"/>
    <n v="4"/>
    <n v="3"/>
    <x v="2"/>
    <n v="26"/>
    <n v="1"/>
    <n v="0"/>
    <n v="1"/>
    <n v="0"/>
    <n v="1968"/>
    <n v="2390"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517266058299E-2"/>
    <n v="22000000.000000004"/>
    <n v="0.11178"/>
    <x v="3"/>
    <s v="Todo bien"/>
    <x v="0"/>
    <x v="5"/>
    <n v="857.32738591876773"/>
    <x v="1"/>
    <x v="2"/>
    <s v="Grande"/>
    <x v="2"/>
    <n v="1968.1517266058331"/>
  </r>
  <r>
    <s v="Experion Windchants"/>
    <x v="101"/>
    <n v="11538"/>
    <n v="3"/>
    <x v="5"/>
    <x v="0"/>
    <s v=" Sector 112 Gurgaon"/>
    <n v="0"/>
    <n v="0"/>
    <n v="3"/>
    <n v="2"/>
    <n v="2"/>
    <x v="1"/>
    <n v="28"/>
    <n v="0"/>
    <n v="0"/>
    <n v="0"/>
    <n v="0"/>
    <n v="2200"/>
    <n v="2600"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1"/>
    <n v="1"/>
    <n v="3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2.60010400416016E-2"/>
    <n v="30000000"/>
    <n v="0.11538"/>
    <x v="5"/>
    <s v="Todo bien"/>
    <x v="1"/>
    <x v="1"/>
    <n v="1132.6059565782605"/>
    <x v="1"/>
    <x v="2"/>
    <s v="Muy grande"/>
    <x v="2"/>
    <n v="2600.1040041601664"/>
  </r>
  <r>
    <s v="DLF New Town Heights "/>
    <x v="35"/>
    <n v="6735"/>
    <n v="3"/>
    <x v="8"/>
    <x v="0"/>
    <s v=" Sector 86 Gurgaon"/>
    <n v="0"/>
    <n v="0"/>
    <n v="3"/>
    <n v="15"/>
    <n v="3"/>
    <x v="1"/>
    <n v="22"/>
    <n v="1"/>
    <n v="0"/>
    <n v="1"/>
    <n v="0"/>
    <n v="1930.2152932442466"/>
    <n v="1715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02152932442401E-2"/>
    <n v="13000000"/>
    <n v="6.7349999999999993E-2"/>
    <x v="2"/>
    <s v="Todo bien"/>
    <x v="1"/>
    <x v="1"/>
    <n v="840.80226602820812"/>
    <x v="1"/>
    <x v="2"/>
    <s v="Mediana"/>
    <x v="1"/>
    <n v="1930.2152932442466"/>
  </r>
  <r>
    <s v="Adani MK Oyster Grande"/>
    <x v="82"/>
    <n v="7561"/>
    <n v="3"/>
    <x v="8"/>
    <x v="0"/>
    <s v=" Sector 102 Gurgaon"/>
    <n v="0"/>
    <n v="0"/>
    <n v="4"/>
    <n v="9"/>
    <n v="3"/>
    <x v="1"/>
    <n v="24"/>
    <n v="1"/>
    <n v="1"/>
    <n v="0"/>
    <n v="0"/>
    <n v="2579.0239386324561"/>
    <m/>
    <n v="2579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57902393863245E-2"/>
    <n v="19500000"/>
    <n v="7.5609999999999997E-2"/>
    <x v="3"/>
    <s v="Todo bien"/>
    <x v="1"/>
    <x v="4"/>
    <n v="1123.4234747454016"/>
    <x v="1"/>
    <x v="3"/>
    <s v="Pequeña"/>
    <x v="2"/>
    <n v="2579.0239386324561"/>
  </r>
  <r>
    <s v="Experion The Heartsong"/>
    <x v="15"/>
    <n v="7014"/>
    <n v="2"/>
    <x v="8"/>
    <x v="0"/>
    <s v=" Sector 108 Gurgaon"/>
    <n v="0"/>
    <n v="0"/>
    <n v="3"/>
    <n v="2"/>
    <n v="3"/>
    <x v="0"/>
    <n v="14"/>
    <n v="1"/>
    <n v="0"/>
    <n v="0"/>
    <n v="0"/>
    <n v="734.43"/>
    <n v="978.23"/>
    <n v="1283"/>
    <n v="0"/>
    <n v="1"/>
    <n v="1"/>
    <n v="1"/>
    <n v="1"/>
    <n v="0"/>
    <n v="0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314798973481E-2"/>
    <n v="9000000"/>
    <n v="7.0139999999999994E-2"/>
    <x v="1"/>
    <s v="Todo bien"/>
    <x v="0"/>
    <x v="5"/>
    <n v="558.93958627031395"/>
    <x v="1"/>
    <x v="0"/>
    <s v="Mediana"/>
    <x v="1"/>
    <n v="1283.1479897348163"/>
  </r>
  <r>
    <s v="MM Woodshire"/>
    <x v="56"/>
    <n v="6176"/>
    <n v="3"/>
    <x v="8"/>
    <x v="0"/>
    <s v=" Sector 107 Gurgaon"/>
    <n v="0"/>
    <n v="0"/>
    <n v="3"/>
    <n v="7"/>
    <n v="3"/>
    <x v="1"/>
    <n v="15"/>
    <n v="0"/>
    <n v="0"/>
    <n v="0"/>
    <n v="0"/>
    <n v="1550"/>
    <n v="1750"/>
    <n v="19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1"/>
    <x v="0"/>
    <x v="1"/>
    <n v="0"/>
    <n v="5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9430051813471499E-2"/>
    <n v="12000000"/>
    <n v="6.1760000000000002E-2"/>
    <x v="2"/>
    <s v="Todo bien"/>
    <x v="1"/>
    <x v="1"/>
    <n v="846.37354449481859"/>
    <x v="1"/>
    <x v="2"/>
    <s v="Mediana"/>
    <x v="1"/>
    <n v="1943.0051813471503"/>
  </r>
  <r>
    <s v="Signature Global Solera"/>
    <x v="89"/>
    <n v="6569"/>
    <n v="2"/>
    <x v="8"/>
    <x v="0"/>
    <s v=" Sector 107 Gurgaon"/>
    <n v="0"/>
    <n v="0"/>
    <n v="2"/>
    <n v="9"/>
    <n v="1"/>
    <x v="0"/>
    <n v="14"/>
    <n v="0"/>
    <n v="0"/>
    <n v="0"/>
    <n v="0"/>
    <n v="548.02861927233982"/>
    <m/>
    <n v="548"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1"/>
    <x v="1"/>
    <x v="1"/>
    <x v="1"/>
    <x v="1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4802861927233E-3"/>
    <n v="3600000"/>
    <n v="6.5689999999999998E-2"/>
    <x v="0"/>
    <s v="Todo bien"/>
    <x v="0"/>
    <x v="1"/>
    <n v="238.72140405540753"/>
    <x v="0"/>
    <x v="1"/>
    <s v="Pequeña"/>
    <x v="0"/>
    <n v="548.02861927233982"/>
  </r>
  <r>
    <s v="Signature Global Solera"/>
    <x v="316"/>
    <n v="6751"/>
    <n v="2"/>
    <x v="8"/>
    <x v="0"/>
    <s v=" Sector 107 Gurgaon"/>
    <n v="0"/>
    <n v="0"/>
    <n v="2"/>
    <n v="10"/>
    <n v="1"/>
    <x v="0"/>
    <n v="14"/>
    <n v="0"/>
    <n v="0"/>
    <n v="0"/>
    <n v="0"/>
    <n v="548.06695304399352"/>
    <m/>
    <n v="548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806695304399E-3"/>
    <n v="3700000"/>
    <n v="6.7510000000000001E-2"/>
    <x v="0"/>
    <s v="Todo bien"/>
    <x v="0"/>
    <x v="4"/>
    <n v="238.73810225596057"/>
    <x v="0"/>
    <x v="1"/>
    <s v="Pequeña"/>
    <x v="0"/>
    <n v="548.06695304399352"/>
  </r>
  <r>
    <s v="Signature Global Solera"/>
    <x v="1"/>
    <n v="4761"/>
    <n v="3"/>
    <x v="8"/>
    <x v="0"/>
    <s v=" Sector 107 Gurgaon"/>
    <n v="0"/>
    <n v="0"/>
    <n v="2"/>
    <n v="5"/>
    <n v="2"/>
    <x v="1"/>
    <n v="14"/>
    <n v="0"/>
    <n v="0"/>
    <n v="0"/>
    <n v="0"/>
    <n v="645"/>
    <n v="850"/>
    <n v="105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995379121999E-2"/>
    <n v="5000000"/>
    <n v="4.761E-2"/>
    <x v="1"/>
    <s v="Todo bien"/>
    <x v="0"/>
    <x v="0"/>
    <n v="457.46718220961839"/>
    <x v="0"/>
    <x v="0"/>
    <s v="Mediana"/>
    <x v="1"/>
    <n v="1050.1995379122034"/>
  </r>
  <r>
    <s v="Beverley park "/>
    <x v="360"/>
    <n v="16230"/>
    <n v="4"/>
    <x v="2"/>
    <x v="5"/>
    <s v=" Sushant Lok Phase 1"/>
    <n v="0"/>
    <n v="0"/>
    <n v="5"/>
    <n v="9"/>
    <n v="3"/>
    <x v="2"/>
    <n v="9"/>
    <n v="1"/>
    <n v="0"/>
    <n v="0"/>
    <n v="0"/>
    <n v="4900"/>
    <n v="5000"/>
    <n v="5200"/>
    <n v="1"/>
    <n v="1"/>
    <n v="1"/>
    <n v="1"/>
    <n v="0"/>
    <n v="1"/>
    <n v="1"/>
    <n v="1"/>
    <n v="0"/>
    <n v="1"/>
    <n v="1"/>
    <n v="1"/>
    <n v="1"/>
    <n v="1"/>
    <n v="1"/>
    <n v="0"/>
    <n v="1"/>
    <n v="53"/>
    <x v="0"/>
    <x v="0"/>
    <x v="0"/>
    <x v="0"/>
    <x v="0"/>
    <x v="1"/>
    <x v="1"/>
    <x v="1"/>
    <x v="0"/>
    <n v="0"/>
    <n v="6"/>
    <n v="1"/>
    <n v="6"/>
    <n v="1"/>
    <n v="1"/>
    <n v="1"/>
    <n v="1"/>
    <n v="1"/>
    <n v="0"/>
    <n v="0"/>
    <n v="1"/>
    <n v="0"/>
    <n v="0"/>
    <n v="1"/>
    <n v="6"/>
    <n v="1"/>
    <n v="1"/>
    <n v="0"/>
    <n v="0"/>
    <n v="0"/>
    <n v="0"/>
    <n v="0"/>
    <n v="1"/>
    <n v="5.20024645717806E-2"/>
    <n v="84400000"/>
    <n v="0.1623"/>
    <x v="6"/>
    <s v="Todo bien"/>
    <x v="2"/>
    <x v="5"/>
    <n v="2265.2286614885993"/>
    <x v="3"/>
    <x v="3"/>
    <s v="Muy grande"/>
    <x v="3"/>
    <n v="5200.2464571780656"/>
  </r>
  <r>
    <s v="Mapsko Royale Ville"/>
    <x v="210"/>
    <n v="6256"/>
    <n v="3"/>
    <x v="2"/>
    <x v="0"/>
    <s v=" Sector 82 Gurgaon"/>
    <n v="0"/>
    <n v="0"/>
    <n v="3"/>
    <n v="12"/>
    <n v="2"/>
    <x v="1"/>
    <n v="18"/>
    <n v="0"/>
    <n v="0"/>
    <n v="1"/>
    <n v="0"/>
    <n v="1400"/>
    <m/>
    <n v="17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902813299232701E-2"/>
    <n v="11200000"/>
    <n v="6.2560000000000004E-2"/>
    <x v="2"/>
    <s v="Todo bien"/>
    <x v="0"/>
    <x v="1"/>
    <n v="779.84699649616221"/>
    <x v="1"/>
    <x v="2"/>
    <s v="Pequeña"/>
    <x v="1"/>
    <n v="1790.2813299232735"/>
  </r>
  <r>
    <s v="Mapsko Royale Ville"/>
    <x v="210"/>
    <n v="8000"/>
    <n v="3"/>
    <x v="7"/>
    <x v="0"/>
    <s v=" Sector 82 Gurgaon"/>
    <n v="0"/>
    <n v="0"/>
    <n v="4"/>
    <n v="6"/>
    <n v="2"/>
    <x v="1"/>
    <n v="18"/>
    <n v="1"/>
    <n v="0"/>
    <n v="1"/>
    <n v="0"/>
    <n v="1400"/>
    <n v="1500"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E-2"/>
    <n v="11200000"/>
    <n v="0.08"/>
    <x v="2"/>
    <s v="Todo bien"/>
    <x v="0"/>
    <x v="5"/>
    <n v="609.84035126000003"/>
    <x v="1"/>
    <x v="2"/>
    <s v="Mediana"/>
    <x v="1"/>
    <n v="1400"/>
  </r>
  <r>
    <s v="Signature Global Synera"/>
    <x v="95"/>
    <n v="6500"/>
    <n v="2"/>
    <x v="6"/>
    <x v="0"/>
    <s v=" Sector 81 Gurgaon"/>
    <n v="0"/>
    <n v="0"/>
    <n v="2"/>
    <n v="6"/>
    <n v="2"/>
    <x v="0"/>
    <n v="12"/>
    <n v="0"/>
    <n v="0"/>
    <n v="0"/>
    <n v="0"/>
    <n v="600"/>
    <m/>
    <m/>
    <n v="1"/>
    <n v="1"/>
    <n v="1"/>
    <n v="0"/>
    <n v="0"/>
    <n v="0"/>
    <n v="0"/>
    <n v="1"/>
    <n v="0"/>
    <n v="1"/>
    <n v="0"/>
    <n v="0"/>
    <n v="1"/>
    <n v="0"/>
    <n v="1"/>
    <n v="0"/>
    <n v="0"/>
    <n v="2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x v="0"/>
    <s v="Todo bien"/>
    <x v="0"/>
    <x v="1"/>
    <n v="261.36015054000001"/>
    <x v="0"/>
    <x v="1"/>
    <s v="Pequeña"/>
    <x v="0"/>
    <n v="600"/>
  </r>
  <r>
    <s v="Signature Global Synera"/>
    <x v="94"/>
    <n v="9500"/>
    <n v="1"/>
    <x v="6"/>
    <x v="0"/>
    <s v=" Sector 81 Gurgaon"/>
    <n v="0"/>
    <n v="0"/>
    <n v="1"/>
    <n v="3"/>
    <n v="2"/>
    <x v="3"/>
    <n v="12"/>
    <n v="0"/>
    <n v="0"/>
    <n v="0"/>
    <n v="0"/>
    <n v="400"/>
    <m/>
    <m/>
    <n v="1"/>
    <n v="0"/>
    <n v="1"/>
    <n v="0"/>
    <n v="0"/>
    <n v="0"/>
    <n v="0"/>
    <n v="1"/>
    <n v="0"/>
    <n v="1"/>
    <n v="0"/>
    <n v="0"/>
    <n v="1"/>
    <n v="0"/>
    <n v="1"/>
    <n v="0"/>
    <n v="0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000000000000001E-3"/>
    <n v="3800000"/>
    <n v="9.5000000000000001E-2"/>
    <x v="0"/>
    <s v="Todo bien"/>
    <x v="0"/>
    <x v="0"/>
    <n v="174.24010036000001"/>
    <x v="0"/>
    <x v="1"/>
    <s v="Pequeña"/>
    <x v="0"/>
    <n v="400"/>
  </r>
  <r>
    <s v="Shree Vardhman Victoria"/>
    <x v="71"/>
    <n v="8461"/>
    <n v="3"/>
    <x v="7"/>
    <x v="0"/>
    <s v=" Sector 70 Gurgaon"/>
    <n v="0"/>
    <n v="0"/>
    <n v="3"/>
    <n v="6"/>
    <n v="2"/>
    <x v="1"/>
    <n v="18"/>
    <n v="0"/>
    <n v="1"/>
    <n v="0"/>
    <n v="0"/>
    <n v="1950"/>
    <m/>
    <m/>
    <n v="1"/>
    <n v="1"/>
    <n v="1"/>
    <n v="1"/>
    <n v="1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3"/>
    <n v="849.47454672615208"/>
    <x v="1"/>
    <x v="2"/>
    <s v="Pequeña"/>
    <x v="0"/>
    <n v="1950.1240988062875"/>
  </r>
  <r>
    <s v="Shree Vardhman Victoria"/>
    <x v="81"/>
    <n v="8518"/>
    <n v="2"/>
    <x v="6"/>
    <x v="0"/>
    <s v=" Sector 70 Gurgaon"/>
    <n v="0"/>
    <n v="0"/>
    <n v="2"/>
    <n v="6"/>
    <n v="2"/>
    <x v="0"/>
    <n v="18"/>
    <n v="0"/>
    <n v="1"/>
    <n v="0"/>
    <n v="0"/>
    <n v="1350"/>
    <m/>
    <m/>
    <n v="1"/>
    <n v="1"/>
    <n v="1"/>
    <n v="1"/>
    <n v="1"/>
    <n v="0"/>
    <n v="0"/>
    <n v="1"/>
    <n v="1"/>
    <n v="1"/>
    <n v="1"/>
    <n v="0"/>
    <n v="1"/>
    <n v="1"/>
    <n v="0"/>
    <n v="1"/>
    <n v="1"/>
    <n v="46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8217891523E-2"/>
    <n v="11500000"/>
    <n v="8.5180000000000006E-2"/>
    <x v="2"/>
    <s v="Todo bien"/>
    <x v="0"/>
    <x v="4"/>
    <n v="588.09613587109288"/>
    <x v="1"/>
    <x v="2"/>
    <s v="Pequeña"/>
    <x v="0"/>
    <n v="1350.0821789152383"/>
  </r>
  <r>
    <s v="Ireo Skyon"/>
    <x v="86"/>
    <n v="23344"/>
    <n v="2"/>
    <x v="4"/>
    <x v="0"/>
    <s v=" Sector 60 Gurgaon"/>
    <n v="0"/>
    <n v="0"/>
    <n v="3"/>
    <n v="5"/>
    <n v="2"/>
    <x v="0"/>
    <n v="12"/>
    <n v="1"/>
    <n v="0"/>
    <n v="0"/>
    <n v="0"/>
    <n v="921"/>
    <n v="1250"/>
    <n v="152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4"/>
    <n v="1"/>
    <n v="5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9.2100753941054998E-3"/>
    <n v="21500000"/>
    <n v="0.23344000000000001"/>
    <x v="3"/>
    <s v="Todo bien"/>
    <x v="1"/>
    <x v="1"/>
    <n v="401.19111524802724"/>
    <x v="0"/>
    <x v="0"/>
    <s v="Mediana"/>
    <x v="1"/>
    <n v="921.00753941055518"/>
  </r>
  <r>
    <s v="Tulip Ivory"/>
    <x v="69"/>
    <n v="8750"/>
    <n v="4"/>
    <x v="0"/>
    <x v="5"/>
    <s v=" Sector 70 Gurgaon"/>
    <n v="0"/>
    <n v="0"/>
    <n v="5"/>
    <n v="5"/>
    <n v="3"/>
    <x v="2"/>
    <n v="12"/>
    <n v="1"/>
    <n v="0"/>
    <n v="0"/>
    <n v="0"/>
    <n v="1850"/>
    <m/>
    <n v="24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E-2"/>
    <n v="21000000"/>
    <n v="8.7499999999999994E-2"/>
    <x v="3"/>
    <s v="Todo bien"/>
    <x v="1"/>
    <x v="4"/>
    <n v="1045.44060216"/>
    <x v="1"/>
    <x v="2"/>
    <s v="Pequeña"/>
    <x v="2"/>
    <n v="2400"/>
  </r>
  <r>
    <s v="Tulip Ivory"/>
    <x v="6"/>
    <n v="8333"/>
    <n v="4"/>
    <x v="4"/>
    <x v="5"/>
    <s v=" Sector 70 Gurgaon"/>
    <n v="0"/>
    <n v="0"/>
    <n v="5"/>
    <n v="6"/>
    <n v="3"/>
    <x v="2"/>
    <n v="12"/>
    <n v="1"/>
    <n v="0"/>
    <n v="0"/>
    <n v="0"/>
    <n v="1850"/>
    <m/>
    <n v="240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0960038401499E-2"/>
    <n v="20000000"/>
    <n v="8.3330000000000001E-2"/>
    <x v="3"/>
    <s v="Todo bien"/>
    <x v="1"/>
    <x v="5"/>
    <n v="1045.4824214568566"/>
    <x v="1"/>
    <x v="2"/>
    <s v="Pequeña"/>
    <x v="2"/>
    <n v="2400.0960038401536"/>
  </r>
  <r>
    <s v="Orchid Petals"/>
    <x v="49"/>
    <n v="10526"/>
    <n v="3"/>
    <x v="7"/>
    <x v="5"/>
    <s v=" Sector 49 Gurgaon"/>
    <n v="0"/>
    <n v="0"/>
    <n v="3"/>
    <n v="9"/>
    <n v="3"/>
    <x v="1"/>
    <n v="14"/>
    <n v="1"/>
    <n v="0"/>
    <n v="0"/>
    <n v="0"/>
    <n v="1805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0"/>
    <x v="1"/>
    <x v="0"/>
    <x v="0"/>
    <x v="1"/>
    <x v="0"/>
    <x v="0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505415162454E-2"/>
    <n v="19000000"/>
    <n v="0.10526000000000001"/>
    <x v="3"/>
    <s v="Todo bien"/>
    <x v="0"/>
    <x v="4"/>
    <n v="786.28204133573638"/>
    <x v="1"/>
    <x v="2"/>
    <s v="Pequeña"/>
    <x v="0"/>
    <n v="1805.0541516245487"/>
  </r>
  <r>
    <s v="New Sathi Apartments"/>
    <x v="244"/>
    <n v="7066"/>
    <n v="3"/>
    <x v="5"/>
    <x v="5"/>
    <s v=" Suncity"/>
    <n v="0"/>
    <n v="0"/>
    <n v="3"/>
    <n v="3"/>
    <n v="3"/>
    <x v="1"/>
    <n v="9"/>
    <n v="0"/>
    <n v="1"/>
    <n v="0"/>
    <n v="0"/>
    <n v="2250.2122841777527"/>
    <n v="225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02122841777501E-2"/>
    <n v="15900000"/>
    <n v="7.0660000000000001E-2"/>
    <x v="3"/>
    <s v="Todo bien"/>
    <x v="1"/>
    <x v="4"/>
    <n v="980.19303556609009"/>
    <x v="1"/>
    <x v="2"/>
    <s v="Grande"/>
    <x v="0"/>
    <n v="2250.2122841777527"/>
  </r>
  <r>
    <s v="Kanchanjanga Tower"/>
    <x v="59"/>
    <n v="7631"/>
    <n v="3"/>
    <x v="5"/>
    <x v="5"/>
    <s v=" Sector 56 Gurgaon"/>
    <n v="0"/>
    <n v="0"/>
    <n v="3"/>
    <n v="2"/>
    <n v="3"/>
    <x v="1"/>
    <n v="6"/>
    <n v="0"/>
    <n v="0"/>
    <n v="0"/>
    <n v="0"/>
    <n v="1900.1441488664657"/>
    <m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x v="2"/>
    <s v="Todo bien"/>
    <x v="1"/>
    <x v="4"/>
    <n v="827.70326799239695"/>
    <x v="1"/>
    <x v="2"/>
    <s v="Pequeña"/>
    <x v="1"/>
    <n v="1900.1441488664657"/>
  </r>
  <r>
    <s v="Guru Gram Haryana CGHS"/>
    <x v="274"/>
    <n v="7227"/>
    <n v="3"/>
    <x v="5"/>
    <x v="5"/>
    <s v=" Sector 56 Gurgaon"/>
    <n v="0"/>
    <n v="0"/>
    <n v="3"/>
    <n v="4"/>
    <n v="3"/>
    <x v="1"/>
    <n v="10"/>
    <n v="0"/>
    <n v="1"/>
    <n v="0"/>
    <n v="0"/>
    <n v="1923.3430192334301"/>
    <m/>
    <n v="1920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9233430192334301E-2"/>
    <n v="13900000"/>
    <n v="7.2270000000000001E-2"/>
    <x v="2"/>
    <s v="Todo bien"/>
    <x v="1"/>
    <x v="4"/>
    <n v="837.80870174484573"/>
    <x v="1"/>
    <x v="2"/>
    <s v="Pequeña"/>
    <x v="1"/>
    <n v="1923.3430192334301"/>
  </r>
  <r>
    <s v="Parsvnath Exotica"/>
    <x v="227"/>
    <n v="17271"/>
    <n v="3"/>
    <x v="2"/>
    <x v="0"/>
    <s v=" Sector 53 Gurgaon"/>
    <n v="0"/>
    <n v="0"/>
    <n v="4"/>
    <n v="8"/>
    <n v="3"/>
    <x v="1"/>
    <n v="18"/>
    <n v="1"/>
    <n v="0"/>
    <n v="1"/>
    <n v="0"/>
    <n v="2200"/>
    <n v="2500"/>
    <n v="28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0"/>
    <n v="0"/>
    <n v="6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2.89502634473973E-2"/>
    <n v="50000000"/>
    <n v="0.17271"/>
    <x v="4"/>
    <s v="Todo bien"/>
    <x v="1"/>
    <x v="1"/>
    <n v="1261.0742021307365"/>
    <x v="1"/>
    <x v="2"/>
    <s v="Grande"/>
    <x v="2"/>
    <n v="2895.0263447397369"/>
  </r>
  <r>
    <s v="Sukhshanti Apartment"/>
    <x v="71"/>
    <n v="7006"/>
    <n v="3"/>
    <x v="5"/>
    <x v="5"/>
    <s v=" Sector 56 Gurgaon"/>
    <n v="0"/>
    <n v="0"/>
    <n v="3"/>
    <n v="5"/>
    <n v="3"/>
    <x v="1"/>
    <n v="10"/>
    <n v="0"/>
    <n v="1"/>
    <n v="0"/>
    <n v="0"/>
    <n v="2355.1241792749074"/>
    <m/>
    <n v="2355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2.3551241792748999E-2"/>
    <n v="16500000"/>
    <n v="7.0059999999999997E-2"/>
    <x v="3"/>
    <s v="Todo bien"/>
    <x v="1"/>
    <x v="4"/>
    <n v="1025.8926833928031"/>
    <x v="1"/>
    <x v="2"/>
    <s v="Pequeña"/>
    <x v="2"/>
    <n v="2355.1241792749074"/>
  </r>
  <r>
    <s v="Ireo The Corridors"/>
    <x v="26"/>
    <n v="9264"/>
    <n v="3"/>
    <x v="5"/>
    <x v="2"/>
    <s v=" Sector 67A Gurgaon"/>
    <n v="0"/>
    <n v="0"/>
    <n v="3"/>
    <n v="3"/>
    <n v="2"/>
    <x v="1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72711571675302E-2"/>
    <n v="16000000"/>
    <n v="9.264E-2"/>
    <x v="3"/>
    <s v="Todo bien"/>
    <x v="1"/>
    <x v="5"/>
    <n v="752.33203955094893"/>
    <x v="1"/>
    <x v="0"/>
    <s v="Pequeña"/>
    <x v="1"/>
    <n v="1727.1157167530225"/>
  </r>
  <r>
    <s v="Guru Gram Haryana CGHS"/>
    <x v="65"/>
    <n v="7225"/>
    <n v="3"/>
    <x v="5"/>
    <x v="5"/>
    <s v=" Sector 56 Gurgaon"/>
    <n v="0"/>
    <n v="0"/>
    <n v="3"/>
    <n v="5"/>
    <n v="3"/>
    <x v="1"/>
    <n v="10"/>
    <n v="0"/>
    <n v="1"/>
    <n v="0"/>
    <n v="0"/>
    <n v="1910.0346020761247"/>
    <n v="191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1"/>
    <n v="0"/>
    <n v="0"/>
    <n v="0"/>
    <n v="2"/>
    <n v="1"/>
    <n v="0"/>
    <n v="0"/>
    <n v="0"/>
    <n v="0"/>
    <n v="0"/>
    <n v="0"/>
    <n v="2"/>
    <n v="1.9100346020761199E-2"/>
    <n v="13800000"/>
    <n v="7.2249999999999995E-2"/>
    <x v="2"/>
    <s v="Todo bien"/>
    <x v="1"/>
    <x v="4"/>
    <n v="832.01155189203951"/>
    <x v="1"/>
    <x v="2"/>
    <s v="Grande"/>
    <x v="0"/>
    <n v="1910.0346020761247"/>
  </r>
  <r>
    <s v="Ireo The Corridors"/>
    <x v="7"/>
    <n v="9370"/>
    <n v="3"/>
    <x v="5"/>
    <x v="2"/>
    <s v=" Sector 67A Gurgaon"/>
    <n v="0"/>
    <n v="0"/>
    <n v="3"/>
    <n v="3"/>
    <n v="2"/>
    <x v="1"/>
    <n v="19"/>
    <n v="0"/>
    <n v="1"/>
    <n v="0"/>
    <n v="1"/>
    <n v="1227.96"/>
    <m/>
    <n v="1921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210245464247599E-2"/>
    <n v="18000000"/>
    <n v="9.3700000000000006E-2"/>
    <x v="3"/>
    <s v="Todo bien"/>
    <x v="1"/>
    <x v="5"/>
    <n v="836.79877440768416"/>
    <x v="1"/>
    <x v="2"/>
    <s v="Pequeña"/>
    <x v="1"/>
    <n v="1921.0245464247598"/>
  </r>
  <r>
    <s v="Ireo The Corridors"/>
    <x v="335"/>
    <n v="9380"/>
    <n v="3"/>
    <x v="5"/>
    <x v="2"/>
    <s v=" Sector 67A Gurgaon"/>
    <n v="0"/>
    <n v="0"/>
    <n v="3"/>
    <n v="4"/>
    <n v="2"/>
    <x v="1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7270788912579899E-2"/>
    <n v="16200000"/>
    <n v="9.3799999999999994E-2"/>
    <x v="3"/>
    <s v="Todo bien"/>
    <x v="1"/>
    <x v="5"/>
    <n v="752.31599835607426"/>
    <x v="1"/>
    <x v="0"/>
    <s v="Pequeña"/>
    <x v="1"/>
    <n v="1727.0788912579958"/>
  </r>
  <r>
    <s v="Kiran Residency"/>
    <x v="78"/>
    <n v="6648"/>
    <n v="3"/>
    <x v="3"/>
    <x v="5"/>
    <s v=" Sector 56 Gurgaon"/>
    <n v="0"/>
    <n v="0"/>
    <n v="5"/>
    <n v="4"/>
    <n v="3"/>
    <x v="1"/>
    <n v="9"/>
    <n v="0"/>
    <n v="1"/>
    <n v="1"/>
    <n v="0"/>
    <n v="2256.317689530686"/>
    <n v="2250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63176895306802E-2"/>
    <n v="15000000"/>
    <n v="6.6479999999999997E-2"/>
    <x v="2"/>
    <s v="Todo bien"/>
    <x v="1"/>
    <x v="4"/>
    <n v="982.85255166967261"/>
    <x v="1"/>
    <x v="2"/>
    <s v="Grande"/>
    <x v="0"/>
    <n v="2256.317689530686"/>
  </r>
  <r>
    <s v="Ireo The Corridors"/>
    <x v="20"/>
    <n v="9531"/>
    <n v="3"/>
    <x v="4"/>
    <x v="2"/>
    <s v=" Sector 67A Gurgaon"/>
    <n v="0"/>
    <n v="0"/>
    <n v="4"/>
    <n v="4"/>
    <n v="3"/>
    <x v="1"/>
    <n v="19"/>
    <n v="0"/>
    <n v="1"/>
    <n v="0"/>
    <n v="1"/>
    <n v="1941.0345189382015"/>
    <n v="1941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10345189381999E-2"/>
    <n v="18500000"/>
    <n v="9.5310000000000006E-2"/>
    <x v="3"/>
    <s v="Todo bien"/>
    <x v="1"/>
    <x v="5"/>
    <n v="845.51512345504068"/>
    <x v="1"/>
    <x v="2"/>
    <s v="Grande"/>
    <x v="0"/>
    <n v="1941.0345189382015"/>
  </r>
  <r>
    <s v="Ireo The Corridors"/>
    <x v="7"/>
    <n v="14658"/>
    <n v="3"/>
    <x v="5"/>
    <x v="2"/>
    <s v=" Sector 67A Gurgaon"/>
    <n v="0"/>
    <n v="0"/>
    <n v="3"/>
    <n v="6"/>
    <n v="3"/>
    <x v="1"/>
    <n v="19"/>
    <n v="1"/>
    <n v="0"/>
    <n v="0"/>
    <n v="1"/>
    <n v="1227.96"/>
    <m/>
    <n v="192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22799836266884E-2"/>
    <n v="18000000"/>
    <n v="0.14657999999999999"/>
    <x v="3"/>
    <s v="Todo bien"/>
    <x v="1"/>
    <x v="5"/>
    <n v="534.9163948833359"/>
    <x v="1"/>
    <x v="2"/>
    <s v="Pequeña"/>
    <x v="1"/>
    <n v="1227.9983626688499"/>
  </r>
  <r>
    <s v="BPTP Terra"/>
    <x v="7"/>
    <n v="8215"/>
    <n v="4"/>
    <x v="5"/>
    <x v="0"/>
    <s v=" Sector 37D Gurgaon"/>
    <n v="0"/>
    <n v="0"/>
    <n v="3"/>
    <n v="12"/>
    <n v="3"/>
    <x v="2"/>
    <n v="23"/>
    <n v="0"/>
    <n v="1"/>
    <n v="0"/>
    <n v="0"/>
    <n v="2191.1138161898966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x v="3"/>
    <s v="Todo bien"/>
    <x v="1"/>
    <x v="4"/>
    <n v="954.44972808277271"/>
    <x v="1"/>
    <x v="2"/>
    <s v="Pequeña"/>
    <x v="2"/>
    <n v="2191.1138161898966"/>
  </r>
  <r>
    <s v="Shree Vardhman Victoria"/>
    <x v="335"/>
    <n v="13953"/>
    <n v="3"/>
    <x v="5"/>
    <x v="0"/>
    <s v=" Sector 70 Gurgaon"/>
    <n v="0"/>
    <n v="0"/>
    <n v="3"/>
    <n v="9"/>
    <n v="3"/>
    <x v="1"/>
    <n v="18"/>
    <n v="1"/>
    <n v="0"/>
    <n v="0"/>
    <n v="0"/>
    <n v="1161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10406364222701E-2"/>
    <n v="16200000"/>
    <n v="0.13952999999999999"/>
    <x v="3"/>
    <s v="Todo bien"/>
    <x v="0"/>
    <x v="4"/>
    <n v="505.74959253063656"/>
    <x v="1"/>
    <x v="0"/>
    <s v="Pequeña"/>
    <x v="1"/>
    <n v="1161.0406364222749"/>
  </r>
  <r>
    <s v="BPTP Terra"/>
    <x v="186"/>
    <n v="8124"/>
    <n v="4"/>
    <x v="4"/>
    <x v="0"/>
    <s v=" Sector 37D Gurgaon"/>
    <n v="0"/>
    <n v="0"/>
    <n v="3"/>
    <n v="10"/>
    <n v="3"/>
    <x v="2"/>
    <n v="23"/>
    <n v="1"/>
    <n v="0"/>
    <n v="0"/>
    <n v="0"/>
    <n v="2191.0388970950271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388970950202E-2"/>
    <n v="17800000"/>
    <n v="8.1240000000000007E-2"/>
    <x v="3"/>
    <s v="Todo bien"/>
    <x v="0"/>
    <x v="4"/>
    <n v="954.41709330625008"/>
    <x v="1"/>
    <x v="2"/>
    <s v="Pequeña"/>
    <x v="2"/>
    <n v="2191.0388970950271"/>
  </r>
  <r>
    <s v="BPTP Terra"/>
    <x v="46"/>
    <n v="8558"/>
    <n v="3"/>
    <x v="8"/>
    <x v="0"/>
    <s v=" Sector 37D Gurgaon"/>
    <n v="0"/>
    <n v="0"/>
    <n v="3"/>
    <n v="11"/>
    <n v="3"/>
    <x v="1"/>
    <n v="23"/>
    <n v="0"/>
    <n v="0"/>
    <n v="0"/>
    <n v="0"/>
    <n v="1811.1708343070811"/>
    <m/>
    <n v="1811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708343070802E-2"/>
    <n v="15500000"/>
    <n v="8.5580000000000003E-2"/>
    <x v="3"/>
    <s v="Todo bien"/>
    <x v="1"/>
    <x v="4"/>
    <n v="788.94646984692645"/>
    <x v="1"/>
    <x v="2"/>
    <s v="Pequeña"/>
    <x v="1"/>
    <n v="1811.1708343070811"/>
  </r>
  <r>
    <s v="Millenium Bajrang Society"/>
    <x v="51"/>
    <n v="9433"/>
    <n v="4"/>
    <x v="8"/>
    <x v="0"/>
    <s v=" Sector 43 Gurgaon"/>
    <n v="0"/>
    <n v="0"/>
    <n v="4"/>
    <n v="2"/>
    <n v="3"/>
    <x v="2"/>
    <n v="12"/>
    <n v="0"/>
    <n v="0"/>
    <n v="0"/>
    <n v="0"/>
    <n v="2650.2703275734125"/>
    <m/>
    <n v="265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1"/>
    <x v="1"/>
    <x v="1"/>
    <x v="0"/>
    <n v="0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6502703275734101E-2"/>
    <n v="25000000"/>
    <n v="9.4329999999999997E-2"/>
    <x v="3"/>
    <s v="Todo bien"/>
    <x v="1"/>
    <x v="4"/>
    <n v="1154.4584196438027"/>
    <x v="1"/>
    <x v="3"/>
    <s v="Pequeña"/>
    <x v="2"/>
    <n v="2650.2703275734125"/>
  </r>
  <r>
    <s v="Unitech Uniworld Gardens"/>
    <x v="86"/>
    <n v="10306"/>
    <n v="3"/>
    <x v="4"/>
    <x v="5"/>
    <s v=" Sector 47 Gurgaon"/>
    <n v="0"/>
    <n v="0"/>
    <n v="4"/>
    <n v="10"/>
    <n v="3"/>
    <x v="1"/>
    <n v="19"/>
    <n v="1"/>
    <n v="0"/>
    <n v="0"/>
    <n v="0"/>
    <n v="1750"/>
    <n v="1950"/>
    <n v="208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61633999611801E-2"/>
    <n v="21500000"/>
    <n v="0.10306"/>
    <x v="3"/>
    <s v="Todo bien"/>
    <x v="0"/>
    <x v="1"/>
    <n v="908.73330044148713"/>
    <x v="1"/>
    <x v="2"/>
    <s v="Grande"/>
    <x v="2"/>
    <n v="2086.1633999611877"/>
  </r>
  <r>
    <s v="Experion Windchants"/>
    <x v="142"/>
    <n v="11529"/>
    <n v="4"/>
    <x v="2"/>
    <x v="5"/>
    <s v=" Sector 112 Gurgaon"/>
    <n v="0"/>
    <n v="0"/>
    <n v="6"/>
    <n v="15"/>
    <n v="3"/>
    <x v="2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x v="4"/>
    <s v="Todo bien"/>
    <x v="1"/>
    <x v="5"/>
    <n v="2115.8482132361833"/>
    <x v="3"/>
    <x v="3"/>
    <s v="Muy grande"/>
    <x v="3"/>
    <n v="4857.3163327261691"/>
  </r>
  <r>
    <s v="Emaar MGF Palm Hills"/>
    <x v="43"/>
    <n v="8620"/>
    <n v="3"/>
    <x v="5"/>
    <x v="0"/>
    <s v=" Sector 77 Gurgaon"/>
    <n v="0"/>
    <n v="0"/>
    <n v="4"/>
    <n v="3"/>
    <n v="3"/>
    <x v="1"/>
    <n v="13"/>
    <n v="1"/>
    <n v="1"/>
    <n v="0"/>
    <n v="0"/>
    <n v="1177"/>
    <m/>
    <n v="1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1"/>
    <n v="631.67089747679711"/>
    <x v="1"/>
    <x v="0"/>
    <s v="Pequeña"/>
    <x v="1"/>
    <n v="1450.1160092807424"/>
  </r>
  <r>
    <s v="Umang Winter Hills"/>
    <x v="8"/>
    <n v="5296"/>
    <n v="3"/>
    <x v="5"/>
    <x v="0"/>
    <s v=" Sector 77 Gurgaon"/>
    <n v="0"/>
    <n v="0"/>
    <n v="4"/>
    <n v="9"/>
    <n v="3"/>
    <x v="1"/>
    <n v="18"/>
    <n v="1"/>
    <n v="0"/>
    <n v="0"/>
    <n v="0"/>
    <n v="1600"/>
    <m/>
    <n v="207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07703927492447E-2"/>
    <n v="11000000"/>
    <n v="5.296E-2"/>
    <x v="2"/>
    <s v="Todo bien"/>
    <x v="0"/>
    <x v="1"/>
    <n v="904.75882928625322"/>
    <x v="1"/>
    <x v="2"/>
    <s v="Pequeña"/>
    <x v="2"/>
    <n v="2077.0392749244711"/>
  </r>
  <r>
    <s v="Suncity Platinum Towers"/>
    <x v="169"/>
    <n v="22346"/>
    <n v="3"/>
    <x v="3"/>
    <x v="5"/>
    <s v=" MG Road"/>
    <n v="0"/>
    <n v="0"/>
    <n v="3"/>
    <n v="8"/>
    <n v="2"/>
    <x v="1"/>
    <n v="14"/>
    <n v="1"/>
    <n v="0"/>
    <n v="0"/>
    <n v="0"/>
    <n v="268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5044303231E-2"/>
    <n v="60000000"/>
    <n v="0.22345999999999999"/>
    <x v="4"/>
    <s v="Todo bien"/>
    <x v="0"/>
    <x v="0"/>
    <n v="1169.6059721650392"/>
    <x v="1"/>
    <x v="3"/>
    <s v="Pequeña"/>
    <x v="0"/>
    <n v="2685.0443032310036"/>
  </r>
  <r>
    <s v="Suncity Platinum Towers"/>
    <x v="288"/>
    <n v="22222"/>
    <n v="4"/>
    <x v="5"/>
    <x v="5"/>
    <s v=" MG Road"/>
    <n v="0"/>
    <n v="0"/>
    <n v="3"/>
    <n v="10"/>
    <n v="2"/>
    <x v="2"/>
    <n v="14"/>
    <n v="1"/>
    <n v="0"/>
    <n v="0"/>
    <n v="0"/>
    <n v="1913"/>
    <m/>
    <n v="3150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315003150002E-2"/>
    <n v="70000000"/>
    <n v="0.22222"/>
    <x v="6"/>
    <s v="Todo bien"/>
    <x v="0"/>
    <x v="0"/>
    <n v="1372.1545118801175"/>
    <x v="1"/>
    <x v="2"/>
    <s v="Pequeña"/>
    <x v="3"/>
    <n v="3150.0315003150031"/>
  </r>
  <r>
    <s v="The Penthouses at the Hibiscus"/>
    <x v="361"/>
    <n v="8500"/>
    <n v="4"/>
    <x v="3"/>
    <x v="5"/>
    <s v=" Sector 50 Gurgaon"/>
    <n v="0"/>
    <n v="0"/>
    <n v="4"/>
    <n v="9"/>
    <n v="3"/>
    <x v="2"/>
    <n v="18"/>
    <n v="1"/>
    <n v="0"/>
    <n v="0"/>
    <n v="0"/>
    <n v="10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85000000"/>
    <n v="8.5000000000000006E-2"/>
    <x v="6"/>
    <s v="Todo bien"/>
    <x v="0"/>
    <x v="0"/>
    <n v="4356.0025090000008"/>
    <x v="2"/>
    <x v="3"/>
    <s v="Pequeña"/>
    <x v="0"/>
    <n v="10000"/>
  </r>
  <r>
    <s v="SS Hibiscus"/>
    <x v="169"/>
    <n v="12272"/>
    <n v="4"/>
    <x v="3"/>
    <x v="5"/>
    <s v=" Sector 50 Gurgaon"/>
    <n v="0"/>
    <n v="0"/>
    <n v="3"/>
    <n v="5"/>
    <n v="3"/>
    <x v="2"/>
    <n v="18"/>
    <n v="1"/>
    <n v="0"/>
    <n v="0"/>
    <n v="0"/>
    <n v="4889.1786179921774"/>
    <m/>
    <n v="440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891786179921702E-2"/>
    <n v="60000000"/>
    <n v="0.12272"/>
    <x v="4"/>
    <s v="Todo bien"/>
    <x v="0"/>
    <x v="0"/>
    <n v="2129.7274326923048"/>
    <x v="3"/>
    <x v="3"/>
    <s v="Pequeña"/>
    <x v="3"/>
    <n v="4889.1786179921774"/>
  </r>
  <r>
    <s v="The Penthouses at the Hibiscus"/>
    <x v="362"/>
    <n v="8888"/>
    <n v="4"/>
    <x v="3"/>
    <x v="5"/>
    <s v=" Sector 50 Gurgaon"/>
    <n v="0"/>
    <n v="0"/>
    <n v="3"/>
    <n v="7"/>
    <n v="3"/>
    <x v="2"/>
    <n v="18"/>
    <n v="1"/>
    <n v="0"/>
    <n v="0"/>
    <n v="0"/>
    <n v="9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2"/>
    <n v="80000000"/>
    <n v="8.8880000000000001E-2"/>
    <x v="6"/>
    <s v="Todo bien"/>
    <x v="0"/>
    <x v="0"/>
    <n v="3920.7943375337532"/>
    <x v="2"/>
    <x v="3"/>
    <s v="Pequeña"/>
    <x v="0"/>
    <n v="9000.9000900090014"/>
  </r>
  <r>
    <s v="Tata Primanti"/>
    <x v="151"/>
    <n v="11428"/>
    <n v="4"/>
    <x v="4"/>
    <x v="0"/>
    <s v=" Sector 72 Gurgaon"/>
    <n v="0"/>
    <n v="0"/>
    <n v="5"/>
    <n v="16"/>
    <n v="3"/>
    <x v="2"/>
    <n v="41"/>
    <n v="1"/>
    <n v="0"/>
    <n v="0"/>
    <n v="0"/>
    <n v="3062.6531326566328"/>
    <n v="2625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x v="5"/>
    <s v="Todo bien"/>
    <x v="0"/>
    <x v="0"/>
    <n v="1334.0924730048991"/>
    <x v="1"/>
    <x v="3"/>
    <s v="Muy grande"/>
    <x v="0"/>
    <n v="3062.6531326566328"/>
  </r>
  <r>
    <s v="Tata Primanti"/>
    <x v="127"/>
    <n v="13769"/>
    <n v="4"/>
    <x v="3"/>
    <x v="5"/>
    <s v=" Sector 72 Gurgaon"/>
    <n v="0"/>
    <n v="0"/>
    <n v="5"/>
    <n v="7"/>
    <n v="2"/>
    <x v="2"/>
    <n v="40"/>
    <n v="1"/>
    <n v="0"/>
    <n v="0"/>
    <n v="0"/>
    <n v="2905.0766213958891"/>
    <m/>
    <n v="2905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50766213958801E-2"/>
    <n v="40000000"/>
    <n v="0.13769000000000001"/>
    <x v="5"/>
    <s v="Todo bien"/>
    <x v="0"/>
    <x v="1"/>
    <n v="1265.4521051637698"/>
    <x v="1"/>
    <x v="3"/>
    <s v="Pequeña"/>
    <x v="2"/>
    <n v="2905.0766213958891"/>
  </r>
  <r>
    <s v="MM Golfestate"/>
    <x v="288"/>
    <n v="18181"/>
    <n v="3"/>
    <x v="5"/>
    <x v="5"/>
    <s v=" Sector 65 Gurgaon"/>
    <n v="0"/>
    <n v="0"/>
    <n v="3"/>
    <n v="12"/>
    <n v="2"/>
    <x v="1"/>
    <n v="40"/>
    <n v="0"/>
    <n v="0"/>
    <n v="0"/>
    <n v="1"/>
    <n v="385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501732577965998E-2"/>
    <n v="70000000"/>
    <n v="0.18181"/>
    <x v="6"/>
    <s v="Todo bien"/>
    <x v="0"/>
    <x v="3"/>
    <n v="1677.1364371046693"/>
    <x v="3"/>
    <x v="3"/>
    <s v="Pequeña"/>
    <x v="0"/>
    <n v="3850.1732577966009"/>
  </r>
  <r>
    <s v="MM Golfestate"/>
    <x v="363"/>
    <n v="12000"/>
    <n v="4"/>
    <x v="5"/>
    <x v="5"/>
    <s v=" Sector 65 Gurgaon"/>
    <n v="0"/>
    <n v="0"/>
    <n v="4"/>
    <n v="13"/>
    <n v="3"/>
    <x v="2"/>
    <n v="40"/>
    <n v="1"/>
    <n v="0"/>
    <n v="0"/>
    <n v="0"/>
    <n v="1100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1"/>
    <n v="132000000"/>
    <n v="0.12"/>
    <x v="6"/>
    <s v="Todo bien"/>
    <x v="0"/>
    <x v="3"/>
    <n v="4791.6027598999999"/>
    <x v="2"/>
    <x v="3"/>
    <s v="Pequeña"/>
    <x v="0"/>
    <n v="11000"/>
  </r>
  <r>
    <s v="Experion Windchants"/>
    <x v="156"/>
    <n v="10416"/>
    <n v="4"/>
    <x v="8"/>
    <x v="0"/>
    <s v=" Sector 112 Gurgaon"/>
    <n v="0"/>
    <n v="0"/>
    <n v="5"/>
    <n v="11"/>
    <n v="3"/>
    <x v="2"/>
    <n v="25"/>
    <n v="0"/>
    <n v="0"/>
    <n v="0"/>
    <n v="0"/>
    <n v="6240.3993855606759"/>
    <n v="4800"/>
    <m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403993855606701E-2"/>
    <n v="65000000"/>
    <n v="0.10416"/>
    <x v="6"/>
    <s v="Todo bien"/>
    <x v="0"/>
    <x v="1"/>
    <n v="2718.3195380664338"/>
    <x v="2"/>
    <x v="3"/>
    <s v="Muy grande"/>
    <x v="0"/>
    <n v="6240.3993855606759"/>
  </r>
  <r>
    <s v="Tata Primanti"/>
    <x v="107"/>
    <n v="15560"/>
    <n v="3"/>
    <x v="1"/>
    <x v="5"/>
    <s v=" Sector 72 Gurgaon"/>
    <n v="0"/>
    <n v="0"/>
    <n v="4"/>
    <n v="9"/>
    <n v="3"/>
    <x v="1"/>
    <n v="40"/>
    <n v="1"/>
    <n v="0"/>
    <n v="0"/>
    <n v="0"/>
    <n v="2185.0899742930592"/>
    <m/>
    <n v="2185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850899742930498E-2"/>
    <n v="34000000"/>
    <n v="0.15559999999999999"/>
    <x v="5"/>
    <s v="Todo bien"/>
    <x v="0"/>
    <x v="1"/>
    <n v="951.82574104112712"/>
    <x v="1"/>
    <x v="2"/>
    <s v="Pequeña"/>
    <x v="2"/>
    <n v="2185.0899742930592"/>
  </r>
  <r>
    <s v="AIPL The Peaceful Homes"/>
    <x v="153"/>
    <n v="12009"/>
    <n v="3"/>
    <x v="1"/>
    <x v="5"/>
    <s v=" Sector 70A Gurgaon"/>
    <n v="0"/>
    <n v="0"/>
    <n v="2"/>
    <n v="12"/>
    <n v="2"/>
    <x v="1"/>
    <n v="30"/>
    <n v="1"/>
    <n v="0"/>
    <n v="0"/>
    <n v="0"/>
    <n v="2165"/>
    <m/>
    <m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504288450328E-2"/>
    <n v="26000000"/>
    <n v="0.12009"/>
    <x v="5"/>
    <s v="Todo bien"/>
    <x v="0"/>
    <x v="1"/>
    <n v="943.09322369888855"/>
    <x v="1"/>
    <x v="2"/>
    <s v="Pequeña"/>
    <x v="0"/>
    <n v="2165.0428845032893"/>
  </r>
  <r>
    <s v="Tata Primanti"/>
    <x v="151"/>
    <n v="11428"/>
    <n v="4"/>
    <x v="0"/>
    <x v="0"/>
    <s v=" Sector 72 Gurgaon"/>
    <n v="0"/>
    <n v="0"/>
    <n v="5"/>
    <n v="10"/>
    <n v="3"/>
    <x v="2"/>
    <n v="40"/>
    <n v="1"/>
    <n v="0"/>
    <n v="0"/>
    <n v="0"/>
    <n v="3062.6531326566328"/>
    <n v="2625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x v="5"/>
    <s v="Todo bien"/>
    <x v="0"/>
    <x v="1"/>
    <n v="1334.0924730048991"/>
    <x v="1"/>
    <x v="3"/>
    <s v="Muy grande"/>
    <x v="0"/>
    <n v="3062.6531326566328"/>
  </r>
  <r>
    <s v="Siddhartha Apartment"/>
    <x v="108"/>
    <n v="3664"/>
    <n v="3"/>
    <x v="4"/>
    <x v="0"/>
    <s v=" Sector 95 Gurgaon"/>
    <n v="0"/>
    <n v="0"/>
    <n v="3"/>
    <n v="4"/>
    <n v="2"/>
    <x v="1"/>
    <n v="17"/>
    <n v="0"/>
    <n v="0"/>
    <n v="0"/>
    <n v="0"/>
    <n v="1600"/>
    <n v="1800"/>
    <n v="1965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650655021833999E-2"/>
    <n v="7200000"/>
    <n v="3.6639999999999999E-2"/>
    <x v="1"/>
    <s v="Todo bien"/>
    <x v="0"/>
    <x v="0"/>
    <n v="855.98302578602352"/>
    <x v="1"/>
    <x v="2"/>
    <s v="Mediana"/>
    <x v="1"/>
    <n v="1965.0655021834061"/>
  </r>
  <r>
    <s v="Experion Windchants"/>
    <x v="141"/>
    <n v="11428"/>
    <n v="3"/>
    <x v="6"/>
    <x v="0"/>
    <s v=" Sector 112 Gurgaon"/>
    <n v="0"/>
    <n v="0"/>
    <n v="5"/>
    <n v="3"/>
    <n v="2"/>
    <x v="1"/>
    <n v="28"/>
    <n v="1"/>
    <n v="0"/>
    <n v="0"/>
    <n v="0"/>
    <n v="3193.9096954847741"/>
    <n v="2800"/>
    <m/>
    <n v="1"/>
    <n v="1"/>
    <n v="1"/>
    <n v="1"/>
    <n v="0"/>
    <n v="0"/>
    <n v="1"/>
    <n v="1"/>
    <n v="1"/>
    <n v="1"/>
    <n v="0"/>
    <n v="0"/>
    <n v="1"/>
    <n v="1"/>
    <n v="1"/>
    <n v="1"/>
    <n v="1"/>
    <n v="4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39096954847701E-2"/>
    <n v="36500000"/>
    <n v="0.11428000000000001"/>
    <x v="5"/>
    <s v="Todo bien"/>
    <x v="0"/>
    <x v="3"/>
    <n v="1391.2678647051087"/>
    <x v="1"/>
    <x v="3"/>
    <s v="Muy grande"/>
    <x v="0"/>
    <n v="3193.9096954847741"/>
  </r>
  <r>
    <s v="Ramsons Kshitij"/>
    <x v="63"/>
    <n v="3650"/>
    <n v="2"/>
    <x v="7"/>
    <x v="2"/>
    <s v=" Sector 95 Gurgaon"/>
    <n v="0"/>
    <n v="0"/>
    <n v="2"/>
    <n v="5"/>
    <n v="2"/>
    <x v="0"/>
    <n v="14"/>
    <n v="0"/>
    <n v="0"/>
    <n v="0"/>
    <n v="0"/>
    <n v="767.1232876712329"/>
    <m/>
    <n v="7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6712328767123E-3"/>
    <n v="2800000"/>
    <n v="3.6499999999999998E-2"/>
    <x v="0"/>
    <s v="Todo bien"/>
    <x v="0"/>
    <x v="2"/>
    <n v="334.15909658082069"/>
    <x v="0"/>
    <x v="0"/>
    <s v="Pequeña"/>
    <x v="0"/>
    <n v="767.1232876712329"/>
  </r>
  <r>
    <s v="The Close North"/>
    <x v="364"/>
    <n v="11209"/>
    <n v="3"/>
    <x v="5"/>
    <x v="5"/>
    <s v=" Nirvana Country"/>
    <n v="0"/>
    <n v="0"/>
    <n v="3"/>
    <n v="10"/>
    <n v="3"/>
    <x v="1"/>
    <n v="18"/>
    <n v="1"/>
    <n v="0"/>
    <n v="0"/>
    <n v="0"/>
    <n v="2100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0504951378356E-2"/>
    <n v="29200000"/>
    <n v="0.11209"/>
    <x v="5"/>
    <s v="Todo bien"/>
    <x v="1"/>
    <x v="5"/>
    <n v="1134.7602218110419"/>
    <x v="1"/>
    <x v="2"/>
    <s v="Muy grande"/>
    <x v="2"/>
    <n v="2605.0495137835669"/>
  </r>
  <r>
    <s v="Unitech Fresco"/>
    <x v="258"/>
    <n v="9912"/>
    <n v="3"/>
    <x v="4"/>
    <x v="5"/>
    <s v=" Nirvana Country"/>
    <n v="0"/>
    <n v="0"/>
    <n v="3"/>
    <n v="14"/>
    <n v="3"/>
    <x v="1"/>
    <n v="19"/>
    <n v="0"/>
    <n v="0"/>
    <n v="0"/>
    <n v="0"/>
    <n v="1500"/>
    <n v="1830"/>
    <n v="18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3"/>
    <n v="1"/>
    <n v="0"/>
    <n v="0"/>
    <n v="0"/>
    <n v="0"/>
    <n v="0"/>
    <n v="0"/>
    <n v="2"/>
    <n v="1.83615819209039E-2"/>
    <n v="18200000"/>
    <n v="9.912E-2"/>
    <x v="3"/>
    <s v="Todo bien"/>
    <x v="1"/>
    <x v="5"/>
    <n v="799.83096916666432"/>
    <x v="1"/>
    <x v="2"/>
    <s v="Grande"/>
    <x v="1"/>
    <n v="1836.1581920903955"/>
  </r>
  <r>
    <s v="MM The Marina"/>
    <x v="257"/>
    <n v="8095"/>
    <n v="2"/>
    <x v="2"/>
    <x v="0"/>
    <s v=" Sector 68 Gurgaon"/>
    <n v="0"/>
    <n v="0"/>
    <n v="2"/>
    <n v="11"/>
    <n v="2"/>
    <x v="0"/>
    <n v="29"/>
    <n v="0"/>
    <n v="0"/>
    <n v="0"/>
    <n v="0"/>
    <n v="800"/>
    <n v="1250"/>
    <n v="12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3"/>
    <n v="1"/>
    <n v="1"/>
    <n v="0"/>
    <n v="0"/>
    <n v="1"/>
    <n v="3"/>
    <n v="1"/>
    <n v="0"/>
    <n v="0"/>
    <n v="0"/>
    <n v="0"/>
    <n v="0"/>
    <n v="0"/>
    <n v="2"/>
    <n v="1.2600370599135199E-2"/>
    <n v="10200000"/>
    <n v="8.0949999999999994E-2"/>
    <x v="2"/>
    <s v="Todo bien"/>
    <x v="1"/>
    <x v="1"/>
    <n v="548.8724594416276"/>
    <x v="1"/>
    <x v="0"/>
    <s v="Mediana"/>
    <x v="1"/>
    <n v="1260.0370599135269"/>
  </r>
  <r>
    <s v="Shree Vardhman Flora"/>
    <x v="53"/>
    <n v="4814"/>
    <n v="2"/>
    <x v="5"/>
    <x v="0"/>
    <s v=" Sector 90 Gurgaon"/>
    <n v="0"/>
    <n v="0"/>
    <n v="2"/>
    <n v="3"/>
    <n v="3"/>
    <x v="0"/>
    <n v="13"/>
    <n v="0"/>
    <n v="1"/>
    <n v="0"/>
    <n v="0"/>
    <n v="1350.2285002077274"/>
    <m/>
    <n v="1350"/>
    <n v="1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4"/>
    <n v="588.15987346281361"/>
    <x v="1"/>
    <x v="2"/>
    <s v="Pequeña"/>
    <x v="1"/>
    <n v="1350.2285002077274"/>
  </r>
  <r>
    <s v="GLS Avenue "/>
    <x v="95"/>
    <n v="6077"/>
    <n v="3"/>
    <x v="5"/>
    <x v="0"/>
    <s v=" Sector 92 Gurgaon"/>
    <n v="0"/>
    <n v="0"/>
    <n v="3"/>
    <n v="6"/>
    <n v="3"/>
    <x v="1"/>
    <n v="12"/>
    <n v="0"/>
    <n v="0"/>
    <n v="0"/>
    <n v="0"/>
    <n v="641.74"/>
    <m/>
    <m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176402830342996E-3"/>
    <n v="3900000"/>
    <n v="6.0769999999999998E-2"/>
    <x v="0"/>
    <s v="Todo bien"/>
    <x v="0"/>
    <x v="4"/>
    <n v="279.55257174756883"/>
    <x v="0"/>
    <x v="0"/>
    <s v="Pequeña"/>
    <x v="0"/>
    <n v="641.7640283034392"/>
  </r>
  <r>
    <s v="DLF Regal Gardens"/>
    <x v="81"/>
    <n v="6325"/>
    <n v="3"/>
    <x v="7"/>
    <x v="0"/>
    <s v=" Sector 90 Gurgaon"/>
    <n v="0"/>
    <n v="0"/>
    <n v="3"/>
    <n v="18"/>
    <n v="3"/>
    <x v="1"/>
    <n v="29"/>
    <n v="0"/>
    <n v="0"/>
    <n v="1"/>
    <n v="0"/>
    <n v="1818.1818181818182"/>
    <m/>
    <n v="1818"/>
    <n v="1"/>
    <n v="0"/>
    <n v="0"/>
    <n v="1"/>
    <n v="1"/>
    <n v="1"/>
    <n v="0"/>
    <n v="1"/>
    <n v="1"/>
    <n v="1"/>
    <n v="0"/>
    <n v="1"/>
    <n v="1"/>
    <n v="1"/>
    <n v="1"/>
    <n v="1"/>
    <n v="1"/>
    <n v="40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81818181818101E-2"/>
    <n v="11500000"/>
    <n v="6.3250000000000001E-2"/>
    <x v="2"/>
    <s v="Todo bien"/>
    <x v="1"/>
    <x v="3"/>
    <n v="792.00045618181468"/>
    <x v="1"/>
    <x v="2"/>
    <s v="Pequeña"/>
    <x v="1"/>
    <n v="1818.1818181818182"/>
  </r>
  <r>
    <s v="Emaar MGF Emerald Estate"/>
    <x v="113"/>
    <n v="13921"/>
    <n v="2"/>
    <x v="2"/>
    <x v="0"/>
    <s v=" Sector 65 Gurgaon"/>
    <n v="0"/>
    <n v="0"/>
    <n v="2"/>
    <n v="6"/>
    <n v="2"/>
    <x v="0"/>
    <n v="13"/>
    <n v="0"/>
    <n v="1"/>
    <n v="0"/>
    <n v="0"/>
    <n v="750"/>
    <n v="1010"/>
    <n v="10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2"/>
    <n v="1"/>
    <n v="0"/>
    <n v="0"/>
    <n v="0"/>
    <n v="1"/>
    <n v="3"/>
    <n v="1"/>
    <n v="1"/>
    <n v="0"/>
    <n v="0"/>
    <n v="1"/>
    <n v="3"/>
    <n v="1"/>
    <n v="0"/>
    <n v="0"/>
    <n v="0"/>
    <n v="0"/>
    <n v="0"/>
    <n v="0"/>
    <n v="2"/>
    <n v="1.02004166367358E-2"/>
    <n v="14200000"/>
    <n v="0.13921"/>
    <x v="2"/>
    <s v="Todo bien"/>
    <x v="1"/>
    <x v="5"/>
    <n v="444.33040462466488"/>
    <x v="0"/>
    <x v="0"/>
    <s v="Mediana"/>
    <x v="1"/>
    <n v="1020.0416636735866"/>
  </r>
  <r>
    <s v="Orchid Petals"/>
    <x v="168"/>
    <n v="11559"/>
    <n v="3"/>
    <x v="0"/>
    <x v="0"/>
    <s v=" Sector 49 Gurgaon"/>
    <n v="0"/>
    <n v="0"/>
    <n v="3"/>
    <n v="15"/>
    <n v="3"/>
    <x v="1"/>
    <n v="15"/>
    <n v="0"/>
    <n v="0"/>
    <n v="0"/>
    <n v="0"/>
    <n v="1750"/>
    <n v="2030"/>
    <n v="203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4784150878E-2"/>
    <n v="23500000"/>
    <n v="0.11559"/>
    <x v="3"/>
    <s v="Todo bien"/>
    <x v="0"/>
    <x v="1"/>
    <n v="885.59614985292808"/>
    <x v="1"/>
    <x v="2"/>
    <s v="Grande"/>
    <x v="2"/>
    <n v="2033.0478415087812"/>
  </r>
  <r>
    <s v="Orchid Petals"/>
    <x v="365"/>
    <n v="11497"/>
    <n v="3"/>
    <x v="0"/>
    <x v="0"/>
    <s v=" Sector 49 Gurgaon"/>
    <n v="0"/>
    <n v="0"/>
    <n v="4"/>
    <n v="1"/>
    <n v="3"/>
    <x v="1"/>
    <n v="14"/>
    <n v="0"/>
    <n v="1"/>
    <n v="0"/>
    <n v="0"/>
    <n v="1750"/>
    <n v="2061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701052448464801E-2"/>
    <n v="23800000"/>
    <n v="0.11497"/>
    <x v="3"/>
    <s v="Todo bien"/>
    <x v="1"/>
    <x v="1"/>
    <n v="901.73836404453277"/>
    <x v="1"/>
    <x v="2"/>
    <s v="Grande"/>
    <x v="2"/>
    <n v="2070.1052448464816"/>
  </r>
  <r>
    <s v="DLF New Town Heights "/>
    <x v="81"/>
    <n v="5958"/>
    <n v="3"/>
    <x v="7"/>
    <x v="0"/>
    <s v=" Sector 90 Gurgaon"/>
    <n v="0"/>
    <n v="0"/>
    <n v="3"/>
    <n v="9"/>
    <n v="3"/>
    <x v="1"/>
    <n v="19"/>
    <n v="1"/>
    <n v="0"/>
    <n v="1"/>
    <n v="0"/>
    <n v="1930.1779120510239"/>
    <m/>
    <n v="19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779120510201E-2"/>
    <n v="11500000"/>
    <n v="5.9580000000000001E-2"/>
    <x v="2"/>
    <s v="Todo bien"/>
    <x v="0"/>
    <x v="5"/>
    <n v="840.78598277106255"/>
    <x v="1"/>
    <x v="2"/>
    <s v="Pequeña"/>
    <x v="1"/>
    <n v="1930.1779120510239"/>
  </r>
  <r>
    <s v="DLF New Town Heights "/>
    <x v="26"/>
    <n v="6768"/>
    <n v="4"/>
    <x v="0"/>
    <x v="0"/>
    <s v=" Sector 90 Gurgaon"/>
    <n v="0"/>
    <n v="0"/>
    <n v="4"/>
    <n v="10"/>
    <n v="3"/>
    <x v="2"/>
    <n v="19"/>
    <n v="1"/>
    <n v="0"/>
    <n v="1"/>
    <n v="0"/>
    <n v="2364.0661938534276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0661938534199E-2"/>
    <n v="16000000"/>
    <n v="6.7680000000000004E-2"/>
    <x v="3"/>
    <s v="Todo bien"/>
    <x v="0"/>
    <x v="4"/>
    <n v="1029.7878271867578"/>
    <x v="1"/>
    <x v="2"/>
    <s v="Pequeña"/>
    <x v="2"/>
    <n v="2364.0661938534276"/>
  </r>
  <r>
    <s v="DLF New Town Heights "/>
    <x v="154"/>
    <n v="8205"/>
    <n v="3"/>
    <x v="0"/>
    <x v="5"/>
    <s v=" Sector 86 Gurgaon"/>
    <n v="0"/>
    <n v="0"/>
    <n v="4"/>
    <n v="12"/>
    <n v="3"/>
    <x v="1"/>
    <n v="22"/>
    <n v="1"/>
    <n v="0"/>
    <n v="1"/>
    <n v="0"/>
    <n v="1560"/>
    <m/>
    <n v="193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002437538086E-2"/>
    <n v="12800000"/>
    <n v="8.2049999999999998E-2"/>
    <x v="2"/>
    <s v="Todo bien"/>
    <x v="0"/>
    <x v="4"/>
    <n v="679.5470093260185"/>
    <x v="1"/>
    <x v="2"/>
    <s v="Pequeña"/>
    <x v="1"/>
    <n v="1560.0243753808654"/>
  </r>
  <r>
    <s v="DLF New Town Heights "/>
    <x v="68"/>
    <n v="5720"/>
    <n v="4"/>
    <x v="8"/>
    <x v="0"/>
    <s v=" Sector 90 Gurgaon"/>
    <n v="0"/>
    <n v="0"/>
    <n v="4"/>
    <n v="17"/>
    <n v="3"/>
    <x v="2"/>
    <n v="28"/>
    <n v="1"/>
    <n v="0"/>
    <n v="1"/>
    <n v="0"/>
    <n v="3059.4405594405594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94405594405499E-2"/>
    <n v="17500000"/>
    <n v="5.7200000000000001E-2"/>
    <x v="3"/>
    <s v="Todo bien"/>
    <x v="0"/>
    <x v="5"/>
    <n v="1332.6930753059401"/>
    <x v="1"/>
    <x v="3"/>
    <s v="Pequeña"/>
    <x v="2"/>
    <n v="3059.4405594405594"/>
  </r>
  <r>
    <s v="DLF New Town Heights"/>
    <x v="68"/>
    <n v="7402"/>
    <n v="4"/>
    <x v="8"/>
    <x v="0"/>
    <s v=" Sector 91 Gurgaon"/>
    <n v="0"/>
    <n v="0"/>
    <n v="4"/>
    <n v="9"/>
    <n v="3"/>
    <x v="2"/>
    <n v="22"/>
    <n v="1"/>
    <n v="0"/>
    <n v="1"/>
    <n v="0"/>
    <n v="2364.2258848959741"/>
    <m/>
    <n v="236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2588489597E-2"/>
    <n v="17500000"/>
    <n v="7.4020000000000002E-2"/>
    <x v="3"/>
    <s v="Todo bien"/>
    <x v="0"/>
    <x v="5"/>
    <n v="1029.8573886449592"/>
    <x v="1"/>
    <x v="2"/>
    <s v="Pequeña"/>
    <x v="2"/>
    <n v="2364.2258848959741"/>
  </r>
  <r>
    <s v="Puri Diplomatic Greens"/>
    <x v="97"/>
    <n v="11963"/>
    <n v="3"/>
    <x v="3"/>
    <x v="0"/>
    <s v=" Sector 111 Gurgaon"/>
    <n v="0"/>
    <n v="0"/>
    <n v="4"/>
    <n v="19"/>
    <n v="3"/>
    <x v="1"/>
    <n v="21"/>
    <n v="1"/>
    <n v="1"/>
    <n v="1"/>
    <n v="1"/>
    <n v="2215.1634205466858"/>
    <m/>
    <n v="221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1516342054668E-2"/>
    <n v="26500000"/>
    <n v="0.11963"/>
    <x v="5"/>
    <s v="Todo bien"/>
    <x v="0"/>
    <x v="3"/>
    <n v="964.92574177463609"/>
    <x v="1"/>
    <x v="2"/>
    <s v="Pequeña"/>
    <x v="2"/>
    <n v="2215.1634205466858"/>
  </r>
  <r>
    <s v="ATS Kocoon"/>
    <x v="229"/>
    <n v="10596"/>
    <n v="3"/>
    <x v="4"/>
    <x v="0"/>
    <s v=" Sector 109 Gurgaon"/>
    <n v="0"/>
    <n v="0"/>
    <n v="4"/>
    <n v="14"/>
    <n v="3"/>
    <x v="1"/>
    <n v="24"/>
    <n v="1"/>
    <n v="1"/>
    <n v="1"/>
    <n v="1"/>
    <n v="2095.130237825595"/>
    <n v="1860"/>
    <n v="2095"/>
    <n v="0"/>
    <n v="0"/>
    <n v="1"/>
    <n v="1"/>
    <n v="0"/>
    <n v="0"/>
    <n v="1"/>
    <n v="1"/>
    <n v="1"/>
    <n v="0"/>
    <n v="0"/>
    <n v="0"/>
    <n v="1"/>
    <n v="0"/>
    <n v="0"/>
    <n v="1"/>
    <n v="1"/>
    <n v="2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9513023782559E-2"/>
    <n v="22200000.000000004"/>
    <n v="0.10596"/>
    <x v="3"/>
    <s v="Todo bien"/>
    <x v="0"/>
    <x v="1"/>
    <n v="912.63925726500372"/>
    <x v="1"/>
    <x v="2"/>
    <s v="Grande"/>
    <x v="2"/>
    <n v="2095.130237825595"/>
  </r>
  <r>
    <s v="ATS Triumph"/>
    <x v="20"/>
    <n v="8078"/>
    <n v="3"/>
    <x v="4"/>
    <x v="0"/>
    <s v=" Sector 104 Gurgaon"/>
    <n v="0"/>
    <n v="0"/>
    <n v="4"/>
    <n v="14"/>
    <n v="3"/>
    <x v="1"/>
    <n v="27"/>
    <n v="1"/>
    <n v="1"/>
    <n v="1"/>
    <n v="1"/>
    <n v="2290.1708343649416"/>
    <m/>
    <n v="229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017083436494E-2"/>
    <n v="18500000"/>
    <n v="8.0780000000000005E-2"/>
    <x v="3"/>
    <s v="Todo bien"/>
    <x v="0"/>
    <x v="5"/>
    <n v="997.5989900532303"/>
    <x v="1"/>
    <x v="2"/>
    <s v="Pequeña"/>
    <x v="2"/>
    <n v="2290.1708343649416"/>
  </r>
  <r>
    <s v="Experion The Heartsong"/>
    <x v="187"/>
    <n v="13343"/>
    <n v="2"/>
    <x v="3"/>
    <x v="0"/>
    <s v=" Sector 108 Gurgaon"/>
    <n v="0"/>
    <n v="0"/>
    <n v="3"/>
    <n v="12"/>
    <n v="3"/>
    <x v="0"/>
    <n v="14"/>
    <n v="1"/>
    <n v="1"/>
    <n v="1"/>
    <n v="1"/>
    <n v="734.43"/>
    <n v="978.23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3446751105448E-3"/>
    <n v="9800000"/>
    <n v="0.13342999999999999"/>
    <x v="1"/>
    <s v="Todo bien"/>
    <x v="0"/>
    <x v="2"/>
    <n v="319.93423209323004"/>
    <x v="0"/>
    <x v="0"/>
    <s v="Mediana"/>
    <x v="0"/>
    <n v="734.4675110544855"/>
  </r>
  <r>
    <s v="Indiabulls Centrum Park"/>
    <x v="158"/>
    <n v="8521"/>
    <n v="4"/>
    <x v="4"/>
    <x v="0"/>
    <s v=" Sector 103 Gurgaon"/>
    <n v="0"/>
    <n v="0"/>
    <n v="4"/>
    <n v="11"/>
    <n v="3"/>
    <x v="2"/>
    <n v="18"/>
    <n v="1"/>
    <n v="1"/>
    <n v="1"/>
    <n v="1"/>
    <n v="2875.2493838751325"/>
    <m/>
    <n v="287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8752493838751302E-2"/>
    <n v="24500000.000000004"/>
    <n v="8.5209999999999994E-2"/>
    <x v="3"/>
    <s v="Todo bien"/>
    <x v="0"/>
    <x v="0"/>
    <n v="1252.4593530160771"/>
    <x v="1"/>
    <x v="3"/>
    <s v="Pequeña"/>
    <x v="2"/>
    <n v="2875.2493838751325"/>
  </r>
  <r>
    <s v="Indiabulls Centrum Park"/>
    <x v="280"/>
    <n v="7882"/>
    <n v="3"/>
    <x v="4"/>
    <x v="0"/>
    <s v=" Sector 103 Gurgaon"/>
    <n v="0"/>
    <n v="0"/>
    <n v="3"/>
    <n v="12"/>
    <n v="3"/>
    <x v="1"/>
    <n v="18"/>
    <n v="1"/>
    <n v="1"/>
    <n v="1"/>
    <n v="1"/>
    <n v="1700"/>
    <m/>
    <n v="172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0007612281146E-2"/>
    <n v="13400000"/>
    <n v="7.8820000000000001E-2"/>
    <x v="2"/>
    <s v="Todo bien"/>
    <x v="1"/>
    <x v="0"/>
    <n v="740.55358564577125"/>
    <x v="1"/>
    <x v="2"/>
    <s v="Pequeña"/>
    <x v="1"/>
    <n v="1700.0761228114691"/>
  </r>
  <r>
    <s v="Emaar Imperial Gardens"/>
    <x v="308"/>
    <n v="9600"/>
    <n v="3"/>
    <x v="2"/>
    <x v="0"/>
    <s v=" Sector 102 Gurgaon"/>
    <n v="0"/>
    <n v="0"/>
    <n v="3"/>
    <n v="12"/>
    <n v="3"/>
    <x v="1"/>
    <n v="14"/>
    <n v="1"/>
    <n v="1"/>
    <n v="1"/>
    <n v="1"/>
    <n v="2000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9200000"/>
    <n v="9.6000000000000002E-2"/>
    <x v="3"/>
    <s v="Todo bien"/>
    <x v="1"/>
    <x v="4"/>
    <n v="871.2005018000001"/>
    <x v="1"/>
    <x v="2"/>
    <s v="Pequeña"/>
    <x v="0"/>
    <n v="2000"/>
  </r>
  <r>
    <s v="Adani Oyster Greens"/>
    <x v="49"/>
    <n v="10058"/>
    <n v="3"/>
    <x v="2"/>
    <x v="0"/>
    <s v=" Sector 102 Gurgaon"/>
    <n v="0"/>
    <n v="0"/>
    <n v="3"/>
    <n v="9"/>
    <n v="3"/>
    <x v="1"/>
    <n v="22"/>
    <n v="0"/>
    <n v="1"/>
    <n v="1"/>
    <n v="1"/>
    <n v="1889"/>
    <m/>
    <m/>
    <m/>
    <m/>
    <m/>
    <m/>
    <m/>
    <m/>
    <m/>
    <m/>
    <m/>
    <m/>
    <m/>
    <m/>
    <m/>
    <m/>
    <m/>
    <m/>
    <m/>
    <n v="0"/>
    <x v="0"/>
    <x v="0"/>
    <x v="0"/>
    <x v="0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8904354742493E-2"/>
    <n v="19000000"/>
    <n v="0.10058"/>
    <x v="3"/>
    <s v="Todo bien"/>
    <x v="0"/>
    <x v="2"/>
    <n v="822.86784321932566"/>
    <x v="1"/>
    <x v="2"/>
    <s v="Pequeña"/>
    <x v="0"/>
    <n v="1889.0435474249352"/>
  </r>
  <r>
    <s v="Adani MK Oyster Grande"/>
    <x v="236"/>
    <n v="10000"/>
    <n v="4"/>
    <x v="2"/>
    <x v="0"/>
    <s v=" Sector 102 Gurgaon"/>
    <n v="0"/>
    <n v="0"/>
    <n v="4"/>
    <n v="11"/>
    <n v="3"/>
    <x v="2"/>
    <n v="24"/>
    <n v="0"/>
    <n v="0"/>
    <n v="0"/>
    <n v="0"/>
    <n v="4550"/>
    <n v="4630"/>
    <n v="46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5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5499999999999999E-2"/>
    <n v="45500000"/>
    <n v="0.1"/>
    <x v="4"/>
    <s v="Todo bien"/>
    <x v="1"/>
    <x v="3"/>
    <n v="1981.9811415950001"/>
    <x v="3"/>
    <x v="3"/>
    <s v="Muy grande"/>
    <x v="3"/>
    <n v="4550"/>
  </r>
  <r>
    <s v="Emaar Gurgaon Greens"/>
    <x v="150"/>
    <n v="9333"/>
    <n v="3"/>
    <x v="2"/>
    <x v="0"/>
    <s v=" Sector 102 Gurgaon"/>
    <n v="0"/>
    <n v="0"/>
    <n v="3"/>
    <n v="12"/>
    <n v="3"/>
    <x v="1"/>
    <n v="14"/>
    <n v="1"/>
    <n v="0"/>
    <n v="0"/>
    <n v="0"/>
    <n v="1022.58"/>
    <m/>
    <n v="1650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00589306760901E-2"/>
    <n v="15400000"/>
    <n v="9.3329999999999996E-2"/>
    <x v="3"/>
    <s v="Todo bien"/>
    <x v="0"/>
    <x v="1"/>
    <n v="718.76608420229059"/>
    <x v="1"/>
    <x v="0"/>
    <s v="Pequeña"/>
    <x v="1"/>
    <n v="1650.0589306760955"/>
  </r>
  <r>
    <s v="DLF New Town Heights "/>
    <x v="46"/>
    <n v="6578"/>
    <n v="4"/>
    <x v="2"/>
    <x v="5"/>
    <s v=" Sector 86 Gurgaon"/>
    <n v="0"/>
    <n v="0"/>
    <n v="4"/>
    <n v="12"/>
    <n v="3"/>
    <x v="2"/>
    <n v="22"/>
    <n v="1"/>
    <n v="0"/>
    <n v="1"/>
    <n v="0"/>
    <n v="1750"/>
    <m/>
    <n v="2356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63393128610499E-2"/>
    <n v="15500000"/>
    <n v="6.5780000000000005E-2"/>
    <x v="3"/>
    <s v="Todo bien"/>
    <x v="1"/>
    <x v="5"/>
    <n v="1026.421995887807"/>
    <x v="1"/>
    <x v="2"/>
    <s v="Pequeña"/>
    <x v="2"/>
    <n v="2356.3393128610519"/>
  </r>
  <r>
    <s v="Experion The Heartsong"/>
    <x v="235"/>
    <n v="8387"/>
    <n v="3"/>
    <x v="4"/>
    <x v="0"/>
    <s v=" Sector 108 Gurgaon"/>
    <n v="0"/>
    <n v="0"/>
    <n v="3"/>
    <n v="4"/>
    <n v="3"/>
    <x v="1"/>
    <n v="14"/>
    <n v="1"/>
    <n v="1"/>
    <n v="0"/>
    <n v="0"/>
    <n v="986.41"/>
    <n v="1338.29"/>
    <n v="200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00310003576964E-2"/>
    <n v="16800000"/>
    <n v="8.387E-2"/>
    <x v="3"/>
    <s v="Todo bien"/>
    <x v="1"/>
    <x v="4"/>
    <n v="872.55087815905426"/>
    <x v="1"/>
    <x v="0"/>
    <s v="Mediana"/>
    <x v="2"/>
    <n v="2003.1000357696435"/>
  </r>
  <r>
    <s v="AIPL The Peaceful Homes"/>
    <x v="133"/>
    <n v="10697"/>
    <n v="3"/>
    <x v="2"/>
    <x v="0"/>
    <s v=" Sector 70A Gurgaon"/>
    <n v="0"/>
    <n v="0"/>
    <n v="3"/>
    <n v="3"/>
    <n v="3"/>
    <x v="1"/>
    <n v="30"/>
    <n v="0"/>
    <n v="0"/>
    <n v="0"/>
    <n v="1"/>
    <n v="2150.1355520239322"/>
    <m/>
    <n v="21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0"/>
    <n v="0"/>
    <n v="0"/>
    <n v="0"/>
    <n v="3"/>
    <n v="1"/>
    <n v="0"/>
    <n v="0"/>
    <n v="0"/>
    <n v="0"/>
    <n v="0"/>
    <n v="0"/>
    <n v="2"/>
    <n v="2.1501355520239299E-2"/>
    <n v="23000000"/>
    <n v="0.10697"/>
    <x v="3"/>
    <s v="Todo bien"/>
    <x v="1"/>
    <x v="4"/>
    <n v="936.59958593063391"/>
    <x v="1"/>
    <x v="2"/>
    <s v="Pequeña"/>
    <x v="2"/>
    <n v="2150.1355520239322"/>
  </r>
  <r>
    <s v="BPTP Astaire Gardens"/>
    <x v="366"/>
    <n v="6587"/>
    <n v="3"/>
    <x v="0"/>
    <x v="0"/>
    <s v=" Sector 70A Gurgaon"/>
    <n v="0"/>
    <n v="0"/>
    <n v="3"/>
    <n v="1"/>
    <n v="3"/>
    <x v="1"/>
    <n v="3"/>
    <n v="0"/>
    <n v="0"/>
    <n v="0"/>
    <n v="0"/>
    <n v="1480.1882495825112"/>
    <m/>
    <n v="1480"/>
    <n v="1"/>
    <n v="1"/>
    <n v="1"/>
    <n v="1"/>
    <n v="0"/>
    <n v="1"/>
    <n v="1"/>
    <n v="1"/>
    <n v="1"/>
    <n v="1"/>
    <n v="1"/>
    <n v="1"/>
    <n v="0"/>
    <n v="1"/>
    <n v="1"/>
    <n v="1"/>
    <n v="1"/>
    <n v="62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8824958251E-2"/>
    <n v="9750000"/>
    <n v="6.5869999999999998E-2"/>
    <x v="1"/>
    <s v="Todo bien"/>
    <x v="0"/>
    <x v="5"/>
    <n v="644.77037289737325"/>
    <x v="1"/>
    <x v="2"/>
    <s v="Pequeña"/>
    <x v="1"/>
    <n v="1480.1882495825112"/>
  </r>
  <r>
    <s v="DLF New Town Heights "/>
    <x v="49"/>
    <n v="5683"/>
    <n v="4"/>
    <x v="7"/>
    <x v="0"/>
    <s v=" Sector 90 Gurgaon"/>
    <n v="0"/>
    <n v="0"/>
    <n v="4"/>
    <n v="7"/>
    <n v="3"/>
    <x v="2"/>
    <n v="19"/>
    <n v="1"/>
    <n v="0"/>
    <n v="1"/>
    <n v="0"/>
    <n v="3343.3045926447298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433045926447302E-2"/>
    <n v="19000000"/>
    <n v="5.6829999999999999E-2"/>
    <x v="3"/>
    <s v="Todo bien"/>
    <x v="0"/>
    <x v="5"/>
    <n v="1456.3443193911669"/>
    <x v="1"/>
    <x v="3"/>
    <s v="Pequeña"/>
    <x v="2"/>
    <n v="3343.3045926447298"/>
  </r>
  <r>
    <s v="DLF New Town Heights "/>
    <x v="46"/>
    <n v="6556"/>
    <n v="4"/>
    <x v="3"/>
    <x v="0"/>
    <s v=" Sector 90 Gurgaon"/>
    <n v="0"/>
    <n v="0"/>
    <n v="4"/>
    <n v="1"/>
    <n v="3"/>
    <x v="2"/>
    <n v="19"/>
    <n v="1"/>
    <n v="0"/>
    <n v="1"/>
    <n v="0"/>
    <n v="2364.2464917632706"/>
    <m/>
    <n v="2364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464917632701E-2"/>
    <n v="15500000"/>
    <n v="6.5559999999999993E-2"/>
    <x v="3"/>
    <s v="Todo bien"/>
    <x v="0"/>
    <x v="4"/>
    <n v="1029.8663650015253"/>
    <x v="1"/>
    <x v="2"/>
    <s v="Pequeña"/>
    <x v="2"/>
    <n v="2364.2464917632706"/>
  </r>
  <r>
    <s v="DLF Regal Gardens"/>
    <x v="281"/>
    <n v="6647"/>
    <n v="3"/>
    <x v="5"/>
    <x v="0"/>
    <s v=" Sector 90 Gurgaon"/>
    <n v="0"/>
    <n v="0"/>
    <n v="3"/>
    <n v="8"/>
    <n v="3"/>
    <x v="1"/>
    <n v="30"/>
    <n v="0"/>
    <n v="0"/>
    <n v="0"/>
    <n v="0"/>
    <n v="1700.0150443809237"/>
    <m/>
    <n v="17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1504438092E-2"/>
    <n v="11300000"/>
    <n v="6.6470000000000001E-2"/>
    <x v="2"/>
    <s v="Todo bien"/>
    <x v="0"/>
    <x v="3"/>
    <n v="740.52697986610337"/>
    <x v="1"/>
    <x v="2"/>
    <s v="Pequeña"/>
    <x v="1"/>
    <n v="1700.0150443809237"/>
  </r>
  <r>
    <s v="Shree Vardhman Flora"/>
    <x v="28"/>
    <n v="4404"/>
    <n v="3"/>
    <x v="3"/>
    <x v="0"/>
    <s v=" Sector 90 Gurgaon"/>
    <n v="0"/>
    <n v="0"/>
    <n v="4"/>
    <n v="3"/>
    <n v="3"/>
    <x v="1"/>
    <n v="13"/>
    <n v="1"/>
    <n v="0"/>
    <n v="0"/>
    <n v="1"/>
    <n v="1450"/>
    <m/>
    <n v="193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6357856494E-2"/>
    <n v="8500000"/>
    <n v="4.4040000000000003E-2"/>
    <x v="1"/>
    <s v="Todo bien"/>
    <x v="0"/>
    <x v="5"/>
    <n v="840.7361790758398"/>
    <x v="1"/>
    <x v="2"/>
    <s v="Pequeña"/>
    <x v="1"/>
    <n v="1930.0635785649408"/>
  </r>
  <r>
    <s v="Vatika City"/>
    <x v="367"/>
    <n v="11725"/>
    <n v="3"/>
    <x v="4"/>
    <x v="5"/>
    <s v=" Sector 49 Gurgaon"/>
    <n v="0"/>
    <n v="0"/>
    <n v="4"/>
    <n v="2"/>
    <n v="3"/>
    <x v="1"/>
    <n v="17"/>
    <n v="1"/>
    <n v="0"/>
    <n v="1"/>
    <n v="0"/>
    <n v="2251.5991471215352"/>
    <n v="1750.75"/>
    <n v="2251.42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2515991471215299E-2"/>
    <n v="26400000"/>
    <n v="0.11724999999999999"/>
    <x v="5"/>
    <s v="Todo bien"/>
    <x v="1"/>
    <x v="5"/>
    <n v="980.79715341236442"/>
    <x v="1"/>
    <x v="2"/>
    <s v="Mediana"/>
    <x v="2"/>
    <n v="2251.5991471215352"/>
  </r>
  <r>
    <s v="Vatika City"/>
    <x v="69"/>
    <n v="10418"/>
    <n v="3"/>
    <x v="8"/>
    <x v="5"/>
    <s v=" Sector 49 Gurgaon"/>
    <n v="0"/>
    <n v="0"/>
    <n v="3"/>
    <n v="9"/>
    <n v="3"/>
    <x v="1"/>
    <n v="9"/>
    <n v="0"/>
    <n v="0"/>
    <n v="1"/>
    <n v="0"/>
    <n v="2015.7419850259168"/>
    <n v="1604.25"/>
    <n v="2015.5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1"/>
    <n v="0"/>
    <n v="1"/>
    <n v="1"/>
    <n v="0"/>
    <n v="0"/>
    <n v="0"/>
    <n v="0"/>
    <n v="3"/>
    <n v="1"/>
    <n v="0"/>
    <n v="0"/>
    <n v="0"/>
    <n v="0"/>
    <n v="0"/>
    <n v="0"/>
    <n v="2"/>
    <n v="2.0157419850259099E-2"/>
    <n v="21000000"/>
    <n v="0.10417999999999999"/>
    <x v="3"/>
    <s v="Todo bien"/>
    <x v="1"/>
    <x v="5"/>
    <n v="878.05771442695038"/>
    <x v="1"/>
    <x v="2"/>
    <s v="Mediana"/>
    <x v="2"/>
    <n v="2015.7419850259168"/>
  </r>
  <r>
    <s v="Shapoorji Pallonji Joyville Gurugram"/>
    <x v="100"/>
    <n v="11666"/>
    <n v="2"/>
    <x v="5"/>
    <x v="0"/>
    <s v=" Sector 102 Gurgaon"/>
    <n v="0"/>
    <n v="0"/>
    <n v="2"/>
    <n v="0"/>
    <n v="3"/>
    <x v="0"/>
    <n v="14"/>
    <n v="0"/>
    <n v="0"/>
    <n v="0"/>
    <n v="0"/>
    <n v="1200"/>
    <m/>
    <n v="1368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0006857534716E-2"/>
    <n v="14000000"/>
    <n v="0.11666"/>
    <x v="2"/>
    <s v="Todo bien"/>
    <x v="1"/>
    <x v="3"/>
    <n v="522.75017251842849"/>
    <x v="1"/>
    <x v="0"/>
    <s v="Pequeña"/>
    <x v="1"/>
    <n v="1200.0685753471628"/>
  </r>
  <r>
    <s v="Emaar Gurgaon Greens"/>
    <x v="59"/>
    <n v="8787"/>
    <n v="3"/>
    <x v="6"/>
    <x v="0"/>
    <s v=" Sector 102 Gurgaon"/>
    <n v="0"/>
    <n v="0"/>
    <n v="3"/>
    <n v="7"/>
    <n v="2"/>
    <x v="1"/>
    <n v="14"/>
    <n v="1"/>
    <n v="0"/>
    <n v="0"/>
    <n v="0"/>
    <n v="1650.1650165016501"/>
    <m/>
    <n v="1650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5016501650165E-2"/>
    <n v="14500000"/>
    <n v="8.7870000000000004E-2"/>
    <x v="2"/>
    <s v="Todo bien"/>
    <x v="1"/>
    <x v="5"/>
    <n v="718.81229521452144"/>
    <x v="1"/>
    <x v="2"/>
    <s v="Pequeña"/>
    <x v="1"/>
    <n v="1650.1650165016501"/>
  </r>
  <r>
    <s v="DLF New Town Heights "/>
    <x v="56"/>
    <n v="6217"/>
    <n v="3"/>
    <x v="7"/>
    <x v="5"/>
    <s v=" Sector 90 Gurgaon"/>
    <n v="0"/>
    <n v="0"/>
    <n v="3"/>
    <n v="8"/>
    <n v="3"/>
    <x v="1"/>
    <n v="19"/>
    <n v="1"/>
    <n v="0"/>
    <n v="1"/>
    <n v="0"/>
    <n v="1930"/>
    <m/>
    <m/>
    <n v="1"/>
    <n v="1"/>
    <n v="0"/>
    <n v="1"/>
    <n v="0"/>
    <n v="0"/>
    <n v="0"/>
    <n v="1"/>
    <n v="1"/>
    <n v="0"/>
    <n v="1"/>
    <n v="1"/>
    <n v="1"/>
    <n v="1"/>
    <n v="1"/>
    <n v="1"/>
    <n v="1"/>
    <n v="3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x v="2"/>
    <s v="Todo bien"/>
    <x v="0"/>
    <x v="3"/>
    <n v="840.79186276338964"/>
    <x v="1"/>
    <x v="2"/>
    <s v="Pequeña"/>
    <x v="0"/>
    <n v="1930.1914106482225"/>
  </r>
  <r>
    <s v="Viridian The Plaza "/>
    <x v="95"/>
    <n v="5571"/>
    <n v="1"/>
    <x v="4"/>
    <x v="0"/>
    <s v=" Sector 106 Gurgaon"/>
    <n v="0"/>
    <n v="0"/>
    <n v="1"/>
    <n v="7"/>
    <n v="1"/>
    <x v="3"/>
    <n v="20"/>
    <n v="0"/>
    <n v="0"/>
    <n v="0"/>
    <n v="0"/>
    <n v="450"/>
    <m/>
    <n v="70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1"/>
    <x v="0"/>
    <x v="1"/>
    <x v="1"/>
    <x v="1"/>
    <x v="1"/>
    <x v="1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3900000"/>
    <n v="5.5710000000000003E-2"/>
    <x v="0"/>
    <s v="Todo bien"/>
    <x v="0"/>
    <x v="5"/>
    <n v="304.94363283252272"/>
    <x v="0"/>
    <x v="1"/>
    <s v="Pequeña"/>
    <x v="0"/>
    <n v="700.05385029617662"/>
  </r>
  <r>
    <s v="CHD Avenue "/>
    <x v="43"/>
    <n v="7171"/>
    <n v="3"/>
    <x v="4"/>
    <x v="0"/>
    <s v=" Sector 71 Gurgaon"/>
    <n v="0"/>
    <n v="0"/>
    <n v="4"/>
    <n v="7"/>
    <n v="2"/>
    <x v="1"/>
    <n v="14"/>
    <n v="1"/>
    <n v="0"/>
    <n v="0"/>
    <n v="0"/>
    <n v="1743.1320596848418"/>
    <m/>
    <n v="17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31320596848401E-2"/>
    <n v="12500000"/>
    <n v="7.1709999999999996E-2"/>
    <x v="2"/>
    <s v="Todo bien"/>
    <x v="1"/>
    <x v="5"/>
    <n v="759.30876255055011"/>
    <x v="1"/>
    <x v="2"/>
    <s v="Pequeña"/>
    <x v="1"/>
    <n v="1743.1320596848418"/>
  </r>
  <r>
    <s v="Puri Emerald Bay"/>
    <x v="244"/>
    <n v="10903"/>
    <n v="2"/>
    <x v="8"/>
    <x v="0"/>
    <s v=" Sector 104 Gurgaon"/>
    <n v="0"/>
    <n v="0"/>
    <n v="2"/>
    <n v="12"/>
    <n v="2"/>
    <x v="0"/>
    <n v="29"/>
    <n v="0"/>
    <n v="0"/>
    <n v="0"/>
    <n v="0"/>
    <n v="1458.3142254425388"/>
    <m/>
    <n v="1550"/>
    <n v="0"/>
    <n v="1"/>
    <n v="0"/>
    <n v="0"/>
    <n v="0"/>
    <n v="1"/>
    <n v="1"/>
    <n v="1"/>
    <n v="1"/>
    <n v="1"/>
    <n v="1"/>
    <n v="1"/>
    <n v="1"/>
    <n v="1"/>
    <n v="1"/>
    <n v="1"/>
    <n v="1"/>
    <n v="44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3142254425301E-2"/>
    <n v="15900000"/>
    <n v="0.10903"/>
    <x v="3"/>
    <s v="Todo bien"/>
    <x v="0"/>
    <x v="4"/>
    <n v="635.24204249380534"/>
    <x v="1"/>
    <x v="2"/>
    <s v="Pequeña"/>
    <x v="1"/>
    <n v="1458.3142254425388"/>
  </r>
  <r>
    <s v="Puri Diplomatic Greens"/>
    <x v="223"/>
    <n v="11666"/>
    <n v="4"/>
    <x v="4"/>
    <x v="0"/>
    <s v=" Sector 111 Gurgaon"/>
    <n v="0"/>
    <n v="0"/>
    <n v="6"/>
    <n v="7"/>
    <n v="3"/>
    <x v="2"/>
    <n v="21"/>
    <n v="1"/>
    <n v="0"/>
    <n v="0"/>
    <n v="0"/>
    <n v="4500.2571575518605"/>
    <m/>
    <n v="45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4.5002571575518603E-2"/>
    <n v="52500000"/>
    <n v="0.11666"/>
    <x v="4"/>
    <s v="Todo bien"/>
    <x v="1"/>
    <x v="5"/>
    <n v="1960.3131469441114"/>
    <x v="3"/>
    <x v="3"/>
    <s v="Pequeña"/>
    <x v="3"/>
    <n v="4500.2571575518605"/>
  </r>
  <r>
    <s v="Puri Diplomatic Greens"/>
    <x v="107"/>
    <n v="11525"/>
    <n v="4"/>
    <x v="4"/>
    <x v="0"/>
    <s v=" Sector 111 Gurgaon"/>
    <n v="0"/>
    <n v="0"/>
    <n v="5"/>
    <n v="14"/>
    <n v="3"/>
    <x v="2"/>
    <n v="21"/>
    <n v="1"/>
    <n v="0"/>
    <n v="0"/>
    <n v="0"/>
    <n v="2950.108459869848"/>
    <m/>
    <n v="29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95010845986984E-2"/>
    <n v="34000000"/>
    <n v="0.11525000000000001"/>
    <x v="5"/>
    <s v="Todo bien"/>
    <x v="1"/>
    <x v="4"/>
    <n v="1285.0679853015149"/>
    <x v="1"/>
    <x v="3"/>
    <s v="Pequeña"/>
    <x v="2"/>
    <n v="2950.108459869848"/>
  </r>
  <r>
    <s v="Experion Windchants"/>
    <x v="104"/>
    <n v="11741"/>
    <n v="3"/>
    <x v="8"/>
    <x v="0"/>
    <s v=" Sector 112 Gurgaon"/>
    <n v="0"/>
    <n v="0"/>
    <n v="3"/>
    <n v="2"/>
    <n v="3"/>
    <x v="1"/>
    <n v="28"/>
    <n v="1"/>
    <n v="0"/>
    <n v="0"/>
    <n v="0"/>
    <n v="2802.1463248445616"/>
    <n v="2225.56"/>
    <n v="28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021463248445601E-2"/>
    <n v="32900000"/>
    <n v="0.11741"/>
    <x v="5"/>
    <s v="Todo bien"/>
    <x v="1"/>
    <x v="5"/>
    <n v="1220.6156421608034"/>
    <x v="1"/>
    <x v="3"/>
    <s v="Grande"/>
    <x v="2"/>
    <n v="2802.1463248445616"/>
  </r>
  <r>
    <s v="Puri Emerald Bay"/>
    <x v="368"/>
    <n v="10163"/>
    <n v="3"/>
    <x v="8"/>
    <x v="0"/>
    <s v=" Sector 104 Gurgaon"/>
    <n v="0"/>
    <n v="0"/>
    <n v="3"/>
    <n v="14"/>
    <n v="3"/>
    <x v="1"/>
    <n v="29"/>
    <n v="1"/>
    <n v="0"/>
    <n v="0"/>
    <n v="0"/>
    <n v="2450.0639574928664"/>
    <m/>
    <n v="2450"/>
    <n v="0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500639574928599E-2"/>
    <n v="24900000.000000004"/>
    <n v="0.10163"/>
    <x v="3"/>
    <s v="Todo bien"/>
    <x v="1"/>
    <x v="5"/>
    <n v="1067.2484746049367"/>
    <x v="1"/>
    <x v="2"/>
    <s v="Pequeña"/>
    <x v="2"/>
    <n v="2450.0639574928664"/>
  </r>
  <r>
    <s v="Conscient Heritage Max"/>
    <x v="68"/>
    <n v="9062"/>
    <n v="3"/>
    <x v="8"/>
    <x v="0"/>
    <s v=" Sector 102 Gurgaon"/>
    <n v="0"/>
    <n v="0"/>
    <n v="4"/>
    <n v="16"/>
    <n v="3"/>
    <x v="1"/>
    <n v="26"/>
    <n v="1"/>
    <n v="0"/>
    <n v="0"/>
    <n v="0"/>
    <n v="1931.1410284705362"/>
    <m/>
    <n v="193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311410284705299E-2"/>
    <n v="17500000"/>
    <n v="9.0620000000000006E-2"/>
    <x v="3"/>
    <s v="Todo bien"/>
    <x v="1"/>
    <x v="5"/>
    <n v="841.20551652504696"/>
    <x v="1"/>
    <x v="2"/>
    <s v="Pequeña"/>
    <x v="1"/>
    <n v="1931.1410284705362"/>
  </r>
  <r>
    <s v="Experion The Heartsong"/>
    <x v="114"/>
    <n v="8240"/>
    <n v="4"/>
    <x v="8"/>
    <x v="0"/>
    <s v=" Sector 108 Gurgaon"/>
    <n v="0"/>
    <n v="0"/>
    <n v="5"/>
    <n v="8"/>
    <n v="3"/>
    <x v="2"/>
    <n v="14"/>
    <n v="1"/>
    <n v="0"/>
    <n v="0"/>
    <n v="0"/>
    <n v="2779.1262135922329"/>
    <n v="2779"/>
    <m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7791262135922298E-2"/>
    <n v="22900000"/>
    <n v="8.2400000000000001E-2"/>
    <x v="3"/>
    <s v="Todo bien"/>
    <x v="1"/>
    <x v="4"/>
    <n v="1210.5880759235424"/>
    <x v="1"/>
    <x v="3"/>
    <s v="Muy grande"/>
    <x v="0"/>
    <n v="2779.1262135922329"/>
  </r>
  <r>
    <s v="Conscient Heritage Max"/>
    <x v="86"/>
    <n v="10004"/>
    <n v="3"/>
    <x v="8"/>
    <x v="0"/>
    <s v=" Sector 102 Gurgaon"/>
    <n v="0"/>
    <n v="0"/>
    <n v="4"/>
    <n v="18"/>
    <n v="3"/>
    <x v="1"/>
    <n v="26"/>
    <n v="1"/>
    <n v="1"/>
    <n v="0"/>
    <n v="0"/>
    <n v="2149.1403438624548"/>
    <m/>
    <n v="2149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491403438624501E-2"/>
    <n v="21500000"/>
    <n v="0.10004"/>
    <x v="3"/>
    <s v="Todo bien"/>
    <x v="1"/>
    <x v="5"/>
    <n v="936.16607300579562"/>
    <x v="1"/>
    <x v="2"/>
    <s v="Pequeña"/>
    <x v="2"/>
    <n v="2149.1403438624548"/>
  </r>
  <r>
    <s v="Vatika The Seven Lamps"/>
    <x v="213"/>
    <n v="8850"/>
    <n v="2"/>
    <x v="4"/>
    <x v="0"/>
    <s v=" Sector 82 Gurgaon"/>
    <n v="0"/>
    <n v="0"/>
    <n v="2"/>
    <n v="14"/>
    <n v="2"/>
    <x v="0"/>
    <n v="16"/>
    <n v="0"/>
    <n v="1"/>
    <n v="0"/>
    <n v="0"/>
    <n v="1000"/>
    <m/>
    <n v="1428.0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0.01"/>
    <n v="8850000"/>
    <n v="8.8499999999999995E-2"/>
    <x v="1"/>
    <s v="Todo bien"/>
    <x v="1"/>
    <x v="5"/>
    <n v="435.60025090000005"/>
    <x v="0"/>
    <x v="0"/>
    <s v="Pequeña"/>
    <x v="1"/>
    <n v="1000"/>
  </r>
  <r>
    <s v="The Close North"/>
    <x v="97"/>
    <n v="11276"/>
    <n v="3"/>
    <x v="3"/>
    <x v="5"/>
    <s v=" Nirvana Country"/>
    <n v="0"/>
    <n v="0"/>
    <n v="3"/>
    <n v="3"/>
    <n v="3"/>
    <x v="1"/>
    <n v="18"/>
    <n v="1"/>
    <n v="0"/>
    <n v="0"/>
    <n v="0"/>
    <n v="2350"/>
    <n v="2491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241575026598E-2"/>
    <n v="26500000"/>
    <n v="0.11276"/>
    <x v="5"/>
    <s v="Todo bien"/>
    <x v="0"/>
    <x v="5"/>
    <n v="1023.7146726543098"/>
    <x v="1"/>
    <x v="2"/>
    <s v="Grande"/>
    <x v="2"/>
    <n v="2350.1241575026606"/>
  </r>
  <r>
    <s v="Vatika The Seven Lamps"/>
    <x v="21"/>
    <n v="6022"/>
    <n v="2"/>
    <x v="4"/>
    <x v="0"/>
    <s v=" Sector 82 Gurgaon"/>
    <n v="0"/>
    <n v="0"/>
    <n v="2"/>
    <n v="12"/>
    <n v="2"/>
    <x v="0"/>
    <n v="16"/>
    <n v="0"/>
    <n v="1"/>
    <n v="0"/>
    <n v="0"/>
    <n v="1428.0969777482562"/>
    <m/>
    <n v="14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2809697774825E-2"/>
    <n v="8600000"/>
    <n v="6.0220000000000003E-2"/>
    <x v="1"/>
    <s v="Todo bien"/>
    <x v="1"/>
    <x v="5"/>
    <n v="622.07940181666947"/>
    <x v="1"/>
    <x v="2"/>
    <s v="Pequeña"/>
    <x v="1"/>
    <n v="1428.0969777482562"/>
  </r>
  <r>
    <s v="Godrej "/>
    <x v="12"/>
    <n v="8970"/>
    <n v="3"/>
    <x v="6"/>
    <x v="0"/>
    <s v=" Sector 79 Gurgaon"/>
    <n v="0"/>
    <n v="0"/>
    <n v="3"/>
    <n v="7"/>
    <n v="2"/>
    <x v="1"/>
    <n v="15"/>
    <n v="0"/>
    <n v="0"/>
    <n v="0"/>
    <n v="0"/>
    <n v="1505.0167224080267"/>
    <m/>
    <n v="150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0501672240802E-2"/>
    <n v="13500000"/>
    <n v="8.9700000000000002E-2"/>
    <x v="2"/>
    <s v="Todo bien"/>
    <x v="1"/>
    <x v="4"/>
    <n v="655.58566188962925"/>
    <x v="1"/>
    <x v="2"/>
    <s v="Pequeña"/>
    <x v="1"/>
    <n v="1505.0167224080267"/>
  </r>
  <r>
    <s v="Godrej Aria"/>
    <x v="267"/>
    <n v="8522"/>
    <n v="3"/>
    <x v="8"/>
    <x v="0"/>
    <s v=" Sector 79 Gurgaon"/>
    <n v="0"/>
    <n v="0"/>
    <n v="3"/>
    <n v="7"/>
    <n v="2"/>
    <x v="1"/>
    <n v="15"/>
    <n v="0"/>
    <n v="0"/>
    <n v="0"/>
    <n v="0"/>
    <n v="1983.1025580849564"/>
    <m/>
    <n v="1983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831025580849499E-2"/>
    <n v="16900000"/>
    <n v="8.5220000000000004E-2"/>
    <x v="3"/>
    <s v="Todo bien"/>
    <x v="0"/>
    <x v="4"/>
    <n v="863.8399718622361"/>
    <x v="1"/>
    <x v="2"/>
    <s v="Pequeña"/>
    <x v="1"/>
    <n v="1983.1025580849564"/>
  </r>
  <r>
    <s v="ATS Triumph"/>
    <x v="97"/>
    <n v="8412"/>
    <n v="4"/>
    <x v="4"/>
    <x v="0"/>
    <s v=" Sector 104 Gurgaon"/>
    <n v="0"/>
    <n v="0"/>
    <n v="4"/>
    <n v="14"/>
    <n v="3"/>
    <x v="2"/>
    <n v="27"/>
    <n v="1"/>
    <n v="0"/>
    <n v="0"/>
    <n v="0"/>
    <n v="2650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5026153114598E-2"/>
    <n v="26500000"/>
    <n v="8.412E-2"/>
    <x v="5"/>
    <s v="Todo bien"/>
    <x v="1"/>
    <x v="0"/>
    <n v="1372.2547133678072"/>
    <x v="1"/>
    <x v="3"/>
    <s v="Pequeña"/>
    <x v="3"/>
    <n v="3150.2615311459817"/>
  </r>
  <r>
    <s v="ATS Triumph"/>
    <x v="68"/>
    <n v="7641"/>
    <n v="3"/>
    <x v="7"/>
    <x v="0"/>
    <s v=" Sector 104 Gurgaon"/>
    <n v="0"/>
    <n v="0"/>
    <n v="4"/>
    <n v="12"/>
    <n v="3"/>
    <x v="1"/>
    <n v="27"/>
    <n v="1"/>
    <n v="1"/>
    <n v="1"/>
    <n v="0"/>
    <n v="1800"/>
    <m/>
    <n v="229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2761418662401E-2"/>
    <n v="17500000"/>
    <n v="7.6410000000000006E-2"/>
    <x v="3"/>
    <s v="Todo bien"/>
    <x v="1"/>
    <x v="0"/>
    <n v="997.64486202721821"/>
    <x v="1"/>
    <x v="2"/>
    <s v="Pequeña"/>
    <x v="2"/>
    <n v="2290.2761418662476"/>
  </r>
  <r>
    <s v="MM Woodshire"/>
    <x v="35"/>
    <n v="10815"/>
    <n v="3"/>
    <x v="1"/>
    <x v="0"/>
    <s v=" Sector 107 Gurgaon"/>
    <n v="0"/>
    <n v="0"/>
    <n v="3"/>
    <n v="7"/>
    <n v="3"/>
    <x v="1"/>
    <n v="14"/>
    <n v="0"/>
    <n v="0"/>
    <n v="1"/>
    <n v="0"/>
    <n v="1202"/>
    <m/>
    <n v="1943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20342117429399E-2"/>
    <n v="13000000"/>
    <n v="0.10815"/>
    <x v="2"/>
    <s v="Todo bien"/>
    <x v="0"/>
    <x v="3"/>
    <n v="523.60640422560834"/>
    <x v="1"/>
    <x v="2"/>
    <s v="Pequeña"/>
    <x v="1"/>
    <n v="1202.0342117429495"/>
  </r>
  <r>
    <s v="Shapoorji Pallonji Joyville Gurugram"/>
    <x v="68"/>
    <n v="9449"/>
    <n v="3"/>
    <x v="0"/>
    <x v="0"/>
    <s v=" Sector 102 Gurgaon"/>
    <n v="0"/>
    <n v="0"/>
    <n v="3"/>
    <n v="10"/>
    <n v="3"/>
    <x v="1"/>
    <n v="26"/>
    <n v="1"/>
    <n v="1"/>
    <n v="1"/>
    <n v="0"/>
    <n v="1128"/>
    <m/>
    <n v="18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20478357498101E-2"/>
    <n v="17500000"/>
    <n v="9.4490000000000005E-2"/>
    <x v="3"/>
    <s v="Todo bien"/>
    <x v="0"/>
    <x v="1"/>
    <n v="806.75250193141926"/>
    <x v="1"/>
    <x v="0"/>
    <s v="Pequeña"/>
    <x v="1"/>
    <n v="1852.0478357498148"/>
  </r>
  <r>
    <s v="DLF New Town Heights "/>
    <x v="43"/>
    <n v="6502"/>
    <n v="3"/>
    <x v="5"/>
    <x v="0"/>
    <s v=" Sector 90 Gurgaon"/>
    <n v="0"/>
    <n v="0"/>
    <n v="3"/>
    <n v="5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24853891110401E-2"/>
    <n v="12500000"/>
    <n v="6.5019999999999994E-2"/>
    <x v="2"/>
    <s v="Todo bien"/>
    <x v="0"/>
    <x v="5"/>
    <n v="837.43511784835323"/>
    <x v="1"/>
    <x v="2"/>
    <s v="Grande"/>
    <x v="1"/>
    <n v="1922.4853891110429"/>
  </r>
  <r>
    <s v="Mapsko Mount Ville"/>
    <x v="56"/>
    <n v="8053"/>
    <n v="3"/>
    <x v="4"/>
    <x v="0"/>
    <s v=" Sector 79 Gurgaon"/>
    <n v="0"/>
    <n v="0"/>
    <n v="3"/>
    <n v="24"/>
    <n v="3"/>
    <x v="1"/>
    <n v="30"/>
    <n v="0"/>
    <n v="0"/>
    <n v="0"/>
    <n v="0"/>
    <n v="863.91"/>
    <m/>
    <n v="1490"/>
    <n v="1"/>
    <n v="1"/>
    <n v="1"/>
    <n v="0"/>
    <n v="1"/>
    <n v="1"/>
    <n v="1"/>
    <n v="1"/>
    <n v="1"/>
    <n v="1"/>
    <n v="1"/>
    <n v="1"/>
    <n v="1"/>
    <n v="1"/>
    <n v="1"/>
    <n v="1"/>
    <n v="1"/>
    <n v="54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x v="2"/>
    <s v="Todo bien"/>
    <x v="1"/>
    <x v="5"/>
    <n v="649.10008826523972"/>
    <x v="1"/>
    <x v="0"/>
    <s v="Pequeña"/>
    <x v="1"/>
    <n v="1490.127902644977"/>
  </r>
  <r>
    <s v="Mapsko Mount Ville"/>
    <x v="78"/>
    <n v="8264"/>
    <n v="3"/>
    <x v="8"/>
    <x v="0"/>
    <s v=" Sector 79 Gurgaon"/>
    <n v="0"/>
    <n v="0"/>
    <n v="4"/>
    <n v="11"/>
    <n v="3"/>
    <x v="1"/>
    <n v="30"/>
    <n v="1"/>
    <n v="0"/>
    <n v="0"/>
    <n v="0"/>
    <n v="1071.33"/>
    <m/>
    <n v="1815"/>
    <n v="1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81510164569215E-2"/>
    <n v="15000000"/>
    <n v="8.2640000000000005E-2"/>
    <x v="2"/>
    <s v="Todo bien"/>
    <x v="1"/>
    <x v="5"/>
    <n v="790.65873227250347"/>
    <x v="1"/>
    <x v="0"/>
    <s v="Pequeña"/>
    <x v="1"/>
    <n v="1815.1016456921586"/>
  </r>
  <r>
    <s v="Tulip Violet"/>
    <x v="111"/>
    <n v="9950"/>
    <n v="4"/>
    <x v="7"/>
    <x v="0"/>
    <s v=" Sector 69 Gurgaon"/>
    <n v="0"/>
    <n v="0"/>
    <n v="4"/>
    <n v="0"/>
    <n v="2"/>
    <x v="2"/>
    <n v="14"/>
    <n v="0"/>
    <n v="0"/>
    <n v="0"/>
    <n v="0"/>
    <n v="2060.3015075376884"/>
    <m/>
    <n v="208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603015075376801E-2"/>
    <n v="20500000"/>
    <n v="9.9500000000000005E-2"/>
    <x v="3"/>
    <s v="Todo bien"/>
    <x v="0"/>
    <x v="5"/>
    <n v="897.46785361306172"/>
    <x v="1"/>
    <x v="2"/>
    <s v="Pequeña"/>
    <x v="2"/>
    <n v="2060.3015075376884"/>
  </r>
  <r>
    <s v="Tulip Violet"/>
    <x v="82"/>
    <n v="9701"/>
    <n v="4"/>
    <x v="0"/>
    <x v="0"/>
    <s v=" Sector 69 Gurgaon"/>
    <n v="0"/>
    <n v="0"/>
    <n v="4"/>
    <n v="0"/>
    <n v="2"/>
    <x v="2"/>
    <n v="14"/>
    <n v="0"/>
    <n v="0"/>
    <n v="0"/>
    <n v="0"/>
    <n v="2010.1020513349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0205133491E-2"/>
    <n v="19500000"/>
    <n v="9.7009999999999999E-2"/>
    <x v="3"/>
    <s v="Todo bien"/>
    <x v="0"/>
    <x v="5"/>
    <n v="875.60095789609159"/>
    <x v="1"/>
    <x v="2"/>
    <s v="Pequeña"/>
    <x v="2"/>
    <n v="2010.102051334914"/>
  </r>
  <r>
    <s v="Tulip Violet"/>
    <x v="190"/>
    <n v="8814"/>
    <n v="2"/>
    <x v="0"/>
    <x v="0"/>
    <s v=" Sector 69 Gurgaon"/>
    <n v="0"/>
    <n v="0"/>
    <n v="3"/>
    <n v="0"/>
    <n v="1"/>
    <x v="0"/>
    <n v="14"/>
    <n v="0"/>
    <n v="1"/>
    <n v="0"/>
    <n v="0"/>
    <n v="13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1.35012480145223E-2"/>
    <n v="11900000"/>
    <n v="8.8139999999999996E-2"/>
    <x v="2"/>
    <s v="Todo bien"/>
    <x v="0"/>
    <x v="5"/>
    <n v="588.11470225890412"/>
    <x v="1"/>
    <x v="2"/>
    <s v="Pequeña"/>
    <x v="0"/>
    <n v="1350.124801452235"/>
  </r>
  <r>
    <s v="Tulip Violet"/>
    <x v="100"/>
    <n v="9102"/>
    <n v="3"/>
    <x v="7"/>
    <x v="0"/>
    <s v=" Sector 69 Gurgaon"/>
    <n v="0"/>
    <n v="0"/>
    <n v="3"/>
    <n v="12"/>
    <n v="1"/>
    <x v="1"/>
    <n v="14"/>
    <n v="0"/>
    <n v="0"/>
    <n v="0"/>
    <n v="0"/>
    <n v="1538.1234893430014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81234893430001E-2"/>
    <n v="14000000"/>
    <n v="9.1020000000000004E-2"/>
    <x v="2"/>
    <s v="Todo bien"/>
    <x v="1"/>
    <x v="5"/>
    <n v="670.0069778729943"/>
    <x v="1"/>
    <x v="2"/>
    <s v="Pequeña"/>
    <x v="1"/>
    <n v="1538.1234893430014"/>
  </r>
  <r>
    <s v="Tulip Violet"/>
    <x v="68"/>
    <n v="9459"/>
    <n v="3"/>
    <x v="4"/>
    <x v="0"/>
    <s v=" Sector 69 Gurgaon"/>
    <n v="0"/>
    <n v="0"/>
    <n v="4"/>
    <n v="0"/>
    <n v="2"/>
    <x v="1"/>
    <n v="14"/>
    <n v="0"/>
    <n v="0"/>
    <n v="0"/>
    <n v="0"/>
    <n v="18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8500898615075499E-2"/>
    <n v="17500000"/>
    <n v="9.4589999999999994E-2"/>
    <x v="3"/>
    <s v="Todo bien"/>
    <x v="1"/>
    <x v="5"/>
    <n v="805.89960786023505"/>
    <x v="1"/>
    <x v="2"/>
    <s v="Pequeña"/>
    <x v="0"/>
    <n v="1850.0898615075591"/>
  </r>
  <r>
    <s v="Tulip Violet"/>
    <x v="144"/>
    <n v="8618"/>
    <n v="3"/>
    <x v="0"/>
    <x v="0"/>
    <s v=" Sector 69 Gurgaon"/>
    <n v="0"/>
    <n v="0"/>
    <n v="3"/>
    <n v="12"/>
    <n v="1"/>
    <x v="1"/>
    <n v="14"/>
    <n v="0"/>
    <n v="0"/>
    <n v="1"/>
    <n v="0"/>
    <n v="1039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923648178201E-2"/>
    <n v="13600000"/>
    <n v="8.6180000000000007E-2"/>
    <x v="2"/>
    <s v="Todo bien"/>
    <x v="0"/>
    <x v="4"/>
    <n v="687.41743005801686"/>
    <x v="1"/>
    <x v="0"/>
    <s v="Pequeña"/>
    <x v="1"/>
    <n v="1578.092364817823"/>
  </r>
  <r>
    <s v="Tulip Violet"/>
    <x v="179"/>
    <n v="9569"/>
    <n v="3"/>
    <x v="0"/>
    <x v="0"/>
    <s v=" Sector 69 Gurgaon"/>
    <n v="0"/>
    <n v="0"/>
    <n v="3"/>
    <n v="0"/>
    <n v="2"/>
    <x v="1"/>
    <n v="14"/>
    <n v="0"/>
    <n v="0"/>
    <n v="1"/>
    <n v="0"/>
    <n v="11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57801233148709E-2"/>
    <n v="15100000"/>
    <n v="9.5689999999999997E-2"/>
    <x v="3"/>
    <s v="Todo bien"/>
    <x v="2"/>
    <x v="5"/>
    <n v="687.38256751907045"/>
    <x v="1"/>
    <x v="0"/>
    <s v="Pequeña"/>
    <x v="1"/>
    <n v="1578.0123314870939"/>
  </r>
  <r>
    <s v="Bestech Park View Grand Spa"/>
    <x v="80"/>
    <n v="9136"/>
    <n v="4"/>
    <x v="2"/>
    <x v="0"/>
    <s v=" Sector 81 Gurgaon"/>
    <n v="0"/>
    <n v="0"/>
    <n v="5"/>
    <n v="6"/>
    <n v="2"/>
    <x v="2"/>
    <n v="19"/>
    <n v="1"/>
    <n v="0"/>
    <n v="0"/>
    <n v="0"/>
    <n v="2837"/>
    <m/>
    <n v="318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852014010507801E-2"/>
    <n v="29100000"/>
    <n v="9.1359999999999997E-2"/>
    <x v="5"/>
    <s v="Todo bien"/>
    <x v="1"/>
    <x v="4"/>
    <n v="1387.4745294647514"/>
    <x v="1"/>
    <x v="3"/>
    <s v="Pequeña"/>
    <x v="3"/>
    <n v="3185.2014010507883"/>
  </r>
  <r>
    <s v="Bestech Park View Ananda"/>
    <x v="8"/>
    <n v="6686"/>
    <n v="3"/>
    <x v="4"/>
    <x v="0"/>
    <s v=" Sector 81 Gurgaon"/>
    <n v="0"/>
    <n v="0"/>
    <n v="2"/>
    <n v="5"/>
    <n v="3"/>
    <x v="1"/>
    <n v="15"/>
    <n v="0"/>
    <n v="0"/>
    <n v="0"/>
    <n v="0"/>
    <n v="1034"/>
    <m/>
    <n v="16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2288363745099E-2"/>
    <n v="11000000"/>
    <n v="6.6860000000000003E-2"/>
    <x v="2"/>
    <s v="Todo bien"/>
    <x v="0"/>
    <x v="5"/>
    <n v="716.66209391265159"/>
    <x v="1"/>
    <x v="0"/>
    <s v="Pequeña"/>
    <x v="1"/>
    <n v="1645.2288363745138"/>
  </r>
  <r>
    <s v="Antriksh Heights"/>
    <x v="28"/>
    <n v="4927"/>
    <n v="3"/>
    <x v="5"/>
    <x v="0"/>
    <s v=" Sector 84 Gurgaon"/>
    <n v="0"/>
    <n v="0"/>
    <n v="3"/>
    <n v="10"/>
    <n v="3"/>
    <x v="1"/>
    <n v="19"/>
    <n v="0"/>
    <n v="1"/>
    <n v="0"/>
    <n v="0"/>
    <n v="1725.1877410188756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877410188701E-2"/>
    <n v="8500000"/>
    <n v="4.9270000000000001E-2"/>
    <x v="1"/>
    <s v="Todo bien"/>
    <x v="0"/>
    <x v="1"/>
    <n v="751.49221283742406"/>
    <x v="1"/>
    <x v="2"/>
    <s v="Pequeña"/>
    <x v="1"/>
    <n v="1725.1877410188756"/>
  </r>
  <r>
    <s v="Pyramid Urban Homes "/>
    <x v="273"/>
    <n v="6905"/>
    <n v="2"/>
    <x v="0"/>
    <x v="0"/>
    <s v=" Sector 86 Gurgaon"/>
    <n v="0"/>
    <n v="0"/>
    <n v="2"/>
    <n v="3"/>
    <n v="1"/>
    <x v="0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1375814626996E-3"/>
    <n v="4150000"/>
    <n v="6.905E-2"/>
    <x v="0"/>
    <s v="Todo bien"/>
    <x v="0"/>
    <x v="4"/>
    <n v="261.80174384286715"/>
    <x v="0"/>
    <x v="0"/>
    <s v="Pequeña"/>
    <x v="0"/>
    <n v="601.01375814627079"/>
  </r>
  <r>
    <s v="Pivotal Devaan"/>
    <x v="316"/>
    <n v="6346"/>
    <n v="2"/>
    <x v="7"/>
    <x v="0"/>
    <s v=" Sector 84 Gurgaon"/>
    <n v="0"/>
    <n v="0"/>
    <n v="2"/>
    <n v="5"/>
    <n v="1"/>
    <x v="0"/>
    <n v="14"/>
    <n v="0"/>
    <n v="0"/>
    <n v="0"/>
    <n v="0"/>
    <n v="483"/>
    <m/>
    <n v="583"/>
    <n v="0"/>
    <n v="1"/>
    <n v="0"/>
    <n v="1"/>
    <n v="1"/>
    <n v="0"/>
    <n v="0"/>
    <n v="1"/>
    <n v="1"/>
    <n v="1"/>
    <n v="1"/>
    <n v="1"/>
    <n v="1"/>
    <n v="1"/>
    <n v="1"/>
    <n v="1"/>
    <n v="0"/>
    <n v="4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443744090001E-3"/>
    <n v="3700000"/>
    <n v="6.3460000000000003E-2"/>
    <x v="0"/>
    <s v="Todo bien"/>
    <x v="0"/>
    <x v="4"/>
    <n v="253.97430323510542"/>
    <x v="0"/>
    <x v="1"/>
    <s v="Pequeña"/>
    <x v="0"/>
    <n v="583.04443744090759"/>
  </r>
  <r>
    <s v="Antriksh Heights"/>
    <x v="83"/>
    <n v="4821"/>
    <n v="3"/>
    <x v="1"/>
    <x v="0"/>
    <s v=" Sector 84 Gurgaon"/>
    <n v="0"/>
    <n v="0"/>
    <n v="3"/>
    <n v="16"/>
    <n v="3"/>
    <x v="1"/>
    <n v="19"/>
    <n v="0"/>
    <n v="0"/>
    <n v="1"/>
    <n v="0"/>
    <n v="1825.347438290810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34743829081E-2"/>
    <n v="8800000"/>
    <n v="4.8210000000000003E-2"/>
    <x v="1"/>
    <s v="Todo bien"/>
    <x v="0"/>
    <x v="3"/>
    <n v="795.12180209914914"/>
    <x v="1"/>
    <x v="2"/>
    <s v="Pequeña"/>
    <x v="1"/>
    <n v="1825.3474382908109"/>
  </r>
  <r>
    <s v="Antriksh Heights"/>
    <x v="15"/>
    <n v="4444"/>
    <n v="3"/>
    <x v="1"/>
    <x v="0"/>
    <s v=" Sector 84 Gurgaon"/>
    <n v="0"/>
    <n v="0"/>
    <n v="3"/>
    <n v="18"/>
    <n v="3"/>
    <x v="1"/>
    <n v="19"/>
    <n v="1"/>
    <n v="0"/>
    <n v="1"/>
    <n v="0"/>
    <n v="2025.2025202520251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2025202520198E-2"/>
    <n v="9000000"/>
    <n v="4.444E-2"/>
    <x v="1"/>
    <s v="Todo bien"/>
    <x v="0"/>
    <x v="3"/>
    <n v="882.1787259450922"/>
    <x v="1"/>
    <x v="2"/>
    <s v="Pequeña"/>
    <x v="2"/>
    <n v="2025.2025202520251"/>
  </r>
  <r>
    <s v="Tulip Violet"/>
    <x v="260"/>
    <n v="8886"/>
    <n v="3"/>
    <x v="6"/>
    <x v="0"/>
    <s v=" Sector 69 Gurgaon"/>
    <n v="0"/>
    <n v="0"/>
    <n v="3"/>
    <n v="1"/>
    <n v="2"/>
    <x v="1"/>
    <n v="14"/>
    <n v="0"/>
    <n v="0"/>
    <n v="1"/>
    <n v="0"/>
    <n v="1039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x v="2"/>
    <s v="Todo bien"/>
    <x v="0"/>
    <x v="4"/>
    <n v="700.9997285471519"/>
    <x v="1"/>
    <x v="0"/>
    <s v="Pequeña"/>
    <x v="1"/>
    <n v="1609.2730137294623"/>
  </r>
  <r>
    <s v="Tulip Violet"/>
    <x v="65"/>
    <n v="8972"/>
    <n v="3"/>
    <x v="0"/>
    <x v="0"/>
    <s v=" Sector 69 Gurgaon"/>
    <n v="0"/>
    <n v="0"/>
    <n v="3"/>
    <n v="12"/>
    <n v="1"/>
    <x v="1"/>
    <n v="14"/>
    <n v="0"/>
    <n v="0"/>
    <n v="0"/>
    <n v="0"/>
    <n v="1538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x v="2"/>
    <s v="Todo bien"/>
    <x v="0"/>
    <x v="5"/>
    <n v="670.00484422870863"/>
    <x v="1"/>
    <x v="2"/>
    <s v="Pequeña"/>
    <x v="0"/>
    <n v="1538.118591172537"/>
  </r>
  <r>
    <s v="Tulip Violet"/>
    <x v="6"/>
    <n v="9583"/>
    <n v="4"/>
    <x v="3"/>
    <x v="0"/>
    <s v=" Sector 69 Gurgaon"/>
    <n v="0"/>
    <n v="0"/>
    <n v="4"/>
    <n v="0"/>
    <n v="2"/>
    <x v="2"/>
    <n v="14"/>
    <n v="0"/>
    <n v="0"/>
    <n v="0"/>
    <n v="0"/>
    <n v="2087.0291140561412"/>
    <m/>
    <n v="208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870291140561398E-2"/>
    <n v="20000000"/>
    <n v="9.5829999999999999E-2"/>
    <x v="3"/>
    <s v="Todo bien"/>
    <x v="0"/>
    <x v="5"/>
    <n v="909.11040571845933"/>
    <x v="1"/>
    <x v="2"/>
    <s v="Pequeña"/>
    <x v="2"/>
    <n v="2087.0291140561412"/>
  </r>
  <r>
    <s v="Tulip Violet"/>
    <x v="46"/>
    <n v="9639"/>
    <n v="3"/>
    <x v="4"/>
    <x v="0"/>
    <s v=" Sector 69 Gurgaon"/>
    <n v="0"/>
    <n v="0"/>
    <n v="3"/>
    <n v="2"/>
    <n v="2"/>
    <x v="1"/>
    <n v="14"/>
    <n v="0"/>
    <n v="0"/>
    <n v="1"/>
    <n v="0"/>
    <n v="1608.0506276584708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80506276584701E-2"/>
    <n v="15500000"/>
    <n v="9.6390000000000003E-2"/>
    <x v="3"/>
    <s v="Todo bien"/>
    <x v="1"/>
    <x v="4"/>
    <n v="700.46725686793206"/>
    <x v="1"/>
    <x v="2"/>
    <s v="Pequeña"/>
    <x v="1"/>
    <n v="1608.0506276584708"/>
  </r>
  <r>
    <s v="Tulip Violet"/>
    <x v="369"/>
    <n v="9252"/>
    <n v="3"/>
    <x v="2"/>
    <x v="0"/>
    <s v=" Sector 69 Gurgaon"/>
    <n v="0"/>
    <n v="0"/>
    <n v="3"/>
    <n v="0"/>
    <n v="2"/>
    <x v="1"/>
    <n v="14"/>
    <n v="0"/>
    <n v="0"/>
    <n v="1"/>
    <n v="0"/>
    <n v="1578.0371811500215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5780371811500198E-2"/>
    <n v="14600000"/>
    <n v="9.2520000000000005E-2"/>
    <x v="2"/>
    <s v="Todo bien"/>
    <x v="1"/>
    <x v="5"/>
    <n v="687.39339203847749"/>
    <x v="1"/>
    <x v="2"/>
    <s v="Pequeña"/>
    <x v="1"/>
    <n v="1578.0371811500215"/>
  </r>
  <r>
    <s v="Tulip Violet"/>
    <x v="235"/>
    <n v="10071"/>
    <n v="3"/>
    <x v="0"/>
    <x v="0"/>
    <s v=" Sector 69 Gurgaon"/>
    <n v="0"/>
    <n v="0"/>
    <n v="3"/>
    <n v="0"/>
    <n v="2"/>
    <x v="1"/>
    <n v="14"/>
    <n v="0"/>
    <n v="0"/>
    <n v="0"/>
    <n v="0"/>
    <n v="1668.1560917485851"/>
    <m/>
    <n v="166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81560917485801E-2"/>
    <n v="16800000"/>
    <n v="0.10070999999999999"/>
    <x v="3"/>
    <s v="Todo bien"/>
    <x v="0"/>
    <x v="5"/>
    <n v="726.64921210604496"/>
    <x v="1"/>
    <x v="2"/>
    <s v="Pequeña"/>
    <x v="1"/>
    <n v="1668.1560917485851"/>
  </r>
  <r>
    <s v="Tulip Violet"/>
    <x v="56"/>
    <n v="8888"/>
    <n v="2"/>
    <x v="7"/>
    <x v="0"/>
    <s v=" Sector 69 Gurgaon"/>
    <n v="0"/>
    <n v="0"/>
    <n v="3"/>
    <n v="0"/>
    <n v="1"/>
    <x v="0"/>
    <n v="14"/>
    <n v="0"/>
    <n v="0"/>
    <n v="0"/>
    <n v="0"/>
    <n v="1350.1350135013502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2000000"/>
    <n v="8.8880000000000001E-2"/>
    <x v="2"/>
    <s v="Todo bien"/>
    <x v="0"/>
    <x v="5"/>
    <n v="588.1191506300629"/>
    <x v="1"/>
    <x v="2"/>
    <s v="Pequeña"/>
    <x v="1"/>
    <n v="1350.1350135013502"/>
  </r>
  <r>
    <s v="Tulip Violet"/>
    <x v="300"/>
    <n v="10134"/>
    <n v="3"/>
    <x v="6"/>
    <x v="0"/>
    <s v=" Sector 69 Gurgaon"/>
    <n v="0"/>
    <n v="0"/>
    <n v="3"/>
    <n v="0"/>
    <n v="2"/>
    <x v="1"/>
    <n v="14"/>
    <n v="0"/>
    <n v="0"/>
    <n v="0"/>
    <n v="0"/>
    <n v="1638.0501282810342"/>
    <m/>
    <n v="16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0501282810302E-2"/>
    <n v="16600000"/>
    <n v="0.10134"/>
    <x v="3"/>
    <s v="Todo bien"/>
    <x v="0"/>
    <x v="5"/>
    <n v="713.53504686599399"/>
    <x v="1"/>
    <x v="2"/>
    <s v="Pequeña"/>
    <x v="1"/>
    <n v="1638.0501282810342"/>
  </r>
  <r>
    <s v="Tulip Violet"/>
    <x v="26"/>
    <n v="10139"/>
    <n v="3"/>
    <x v="7"/>
    <x v="0"/>
    <s v=" Sector 69 Gurgaon"/>
    <n v="0"/>
    <n v="0"/>
    <n v="3"/>
    <n v="0"/>
    <n v="2"/>
    <x v="1"/>
    <n v="14"/>
    <n v="0"/>
    <n v="0"/>
    <n v="1"/>
    <n v="0"/>
    <n v="1578.06489791892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x v="3"/>
    <s v="Todo bien"/>
    <x v="0"/>
    <x v="5"/>
    <n v="687.4054654699645"/>
    <x v="1"/>
    <x v="2"/>
    <s v="Pequeña"/>
    <x v="1"/>
    <n v="1578.064897918927"/>
  </r>
  <r>
    <s v="Tulip Violet"/>
    <x v="184"/>
    <n v="9513"/>
    <n v="3"/>
    <x v="6"/>
    <x v="0"/>
    <s v=" Sector 69 Gurgaon"/>
    <n v="0"/>
    <n v="0"/>
    <n v="4"/>
    <n v="0"/>
    <n v="2"/>
    <x v="1"/>
    <n v="14"/>
    <n v="0"/>
    <n v="0"/>
    <n v="0"/>
    <n v="0"/>
    <n v="1850.0998633448964"/>
    <m/>
    <n v="18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998633448899E-2"/>
    <n v="17600000"/>
    <n v="9.5130000000000006E-2"/>
    <x v="3"/>
    <s v="Todo bien"/>
    <x v="0"/>
    <x v="5"/>
    <n v="805.90396466308982"/>
    <x v="1"/>
    <x v="2"/>
    <s v="Pequeña"/>
    <x v="1"/>
    <n v="1850.0998633448964"/>
  </r>
  <r>
    <s v="Antriksh Heights"/>
    <x v="91"/>
    <n v="5000"/>
    <n v="2"/>
    <x v="5"/>
    <x v="0"/>
    <s v=" Sector 84 Gurgaon"/>
    <n v="0"/>
    <n v="0"/>
    <n v="2"/>
    <n v="14"/>
    <n v="2"/>
    <x v="0"/>
    <n v="19"/>
    <n v="0"/>
    <n v="0"/>
    <n v="0"/>
    <n v="0"/>
    <n v="1200"/>
    <m/>
    <n v="1200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6000000"/>
    <n v="0.05"/>
    <x v="1"/>
    <s v="Todo bien"/>
    <x v="0"/>
    <x v="1"/>
    <n v="522.72030108000001"/>
    <x v="1"/>
    <x v="0"/>
    <s v="Pequeña"/>
    <x v="1"/>
    <n v="1200"/>
  </r>
  <r>
    <s v="Antriksh Heights"/>
    <x v="119"/>
    <n v="5041"/>
    <n v="3"/>
    <x v="4"/>
    <x v="0"/>
    <s v=" Sector 84 Gurgaon"/>
    <n v="0"/>
    <n v="0"/>
    <n v="3"/>
    <n v="2"/>
    <n v="3"/>
    <x v="1"/>
    <n v="19"/>
    <n v="0"/>
    <n v="1"/>
    <n v="1"/>
    <n v="0"/>
    <n v="1825.034715334258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347153342499E-2"/>
    <n v="9200000"/>
    <n v="5.0410000000000003E-2"/>
    <x v="1"/>
    <s v="Todo bien"/>
    <x v="0"/>
    <x v="3"/>
    <n v="794.9855799008094"/>
    <x v="1"/>
    <x v="2"/>
    <s v="Pequeña"/>
    <x v="1"/>
    <n v="1825.0347153342589"/>
  </r>
  <r>
    <s v="Antriksh Heights"/>
    <x v="174"/>
    <n v="5111"/>
    <n v="2"/>
    <x v="0"/>
    <x v="0"/>
    <s v=" Sector 84 Gurgaon"/>
    <n v="0"/>
    <n v="0"/>
    <n v="2"/>
    <n v="8"/>
    <n v="3"/>
    <x v="0"/>
    <n v="19"/>
    <n v="0"/>
    <n v="1"/>
    <n v="0"/>
    <n v="0"/>
    <n v="1350.029348464097"/>
    <m/>
    <n v="1350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934846409E-2"/>
    <n v="6900000"/>
    <n v="5.1110000000000003E-2"/>
    <x v="1"/>
    <s v="Todo bien"/>
    <x v="0"/>
    <x v="3"/>
    <n v="588.07312291332119"/>
    <x v="1"/>
    <x v="2"/>
    <s v="Pequeña"/>
    <x v="1"/>
    <n v="1350.029348464097"/>
  </r>
  <r>
    <s v="DLF New Town Heights "/>
    <x v="179"/>
    <n v="6387"/>
    <n v="4"/>
    <x v="8"/>
    <x v="0"/>
    <s v=" Sector 90 Gurgaon"/>
    <n v="0"/>
    <n v="0"/>
    <n v="4"/>
    <n v="6"/>
    <n v="3"/>
    <x v="2"/>
    <n v="19"/>
    <n v="1"/>
    <n v="0"/>
    <n v="1"/>
    <n v="0"/>
    <n v="2360"/>
    <n v="2362"/>
    <n v="2364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2"/>
    <n v="1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3641772350086101E-2"/>
    <n v="15100000"/>
    <n v="6.3869999999999996E-2"/>
    <x v="3"/>
    <s v="Todo bien"/>
    <x v="1"/>
    <x v="5"/>
    <n v="1029.8361967418189"/>
    <x v="1"/>
    <x v="2"/>
    <s v="Grande"/>
    <x v="2"/>
    <n v="2364.1772350086112"/>
  </r>
  <r>
    <s v="Sare Homes"/>
    <x v="53"/>
    <n v="4587"/>
    <n v="3"/>
    <x v="1"/>
    <x v="0"/>
    <s v=" Sector 92 Gurgaon"/>
    <n v="0"/>
    <n v="0"/>
    <n v="3"/>
    <n v="3"/>
    <n v="2"/>
    <x v="1"/>
    <n v="22"/>
    <n v="0"/>
    <n v="0"/>
    <n v="0"/>
    <n v="0"/>
    <n v="1417"/>
    <m/>
    <m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70481796381E-2"/>
    <n v="6500000"/>
    <n v="4.5870000000000001E-2"/>
    <x v="1"/>
    <s v="Todo bien"/>
    <x v="0"/>
    <x v="2"/>
    <n v="617.26654258774465"/>
    <x v="1"/>
    <x v="2"/>
    <s v="Pequeña"/>
    <x v="0"/>
    <n v="1417.0481796381077"/>
  </r>
  <r>
    <s v="Sare Crescent Parc"/>
    <x v="306"/>
    <n v="4080"/>
    <n v="3"/>
    <x v="5"/>
    <x v="0"/>
    <s v=" Sector 92 Gurgaon"/>
    <n v="0"/>
    <n v="0"/>
    <n v="2"/>
    <n v="2"/>
    <n v="2"/>
    <x v="1"/>
    <n v="4"/>
    <n v="0"/>
    <n v="0"/>
    <n v="0"/>
    <n v="0"/>
    <n v="1250"/>
    <m/>
    <n v="1250"/>
    <n v="0"/>
    <n v="0"/>
    <n v="1"/>
    <n v="1"/>
    <n v="1"/>
    <n v="0"/>
    <n v="1"/>
    <n v="1"/>
    <n v="1"/>
    <n v="1"/>
    <n v="0"/>
    <n v="0"/>
    <n v="1"/>
    <n v="0"/>
    <n v="0"/>
    <n v="1"/>
    <n v="1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5100000"/>
    <n v="4.0800000000000003E-2"/>
    <x v="1"/>
    <s v="Todo bien"/>
    <x v="0"/>
    <x v="3"/>
    <n v="544.5003136250001"/>
    <x v="1"/>
    <x v="2"/>
    <s v="Pequeña"/>
    <x v="1"/>
    <n v="1250"/>
  </r>
  <r>
    <s v="Vatika Iris Floors"/>
    <x v="370"/>
    <n v="5590"/>
    <n v="2"/>
    <x v="4"/>
    <x v="0"/>
    <s v=" Sector 82 Gurgaon"/>
    <n v="0"/>
    <n v="0"/>
    <n v="2"/>
    <n v="2"/>
    <n v="3"/>
    <x v="0"/>
    <n v="3"/>
    <n v="0"/>
    <n v="1"/>
    <n v="0"/>
    <n v="0"/>
    <n v="1134.1681574239715"/>
    <m/>
    <n v="1134"/>
    <n v="1"/>
    <n v="1"/>
    <n v="1"/>
    <n v="1"/>
    <n v="0"/>
    <n v="0"/>
    <n v="1"/>
    <n v="1"/>
    <n v="1"/>
    <n v="1"/>
    <n v="1"/>
    <n v="0"/>
    <n v="0"/>
    <n v="1"/>
    <n v="1"/>
    <n v="1"/>
    <n v="1"/>
    <n v="46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416815742397E-2"/>
    <n v="6340000"/>
    <n v="5.5899999999999998E-2"/>
    <x v="1"/>
    <s v="Todo bien"/>
    <x v="0"/>
    <x v="4"/>
    <n v="494.04393393667209"/>
    <x v="0"/>
    <x v="0"/>
    <s v="Pequeña"/>
    <x v="1"/>
    <n v="1134.1681574239715"/>
  </r>
  <r>
    <s v="DLF New Town Heights "/>
    <x v="150"/>
    <n v="5786"/>
    <n v="4"/>
    <x v="7"/>
    <x v="5"/>
    <s v=" Sector 86 Gurgaon"/>
    <n v="0"/>
    <n v="0"/>
    <n v="4"/>
    <n v="21"/>
    <n v="3"/>
    <x v="2"/>
    <n v="22"/>
    <n v="1"/>
    <n v="1"/>
    <n v="1"/>
    <n v="0"/>
    <n v="2661.596958174905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15969581748999E-2"/>
    <n v="15400000"/>
    <n v="5.7860000000000002E-2"/>
    <x v="3"/>
    <s v="Todo bien"/>
    <x v="0"/>
    <x v="4"/>
    <n v="1159.3923027756632"/>
    <x v="1"/>
    <x v="3"/>
    <s v="Pequeña"/>
    <x v="2"/>
    <n v="2661.596958174905"/>
  </r>
  <r>
    <s v="Bestech Park View Ananda"/>
    <x v="13"/>
    <n v="6985"/>
    <n v="2"/>
    <x v="3"/>
    <x v="0"/>
    <s v=" Sector 81 Gurgaon"/>
    <n v="0"/>
    <n v="0"/>
    <n v="2"/>
    <n v="13"/>
    <n v="2"/>
    <x v="0"/>
    <n v="15"/>
    <n v="0"/>
    <n v="0"/>
    <n v="0"/>
    <n v="0"/>
    <n v="894"/>
    <n v="1150"/>
    <n v="13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x v="1"/>
    <s v="Todo bien"/>
    <x v="1"/>
    <x v="5"/>
    <n v="592.44128612025486"/>
    <x v="1"/>
    <x v="0"/>
    <s v="Mediana"/>
    <x v="1"/>
    <n v="1360.0572655690767"/>
  </r>
  <r>
    <s v="DLF Regal Gardens"/>
    <x v="255"/>
    <n v="6926"/>
    <n v="3"/>
    <x v="0"/>
    <x v="0"/>
    <s v=" Sector 90 Gurgaon"/>
    <n v="0"/>
    <n v="0"/>
    <n v="3"/>
    <n v="29"/>
    <n v="3"/>
    <x v="1"/>
    <n v="29"/>
    <n v="0"/>
    <n v="0"/>
    <n v="0"/>
    <n v="0"/>
    <n v="1747.0401386081433"/>
    <m/>
    <n v="1747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70401386081399E-2"/>
    <n v="12100000"/>
    <n v="6.9260000000000002E-2"/>
    <x v="2"/>
    <s v="Todo bien"/>
    <x v="0"/>
    <x v="4"/>
    <n v="761.01112271007662"/>
    <x v="1"/>
    <x v="2"/>
    <s v="Pequeña"/>
    <x v="1"/>
    <n v="1747.0401386081433"/>
  </r>
  <r>
    <s v="DLF The Ultima"/>
    <x v="18"/>
    <n v="11190"/>
    <n v="3"/>
    <x v="2"/>
    <x v="0"/>
    <s v=" Sector 81 Gurgaon"/>
    <n v="0"/>
    <n v="0"/>
    <n v="4"/>
    <n v="7"/>
    <n v="3"/>
    <x v="1"/>
    <n v="30"/>
    <n v="1"/>
    <n v="0"/>
    <n v="0"/>
    <n v="0"/>
    <n v="1966.0411081322611"/>
    <m/>
    <n v="2100"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1"/>
    <n v="0"/>
    <n v="0"/>
    <n v="1"/>
    <n v="3"/>
    <n v="1"/>
    <n v="0"/>
    <n v="0"/>
    <n v="0"/>
    <n v="0"/>
    <n v="0"/>
    <n v="0"/>
    <n v="1"/>
    <n v="1.9660411081322601E-2"/>
    <n v="22000000.000000004"/>
    <n v="0.1119"/>
    <x v="3"/>
    <s v="Todo bien"/>
    <x v="2"/>
    <x v="4"/>
    <n v="856.40799998212651"/>
    <x v="1"/>
    <x v="2"/>
    <s v="Pequeña"/>
    <x v="2"/>
    <n v="1966.0411081322611"/>
  </r>
  <r>
    <s v="DLF Regal Gardens"/>
    <x v="71"/>
    <n v="7449"/>
    <n v="4"/>
    <x v="4"/>
    <x v="0"/>
    <s v=" Sector 90 Gurgaon"/>
    <n v="0"/>
    <n v="0"/>
    <n v="4"/>
    <n v="15"/>
    <n v="3"/>
    <x v="2"/>
    <n v="29"/>
    <n v="0"/>
    <n v="0"/>
    <n v="0"/>
    <n v="0"/>
    <n v="2213"/>
    <n v="2214"/>
    <n v="221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2150624244865001E-2"/>
    <n v="16500000"/>
    <n v="7.4490000000000001E-2"/>
    <x v="3"/>
    <s v="Todo bien"/>
    <x v="1"/>
    <x v="5"/>
    <n v="964.88174786548177"/>
    <x v="1"/>
    <x v="2"/>
    <s v="Grande"/>
    <x v="2"/>
    <n v="2215.0624244865085"/>
  </r>
  <r>
    <s v="Antriksh Heights"/>
    <x v="15"/>
    <n v="4931"/>
    <n v="3"/>
    <x v="8"/>
    <x v="0"/>
    <s v=" Sector 84 Gurgaon"/>
    <n v="0"/>
    <n v="0"/>
    <n v="3"/>
    <n v="11"/>
    <n v="3"/>
    <x v="1"/>
    <n v="19"/>
    <n v="0"/>
    <n v="0"/>
    <n v="0"/>
    <n v="0"/>
    <n v="1825.1875887243966"/>
    <m/>
    <n v="1825"/>
    <n v="0"/>
    <n v="1"/>
    <n v="1"/>
    <n v="1"/>
    <n v="1"/>
    <n v="0"/>
    <n v="1"/>
    <n v="1"/>
    <n v="1"/>
    <n v="1"/>
    <n v="1"/>
    <n v="1"/>
    <n v="1"/>
    <n v="0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1875887243901E-2"/>
    <n v="9000000"/>
    <n v="4.931E-2"/>
    <x v="1"/>
    <s v="Todo bien"/>
    <x v="0"/>
    <x v="5"/>
    <n v="795.05217158791038"/>
    <x v="1"/>
    <x v="2"/>
    <s v="Pequeña"/>
    <x v="1"/>
    <n v="1825.1875887243966"/>
  </r>
  <r>
    <s v="Antriksh Heights"/>
    <x v="345"/>
    <n v="4458"/>
    <n v="2"/>
    <x v="7"/>
    <x v="0"/>
    <s v=" Sector 84 Gurgaon"/>
    <n v="0"/>
    <n v="0"/>
    <n v="2"/>
    <n v="17"/>
    <n v="3"/>
    <x v="0"/>
    <n v="19"/>
    <n v="0"/>
    <n v="0"/>
    <n v="0"/>
    <n v="0"/>
    <n v="1200.0897263346792"/>
    <m/>
    <n v="1200"/>
    <n v="0"/>
    <n v="1"/>
    <n v="1"/>
    <n v="1"/>
    <n v="1"/>
    <n v="0"/>
    <n v="1"/>
    <n v="1"/>
    <n v="1"/>
    <n v="1"/>
    <n v="0"/>
    <n v="1"/>
    <n v="1"/>
    <n v="0"/>
    <n v="0"/>
    <n v="1"/>
    <n v="1"/>
    <n v="47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8972633467E-2"/>
    <n v="5350000"/>
    <n v="4.4580000000000002E-2"/>
    <x v="1"/>
    <s v="Todo bien"/>
    <x v="0"/>
    <x v="4"/>
    <n v="522.75938589389466"/>
    <x v="1"/>
    <x v="2"/>
    <s v="Pequeña"/>
    <x v="1"/>
    <n v="1200.0897263346792"/>
  </r>
  <r>
    <s v="Antriksh Heights"/>
    <x v="257"/>
    <n v="4868"/>
    <n v="4"/>
    <x v="5"/>
    <x v="0"/>
    <s v=" Sector 84 Gurgaon"/>
    <n v="0"/>
    <n v="0"/>
    <n v="4"/>
    <n v="11"/>
    <n v="3"/>
    <x v="2"/>
    <n v="19"/>
    <n v="1"/>
    <n v="0"/>
    <n v="1"/>
    <n v="0"/>
    <n v="2095.3163516844697"/>
    <m/>
    <n v="2095"/>
    <n v="0"/>
    <n v="1"/>
    <n v="1"/>
    <n v="1"/>
    <n v="1"/>
    <n v="0"/>
    <n v="1"/>
    <n v="1"/>
    <n v="1"/>
    <n v="1"/>
    <n v="1"/>
    <n v="1"/>
    <n v="1"/>
    <n v="1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163516844699E-2"/>
    <n v="10200000"/>
    <n v="4.8680000000000001E-2"/>
    <x v="2"/>
    <s v="Todo bien"/>
    <x v="0"/>
    <x v="5"/>
    <n v="912.72032850862774"/>
    <x v="1"/>
    <x v="2"/>
    <s v="Pequeña"/>
    <x v="2"/>
    <n v="2095.3163516844697"/>
  </r>
  <r>
    <s v="DLF Regal Gardens"/>
    <x v="186"/>
    <n v="8040"/>
    <n v="4"/>
    <x v="2"/>
    <x v="0"/>
    <s v=" Sector 90 Gurgaon"/>
    <n v="0"/>
    <n v="0"/>
    <n v="4"/>
    <n v="12"/>
    <n v="3"/>
    <x v="2"/>
    <n v="29"/>
    <n v="0"/>
    <n v="0"/>
    <n v="0"/>
    <n v="0"/>
    <n v="2213.9303482587065"/>
    <m/>
    <n v="2215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39303482587001E-2"/>
    <n v="17800000"/>
    <n v="8.0399999999999999E-2"/>
    <x v="3"/>
    <s v="Todo bien"/>
    <x v="0"/>
    <x v="3"/>
    <n v="964.38861517661417"/>
    <x v="1"/>
    <x v="2"/>
    <s v="Pequeña"/>
    <x v="2"/>
    <n v="2213.9303482587065"/>
  </r>
  <r>
    <s v="DLF Regal Gardens"/>
    <x v="70"/>
    <n v="7103"/>
    <n v="3"/>
    <x v="3"/>
    <x v="0"/>
    <s v=" Sector 90 Gurgaon"/>
    <n v="0"/>
    <n v="0"/>
    <n v="3"/>
    <n v="12"/>
    <n v="3"/>
    <x v="1"/>
    <n v="29"/>
    <n v="1"/>
    <n v="0"/>
    <n v="0"/>
    <n v="0"/>
    <n v="1816"/>
    <n v="1817"/>
    <n v="18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8161340278755399E-2"/>
    <n v="12900000"/>
    <n v="7.1029999999999996E-2"/>
    <x v="2"/>
    <s v="Todo bien"/>
    <x v="1"/>
    <x v="5"/>
    <n v="791.1084382106128"/>
    <x v="1"/>
    <x v="2"/>
    <s v="Grande"/>
    <x v="1"/>
    <n v="1816.1340278755456"/>
  </r>
  <r>
    <s v="DLF Regal Gardens"/>
    <x v="43"/>
    <n v="5931"/>
    <n v="3"/>
    <x v="2"/>
    <x v="0"/>
    <s v=" Sector 90 Gurgaon"/>
    <n v="0"/>
    <n v="0"/>
    <n v="3"/>
    <n v="18"/>
    <n v="3"/>
    <x v="1"/>
    <n v="19"/>
    <n v="0"/>
    <n v="0"/>
    <n v="0"/>
    <n v="0"/>
    <n v="2107.5703928511211"/>
    <m/>
    <n v="172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757039285112E-2"/>
    <n v="12500000"/>
    <n v="5.9310000000000002E-2"/>
    <x v="2"/>
    <s v="Todo bien"/>
    <x v="0"/>
    <x v="3"/>
    <n v="918.05819191535943"/>
    <x v="1"/>
    <x v="2"/>
    <s v="Pequeña"/>
    <x v="1"/>
    <n v="2107.5703928511211"/>
  </r>
  <r>
    <s v="DLF The Ultima"/>
    <x v="51"/>
    <n v="11726"/>
    <n v="3"/>
    <x v="3"/>
    <x v="0"/>
    <s v=" Sector 81 Gurgaon"/>
    <n v="0"/>
    <n v="0"/>
    <n v="3"/>
    <n v="4"/>
    <n v="2"/>
    <x v="1"/>
    <n v="29"/>
    <n v="1"/>
    <n v="0"/>
    <n v="0"/>
    <n v="0"/>
    <n v="2129"/>
    <n v="2130"/>
    <n v="213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0"/>
    <n v="0"/>
    <n v="0"/>
    <n v="0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1320143271362699E-2"/>
    <n v="25000000"/>
    <n v="0.11726"/>
    <x v="3"/>
    <s v="Todo bien"/>
    <x v="2"/>
    <x v="3"/>
    <n v="928.70597582295397"/>
    <x v="1"/>
    <x v="2"/>
    <s v="Grande"/>
    <x v="2"/>
    <n v="2132.0143271362781"/>
  </r>
  <r>
    <s v="AIPL The Peaceful Homes"/>
    <x v="349"/>
    <n v="10723"/>
    <n v="3"/>
    <x v="0"/>
    <x v="0"/>
    <s v=" Sector 70A Gurgaon"/>
    <n v="0"/>
    <n v="0"/>
    <n v="4"/>
    <n v="8"/>
    <n v="3"/>
    <x v="1"/>
    <n v="30"/>
    <n v="1"/>
    <n v="0"/>
    <n v="0"/>
    <n v="0"/>
    <n v="2350.0885946097173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3500885946097099E-2"/>
    <n v="25200000"/>
    <n v="0.10723000000000001"/>
    <x v="5"/>
    <s v="Todo bien"/>
    <x v="1"/>
    <x v="5"/>
    <n v="1023.6991814492181"/>
    <x v="1"/>
    <x v="2"/>
    <s v="Pequeña"/>
    <x v="2"/>
    <n v="2350.0885946097173"/>
  </r>
  <r>
    <s v="Central Park Flower Valley"/>
    <x v="133"/>
    <n v="12777"/>
    <n v="4"/>
    <x v="2"/>
    <x v="2"/>
    <s v=" Sector-33 Sohna"/>
    <n v="0"/>
    <n v="0"/>
    <n v="4"/>
    <n v="5"/>
    <n v="3"/>
    <x v="2"/>
    <n v="13"/>
    <n v="1"/>
    <n v="0"/>
    <n v="1"/>
    <n v="0"/>
    <n v="180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1.8001095718869799E-2"/>
    <n v="23000000"/>
    <n v="0.12776999999999999"/>
    <x v="3"/>
    <s v="Todo bien"/>
    <x v="1"/>
    <x v="1"/>
    <n v="784.12818116146002"/>
    <x v="1"/>
    <x v="2"/>
    <s v="Pequeña"/>
    <x v="0"/>
    <n v="1800.1095718869844"/>
  </r>
  <r>
    <s v="Central Park Flower Valley"/>
    <x v="46"/>
    <n v="11923"/>
    <n v="3"/>
    <x v="2"/>
    <x v="2"/>
    <s v=" Sector-33 Sohna"/>
    <n v="0"/>
    <n v="0"/>
    <n v="3"/>
    <n v="7"/>
    <n v="3"/>
    <x v="1"/>
    <n v="13"/>
    <n v="0"/>
    <n v="0"/>
    <n v="0"/>
    <n v="0"/>
    <n v="1300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0"/>
    <x v="0"/>
    <x v="0"/>
    <x v="1"/>
    <n v="0"/>
    <n v="4"/>
    <n v="1"/>
    <n v="4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30000838715088E-2"/>
    <n v="15500000"/>
    <n v="0.11923"/>
    <x v="3"/>
    <s v="Todo bien"/>
    <x v="1"/>
    <x v="0"/>
    <n v="566.28397961502765"/>
    <x v="1"/>
    <x v="2"/>
    <s v="Pequeña"/>
    <x v="0"/>
    <n v="1300.0083871508848"/>
  </r>
  <r>
    <s v="DLF New Town Heights "/>
    <x v="56"/>
    <n v="6217"/>
    <n v="3"/>
    <x v="5"/>
    <x v="0"/>
    <s v=" Sector 90 Gurgaon"/>
    <n v="0"/>
    <n v="0"/>
    <n v="3"/>
    <n v="15"/>
    <n v="3"/>
    <x v="1"/>
    <n v="19"/>
    <n v="0"/>
    <n v="0"/>
    <n v="0"/>
    <n v="0"/>
    <n v="1930.1914106482225"/>
    <m/>
    <n v="1930"/>
    <n v="0"/>
    <n v="0"/>
    <n v="1"/>
    <n v="0"/>
    <n v="1"/>
    <n v="0"/>
    <n v="0"/>
    <n v="1"/>
    <n v="1"/>
    <n v="1"/>
    <n v="0"/>
    <n v="0"/>
    <n v="1"/>
    <n v="0"/>
    <n v="0"/>
    <n v="1"/>
    <n v="1"/>
    <n v="2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x v="2"/>
    <s v="Todo bien"/>
    <x v="0"/>
    <x v="1"/>
    <n v="840.79186276338964"/>
    <x v="1"/>
    <x v="2"/>
    <s v="Pequeña"/>
    <x v="1"/>
    <n v="1930.1914106482225"/>
  </r>
  <r>
    <s v="DLF New Town Heights "/>
    <x v="71"/>
    <n v="6979"/>
    <n v="4"/>
    <x v="3"/>
    <x v="5"/>
    <s v=" Sector 90 Gurgaon"/>
    <n v="0"/>
    <n v="0"/>
    <n v="4"/>
    <n v="15"/>
    <n v="3"/>
    <x v="2"/>
    <n v="19"/>
    <n v="1"/>
    <n v="0"/>
    <n v="0"/>
    <n v="0"/>
    <n v="2364.2355638343602"/>
    <m/>
    <n v="2364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642355638343601E-2"/>
    <n v="16500000"/>
    <n v="6.9790000000000005E-2"/>
    <x v="3"/>
    <s v="Todo bien"/>
    <x v="1"/>
    <x v="5"/>
    <n v="1029.8616047929502"/>
    <x v="1"/>
    <x v="2"/>
    <s v="Pequeña"/>
    <x v="2"/>
    <n v="2364.2355638343602"/>
  </r>
  <r>
    <s v="Mapsko Mount Ville"/>
    <x v="43"/>
    <n v="8389"/>
    <n v="3"/>
    <x v="5"/>
    <x v="0"/>
    <s v=" Sector 79 Gurgaon"/>
    <n v="0"/>
    <n v="0"/>
    <n v="3"/>
    <n v="16"/>
    <n v="3"/>
    <x v="1"/>
    <n v="31"/>
    <n v="0"/>
    <n v="0"/>
    <n v="0"/>
    <n v="0"/>
    <n v="149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49004648945047E-2"/>
    <n v="12500000"/>
    <n v="8.3890000000000006E-2"/>
    <x v="2"/>
    <s v="Todo bien"/>
    <x v="1"/>
    <x v="1"/>
    <n v="649.06462465728896"/>
    <x v="1"/>
    <x v="2"/>
    <s v="Pequeña"/>
    <x v="0"/>
    <n v="1490.0464894504707"/>
  </r>
  <r>
    <s v="Mapsko Mount Ville"/>
    <x v="56"/>
    <n v="8053"/>
    <n v="3"/>
    <x v="0"/>
    <x v="0"/>
    <s v=" Sector 79 Gurgaon"/>
    <n v="0"/>
    <n v="0"/>
    <n v="3"/>
    <n v="24"/>
    <n v="3"/>
    <x v="1"/>
    <n v="30"/>
    <n v="0"/>
    <n v="0"/>
    <n v="0"/>
    <n v="0"/>
    <n v="1490.127902644977"/>
    <m/>
    <n v="149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x v="2"/>
    <s v="Todo bien"/>
    <x v="1"/>
    <x v="2"/>
    <n v="649.10008826523972"/>
    <x v="1"/>
    <x v="2"/>
    <s v="Pequeña"/>
    <x v="1"/>
    <n v="1490.127902644977"/>
  </r>
  <r>
    <s v="Tulip Leaf"/>
    <x v="371"/>
    <n v="11386"/>
    <n v="3"/>
    <x v="6"/>
    <x v="0"/>
    <s v=" Sector 69 Gurgaon"/>
    <n v="0"/>
    <n v="0"/>
    <n v="3"/>
    <n v="16"/>
    <n v="3"/>
    <x v="1"/>
    <n v="20"/>
    <n v="0"/>
    <n v="0"/>
    <n v="0"/>
    <n v="0"/>
    <n v="1809.239416827683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923941682768E-2"/>
    <n v="20600000"/>
    <n v="0.11386"/>
    <x v="3"/>
    <s v="Todo bien"/>
    <x v="0"/>
    <x v="1"/>
    <n v="788.10514390830713"/>
    <x v="1"/>
    <x v="2"/>
    <s v="Pequeña"/>
    <x v="1"/>
    <n v="1809.239416827683"/>
  </r>
  <r>
    <s v="Tulip Leaf"/>
    <x v="372"/>
    <n v="11423"/>
    <n v="3"/>
    <x v="6"/>
    <x v="0"/>
    <s v=" Sector 69 Gurgaon"/>
    <n v="0"/>
    <n v="0"/>
    <n v="3"/>
    <n v="16"/>
    <n v="3"/>
    <x v="1"/>
    <n v="20"/>
    <n v="0"/>
    <n v="0"/>
    <n v="0"/>
    <n v="0"/>
    <n v="1812.133415039832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121334150398301E-2"/>
    <n v="20700000"/>
    <n v="0.11423"/>
    <x v="3"/>
    <s v="Todo bien"/>
    <x v="0"/>
    <x v="1"/>
    <n v="789.36577025562383"/>
    <x v="1"/>
    <x v="2"/>
    <s v="Pequeña"/>
    <x v="1"/>
    <n v="1812.133415039832"/>
  </r>
  <r>
    <s v="Shree Vardhman Victoria"/>
    <x v="26"/>
    <n v="8205"/>
    <n v="3"/>
    <x v="0"/>
    <x v="0"/>
    <s v=" Sector 70 Gurgaon"/>
    <n v="0"/>
    <n v="0"/>
    <n v="5"/>
    <n v="6"/>
    <n v="3"/>
    <x v="1"/>
    <n v="18"/>
    <n v="1"/>
    <n v="0"/>
    <n v="0"/>
    <n v="0"/>
    <n v="19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3046922608E-2"/>
    <n v="16000000"/>
    <n v="8.2049999999999998E-2"/>
    <x v="3"/>
    <s v="Todo bien"/>
    <x v="0"/>
    <x v="5"/>
    <n v="849.43376165752522"/>
    <x v="1"/>
    <x v="2"/>
    <s v="Pequeña"/>
    <x v="0"/>
    <n v="1950.0304692260818"/>
  </r>
  <r>
    <s v="Tulip Violet"/>
    <x v="233"/>
    <n v="8517"/>
    <n v="3"/>
    <x v="4"/>
    <x v="0"/>
    <s v=" Sector 69 Gurgaon"/>
    <n v="0"/>
    <n v="0"/>
    <n v="3"/>
    <n v="12"/>
    <n v="2"/>
    <x v="1"/>
    <n v="14"/>
    <n v="0"/>
    <n v="0"/>
    <n v="1"/>
    <n v="0"/>
    <n v="1538.100270048139"/>
    <m/>
    <n v="153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1"/>
    <n v="0"/>
    <n v="0"/>
    <n v="1"/>
    <n v="3"/>
    <n v="1"/>
    <n v="1"/>
    <n v="0"/>
    <n v="0"/>
    <n v="0"/>
    <n v="0"/>
    <n v="0"/>
    <n v="2"/>
    <n v="1.5381002700481299E-2"/>
    <n v="13100000"/>
    <n v="8.5169999999999996E-2"/>
    <x v="2"/>
    <s v="Todo bien"/>
    <x v="1"/>
    <x v="5"/>
    <n v="669.99686354232324"/>
    <x v="1"/>
    <x v="2"/>
    <s v="Pequeña"/>
    <x v="1"/>
    <n v="1538.100270048139"/>
  </r>
  <r>
    <s v="Tulip Violet"/>
    <x v="308"/>
    <n v="15360"/>
    <n v="4"/>
    <x v="8"/>
    <x v="0"/>
    <s v=" Sector 69 Gurgaon"/>
    <n v="0"/>
    <n v="0"/>
    <n v="4"/>
    <n v="0"/>
    <n v="2"/>
    <x v="2"/>
    <n v="14"/>
    <n v="0"/>
    <n v="0"/>
    <n v="0"/>
    <n v="0"/>
    <n v="12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19200000"/>
    <n v="0.15359999999999999"/>
    <x v="3"/>
    <s v="Todo bien"/>
    <x v="0"/>
    <x v="5"/>
    <n v="544.5003136250001"/>
    <x v="1"/>
    <x v="2"/>
    <s v="Pequeña"/>
    <x v="0"/>
    <n v="1250"/>
  </r>
  <r>
    <s v="Tulip Violet"/>
    <x v="49"/>
    <n v="9452"/>
    <n v="4"/>
    <x v="0"/>
    <x v="0"/>
    <s v=" Sector 69 Gurgaon"/>
    <n v="0"/>
    <n v="0"/>
    <n v="4"/>
    <n v="6"/>
    <n v="2"/>
    <x v="2"/>
    <n v="14"/>
    <n v="0"/>
    <n v="0"/>
    <n v="0"/>
    <n v="1"/>
    <n v="1500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x v="3"/>
    <s v="Todo bien"/>
    <x v="0"/>
    <x v="5"/>
    <n v="875.62471086542166"/>
    <x v="1"/>
    <x v="2"/>
    <s v="Pequeña"/>
    <x v="2"/>
    <n v="2010.1565806178585"/>
  </r>
  <r>
    <s v="Tulip Violet"/>
    <x v="293"/>
    <n v="9822"/>
    <n v="4"/>
    <x v="5"/>
    <x v="0"/>
    <s v=" Sector 69 Gurgaon"/>
    <n v="0"/>
    <n v="0"/>
    <n v="6"/>
    <n v="14"/>
    <n v="3"/>
    <x v="2"/>
    <n v="14"/>
    <n v="1"/>
    <n v="0"/>
    <n v="1"/>
    <n v="0"/>
    <n v="2500"/>
    <m/>
    <n v="315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3.1561800040724897E-2"/>
    <n v="31000000"/>
    <n v="9.8220000000000002E-2"/>
    <x v="5"/>
    <s v="Todo bien"/>
    <x v="0"/>
    <x v="5"/>
    <n v="1374.8328016595397"/>
    <x v="1"/>
    <x v="2"/>
    <s v="Pequeña"/>
    <x v="3"/>
    <n v="3156.1800040724902"/>
  </r>
  <r>
    <s v="Tulip Violet"/>
    <x v="100"/>
    <n v="8928"/>
    <n v="3"/>
    <x v="5"/>
    <x v="0"/>
    <s v=" Sector 69 Gurgaon"/>
    <n v="0"/>
    <n v="0"/>
    <n v="3"/>
    <n v="12"/>
    <n v="1"/>
    <x v="1"/>
    <n v="14"/>
    <n v="0"/>
    <n v="0"/>
    <n v="1"/>
    <n v="0"/>
    <n v="1200"/>
    <m/>
    <n v="156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x v="2"/>
    <s v="Todo bien"/>
    <x v="0"/>
    <x v="5"/>
    <n v="683.06490956540824"/>
    <x v="1"/>
    <x v="0"/>
    <s v="Pequeña"/>
    <x v="1"/>
    <n v="1568.1003584229391"/>
  </r>
  <r>
    <s v="Tulip Violet"/>
    <x v="276"/>
    <n v="9125"/>
    <n v="3"/>
    <x v="8"/>
    <x v="0"/>
    <s v=" Sector 69 Gurgaon"/>
    <n v="0"/>
    <n v="0"/>
    <n v="3"/>
    <n v="1"/>
    <n v="2"/>
    <x v="1"/>
    <n v="14"/>
    <n v="0"/>
    <n v="0"/>
    <n v="1"/>
    <n v="0"/>
    <n v="12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821917808201E-2"/>
    <n v="14400000"/>
    <n v="9.1249999999999998E-2"/>
    <x v="2"/>
    <s v="Todo bien"/>
    <x v="0"/>
    <x v="5"/>
    <n v="687.41299868054716"/>
    <x v="1"/>
    <x v="0"/>
    <s v="Pequeña"/>
    <x v="1"/>
    <n v="1578.0821917808219"/>
  </r>
  <r>
    <s v="Tulip Violet"/>
    <x v="200"/>
    <n v="9664"/>
    <n v="4"/>
    <x v="6"/>
    <x v="0"/>
    <s v=" Sector 69 Gurgaon"/>
    <n v="0"/>
    <n v="0"/>
    <n v="5"/>
    <n v="14"/>
    <n v="3"/>
    <x v="2"/>
    <n v="14"/>
    <n v="1"/>
    <n v="0"/>
    <n v="0"/>
    <n v="0"/>
    <n v="3156.0430463576158"/>
    <m/>
    <n v="315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1560430463576102E-2"/>
    <n v="30500000"/>
    <n v="9.6640000000000004E-2"/>
    <x v="5"/>
    <s v="Todo bien"/>
    <x v="0"/>
    <x v="1"/>
    <n v="1374.7731428445754"/>
    <x v="1"/>
    <x v="3"/>
    <s v="Pequeña"/>
    <x v="3"/>
    <n v="3156.0430463576158"/>
  </r>
  <r>
    <s v="Tulip Violet"/>
    <x v="154"/>
    <n v="8111"/>
    <n v="3"/>
    <x v="6"/>
    <x v="0"/>
    <s v=" Sector 69 Gurgaon"/>
    <n v="0"/>
    <n v="0"/>
    <n v="3"/>
    <n v="12"/>
    <n v="2"/>
    <x v="1"/>
    <n v="14"/>
    <n v="0"/>
    <n v="0"/>
    <n v="1"/>
    <n v="0"/>
    <n v="1578.1038096412278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038096412198E-2"/>
    <n v="12800000"/>
    <n v="8.1110000000000002E-2"/>
    <x v="2"/>
    <s v="Todo bien"/>
    <x v="1"/>
    <x v="1"/>
    <n v="687.42241542596128"/>
    <x v="1"/>
    <x v="2"/>
    <s v="Pequeña"/>
    <x v="1"/>
    <n v="1578.1038096412278"/>
  </r>
  <r>
    <s v="Tulip Violet"/>
    <x v="26"/>
    <n v="10139"/>
    <n v="3"/>
    <x v="6"/>
    <x v="0"/>
    <s v=" Sector 69 Gurgaon"/>
    <n v="0"/>
    <n v="0"/>
    <n v="3"/>
    <n v="0"/>
    <n v="2"/>
    <x v="1"/>
    <n v="14"/>
    <n v="0"/>
    <n v="0"/>
    <n v="1"/>
    <n v="0"/>
    <n v="1578.064897918927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x v="3"/>
    <s v="Todo bien"/>
    <x v="0"/>
    <x v="1"/>
    <n v="687.4054654699645"/>
    <x v="1"/>
    <x v="2"/>
    <s v="Pequeña"/>
    <x v="1"/>
    <n v="1578.064897918927"/>
  </r>
  <r>
    <s v="Tulip Violet"/>
    <x v="49"/>
    <n v="9452"/>
    <n v="4"/>
    <x v="6"/>
    <x v="0"/>
    <s v=" Sector 69 Gurgaon"/>
    <n v="0"/>
    <n v="0"/>
    <n v="4"/>
    <n v="0"/>
    <n v="2"/>
    <x v="2"/>
    <n v="14"/>
    <n v="0"/>
    <n v="0"/>
    <n v="0"/>
    <n v="0"/>
    <n v="2010.1565806178585"/>
    <m/>
    <n v="20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x v="3"/>
    <s v="Todo bien"/>
    <x v="0"/>
    <x v="1"/>
    <n v="875.62471086542166"/>
    <x v="1"/>
    <x v="2"/>
    <s v="Pequeña"/>
    <x v="2"/>
    <n v="2010.1565806178585"/>
  </r>
  <r>
    <s v="Tulip Violet"/>
    <x v="74"/>
    <n v="10773"/>
    <n v="3"/>
    <x v="3"/>
    <x v="0"/>
    <s v=" Sector 69 Gurgaon"/>
    <n v="0"/>
    <n v="0"/>
    <n v="3"/>
    <n v="0"/>
    <n v="2"/>
    <x v="1"/>
    <n v="14"/>
    <n v="0"/>
    <n v="0"/>
    <n v="1"/>
    <n v="0"/>
    <n v="1578.0191218787709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191218787699E-2"/>
    <n v="17000000"/>
    <n v="0.10773000000000001"/>
    <x v="3"/>
    <s v="Todo bien"/>
    <x v="0"/>
    <x v="1"/>
    <n v="687.38552541538991"/>
    <x v="1"/>
    <x v="2"/>
    <s v="Pequeña"/>
    <x v="1"/>
    <n v="1578.0191218787709"/>
  </r>
  <r>
    <s v="Tulip Violet"/>
    <x v="144"/>
    <n v="8618"/>
    <n v="3"/>
    <x v="0"/>
    <x v="0"/>
    <s v=" Sector 69 Gurgaon"/>
    <n v="0"/>
    <n v="0"/>
    <n v="3"/>
    <n v="12"/>
    <n v="2"/>
    <x v="1"/>
    <n v="14"/>
    <n v="0"/>
    <n v="0"/>
    <n v="1"/>
    <n v="0"/>
    <n v="1578.092364817823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0923648178201E-2"/>
    <n v="13600000"/>
    <n v="8.6180000000000007E-2"/>
    <x v="2"/>
    <s v="Todo bien"/>
    <x v="1"/>
    <x v="1"/>
    <n v="687.41743005801686"/>
    <x v="1"/>
    <x v="2"/>
    <s v="Pequeña"/>
    <x v="1"/>
    <n v="1578.092364817823"/>
  </r>
  <r>
    <s v="Tulip Violet"/>
    <x v="65"/>
    <n v="8972"/>
    <n v="3"/>
    <x v="4"/>
    <x v="0"/>
    <s v=" Sector 69 Gurgaon"/>
    <n v="0"/>
    <n v="0"/>
    <n v="3"/>
    <n v="12"/>
    <n v="1"/>
    <x v="1"/>
    <n v="14"/>
    <n v="0"/>
    <n v="0"/>
    <n v="0"/>
    <n v="0"/>
    <n v="1538.118591172537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x v="2"/>
    <s v="Todo bien"/>
    <x v="0"/>
    <x v="5"/>
    <n v="670.00484422870863"/>
    <x v="1"/>
    <x v="2"/>
    <s v="Pequeña"/>
    <x v="1"/>
    <n v="1538.118591172537"/>
  </r>
  <r>
    <s v="Bestech Park View Ananda"/>
    <x v="81"/>
    <n v="6927"/>
    <n v="3"/>
    <x v="4"/>
    <x v="0"/>
    <s v=" Sector 81 Gurgaon"/>
    <n v="0"/>
    <n v="0"/>
    <n v="2"/>
    <n v="12"/>
    <n v="3"/>
    <x v="1"/>
    <n v="15"/>
    <n v="0"/>
    <n v="0"/>
    <n v="0"/>
    <n v="0"/>
    <n v="1082"/>
    <m/>
    <n v="1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03479139501E-2"/>
    <n v="11500000"/>
    <n v="6.9269999999999998E-2"/>
    <x v="2"/>
    <s v="Todo bien"/>
    <x v="0"/>
    <x v="5"/>
    <n v="723.17062008805703"/>
    <x v="1"/>
    <x v="0"/>
    <s v="Pequeña"/>
    <x v="1"/>
    <n v="1660.1703479139599"/>
  </r>
  <r>
    <s v="Tulip Violet"/>
    <x v="100"/>
    <n v="8928"/>
    <n v="3"/>
    <x v="5"/>
    <x v="0"/>
    <s v=" Sector 69 Gurgaon"/>
    <n v="0"/>
    <n v="0"/>
    <n v="3"/>
    <n v="12"/>
    <n v="1"/>
    <x v="1"/>
    <n v="14"/>
    <n v="0"/>
    <n v="0"/>
    <n v="0"/>
    <n v="0"/>
    <n v="1568.1003584229391"/>
    <m/>
    <n v="156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x v="2"/>
    <s v="Todo bien"/>
    <x v="0"/>
    <x v="5"/>
    <n v="683.06490956540824"/>
    <x v="1"/>
    <x v="2"/>
    <s v="Pequeña"/>
    <x v="1"/>
    <n v="1568.1003584229391"/>
  </r>
  <r>
    <s v="Tulip Violet"/>
    <x v="226"/>
    <n v="8907"/>
    <n v="3"/>
    <x v="2"/>
    <x v="0"/>
    <s v=" Sector 69 Gurgaon"/>
    <n v="0"/>
    <n v="0"/>
    <n v="3"/>
    <n v="12"/>
    <n v="1"/>
    <x v="1"/>
    <n v="14"/>
    <n v="0"/>
    <n v="0"/>
    <n v="0"/>
    <n v="0"/>
    <n v="1538.1160884697429"/>
    <m/>
    <n v="153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608846974E-2"/>
    <n v="13700000"/>
    <n v="8.9069999999999996E-2"/>
    <x v="2"/>
    <s v="Todo bien"/>
    <x v="0"/>
    <x v="5"/>
    <n v="670.00375405074544"/>
    <x v="1"/>
    <x v="2"/>
    <s v="Pequeña"/>
    <x v="1"/>
    <n v="1538.1160884697429"/>
  </r>
  <r>
    <s v="Tulip Violet"/>
    <x v="100"/>
    <n v="8920"/>
    <n v="3"/>
    <x v="4"/>
    <x v="0"/>
    <s v=" Sector 69 Gurgaon"/>
    <n v="0"/>
    <n v="0"/>
    <n v="3"/>
    <n v="12"/>
    <n v="1"/>
    <x v="1"/>
    <n v="14"/>
    <n v="0"/>
    <n v="0"/>
    <n v="1"/>
    <n v="0"/>
    <n v="1569.506726457399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5067264573901E-2"/>
    <n v="14000000"/>
    <n v="8.9200000000000002E-2"/>
    <x v="2"/>
    <s v="Todo bien"/>
    <x v="0"/>
    <x v="4"/>
    <n v="683.67752383407685"/>
    <x v="1"/>
    <x v="2"/>
    <s v="Pequeña"/>
    <x v="1"/>
    <n v="1569.5067264573991"/>
  </r>
  <r>
    <s v="Vatika Emilia Floors"/>
    <x v="53"/>
    <n v="6190"/>
    <n v="2"/>
    <x v="8"/>
    <x v="0"/>
    <s v=" Sector 83 Gurgaon"/>
    <n v="0"/>
    <n v="0"/>
    <n v="2"/>
    <n v="1"/>
    <n v="2"/>
    <x v="0"/>
    <n v="2"/>
    <n v="0"/>
    <n v="0"/>
    <n v="0"/>
    <n v="0"/>
    <n v="850"/>
    <n v="95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8077544426E-2"/>
    <n v="6500000"/>
    <n v="6.1899999999999997E-2"/>
    <x v="1"/>
    <s v="Todo bien"/>
    <x v="1"/>
    <x v="5"/>
    <n v="457.41544924878622"/>
    <x v="0"/>
    <x v="0"/>
    <s v="Mediana"/>
    <x v="1"/>
    <n v="1050.0807754442651"/>
  </r>
  <r>
    <s v="Vatika Emilia Floors"/>
    <x v="91"/>
    <n v="5714"/>
    <n v="2"/>
    <x v="8"/>
    <x v="0"/>
    <s v=" Sector 83 Gurgaon"/>
    <n v="0"/>
    <n v="0"/>
    <n v="2"/>
    <n v="1"/>
    <n v="2"/>
    <x v="0"/>
    <n v="2"/>
    <n v="0"/>
    <n v="0"/>
    <n v="0"/>
    <n v="0"/>
    <n v="950"/>
    <n v="99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5250262513E-2"/>
    <n v="6000000"/>
    <n v="5.7140000000000003E-2"/>
    <x v="1"/>
    <s v="Todo bien"/>
    <x v="1"/>
    <x v="5"/>
    <n v="457.40313360167954"/>
    <x v="0"/>
    <x v="0"/>
    <s v="Mediana"/>
    <x v="1"/>
    <n v="1050.0525026251312"/>
  </r>
  <r>
    <s v="Umang Winter Hills"/>
    <x v="29"/>
    <n v="5588"/>
    <n v="2"/>
    <x v="2"/>
    <x v="0"/>
    <s v=" Sector 77 Gurgaon"/>
    <n v="0"/>
    <n v="0"/>
    <n v="2"/>
    <n v="7"/>
    <n v="2"/>
    <x v="0"/>
    <n v="18"/>
    <n v="0"/>
    <n v="0"/>
    <n v="0"/>
    <n v="0"/>
    <n v="1050"/>
    <n v="1180"/>
    <n v="134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x v="1"/>
    <s v="Todo bien"/>
    <x v="1"/>
    <x v="5"/>
    <n v="584.64600603972735"/>
    <x v="1"/>
    <x v="0"/>
    <s v="Mediana"/>
    <x v="1"/>
    <n v="1342.1617752326415"/>
  </r>
  <r>
    <s v="Bestech Park View Ananda"/>
    <x v="13"/>
    <n v="6985"/>
    <n v="2"/>
    <x v="2"/>
    <x v="0"/>
    <s v=" Sector 81 Gurgaon"/>
    <n v="0"/>
    <n v="0"/>
    <n v="2"/>
    <n v="14"/>
    <n v="2"/>
    <x v="0"/>
    <n v="15"/>
    <n v="0"/>
    <n v="0"/>
    <n v="0"/>
    <n v="0"/>
    <n v="894"/>
    <n v="1260"/>
    <n v="13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x v="1"/>
    <s v="Todo bien"/>
    <x v="1"/>
    <x v="5"/>
    <n v="592.44128612025486"/>
    <x v="1"/>
    <x v="0"/>
    <s v="Mediana"/>
    <x v="1"/>
    <n v="1360.0572655690767"/>
  </r>
  <r>
    <s v="Spaze Privy AT"/>
    <x v="224"/>
    <n v="6465"/>
    <n v="3"/>
    <x v="2"/>
    <x v="0"/>
    <s v=" Sector 84 Gurgaon"/>
    <n v="0"/>
    <n v="0"/>
    <n v="3"/>
    <n v="8"/>
    <n v="3"/>
    <x v="1"/>
    <n v="21"/>
    <n v="0"/>
    <n v="1"/>
    <n v="0"/>
    <n v="0"/>
    <n v="1550"/>
    <n v="1650"/>
    <n v="19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180201082753201E-2"/>
    <n v="12400000"/>
    <n v="6.4649999999999999E-2"/>
    <x v="2"/>
    <s v="Todo bien"/>
    <x v="0"/>
    <x v="5"/>
    <n v="835.49004039597469"/>
    <x v="1"/>
    <x v="2"/>
    <s v="Mediana"/>
    <x v="1"/>
    <n v="1918.0201082753288"/>
  </r>
  <r>
    <s v="Antriksh Heights"/>
    <x v="15"/>
    <n v="6206"/>
    <n v="3"/>
    <x v="2"/>
    <x v="0"/>
    <s v=" Sector 84 Gurgaon"/>
    <n v="0"/>
    <n v="0"/>
    <n v="3"/>
    <n v="12"/>
    <n v="3"/>
    <x v="1"/>
    <n v="19"/>
    <n v="0"/>
    <n v="0"/>
    <n v="0"/>
    <n v="0"/>
    <n v="1450"/>
    <n v="1525"/>
    <n v="17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2094747019001E-2"/>
    <n v="9000000"/>
    <n v="6.2059999999999997E-2"/>
    <x v="1"/>
    <s v="Todo bien"/>
    <x v="0"/>
    <x v="5"/>
    <n v="631.71161103770487"/>
    <x v="1"/>
    <x v="2"/>
    <s v="Mediana"/>
    <x v="1"/>
    <n v="1450.2094747019014"/>
  </r>
  <r>
    <s v="Mapsko Mount Ville"/>
    <x v="35"/>
    <n v="8024"/>
    <n v="3"/>
    <x v="2"/>
    <x v="0"/>
    <s v=" Sector 79 Gurgaon"/>
    <n v="0"/>
    <n v="0"/>
    <n v="3"/>
    <n v="1"/>
    <n v="3"/>
    <x v="1"/>
    <n v="30"/>
    <n v="0"/>
    <n v="0"/>
    <n v="0"/>
    <n v="0"/>
    <n v="863.91"/>
    <m/>
    <n v="162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1"/>
    <n v="0"/>
    <n v="0"/>
    <n v="0"/>
    <n v="0"/>
    <n v="0"/>
    <n v="2"/>
    <n v="1.6201395812562299E-2"/>
    <n v="13000000"/>
    <n v="8.0240000000000006E-2"/>
    <x v="2"/>
    <s v="Todo bien"/>
    <x v="1"/>
    <x v="5"/>
    <n v="705.73320808823473"/>
    <x v="1"/>
    <x v="0"/>
    <s v="Pequeña"/>
    <x v="1"/>
    <n v="1620.1395812562312"/>
  </r>
  <r>
    <s v="Antriksh Heights"/>
    <x v="313"/>
    <n v="6083"/>
    <n v="2"/>
    <x v="7"/>
    <x v="0"/>
    <s v=" Sector 84 Gurgaon"/>
    <n v="0"/>
    <n v="0"/>
    <n v="2"/>
    <n v="4"/>
    <n v="3"/>
    <x v="0"/>
    <n v="19"/>
    <n v="0"/>
    <n v="1"/>
    <n v="1"/>
    <n v="1"/>
    <n v="870"/>
    <m/>
    <n v="12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6575702778E-2"/>
    <n v="7300000"/>
    <n v="6.0830000000000002E-2"/>
    <x v="1"/>
    <s v="Todo bien"/>
    <x v="0"/>
    <x v="5"/>
    <n v="522.74894485779942"/>
    <x v="1"/>
    <x v="0"/>
    <s v="Pequeña"/>
    <x v="1"/>
    <n v="1200.0657570277824"/>
  </r>
  <r>
    <s v="DLF New Town Heights "/>
    <x v="192"/>
    <n v="6113"/>
    <n v="3"/>
    <x v="0"/>
    <x v="5"/>
    <s v=" Sector 86 Gurgaon"/>
    <n v="0"/>
    <n v="0"/>
    <n v="3"/>
    <n v="5"/>
    <n v="3"/>
    <x v="1"/>
    <n v="22"/>
    <n v="1"/>
    <n v="0"/>
    <n v="0"/>
    <n v="0"/>
    <n v="2061.181089481433"/>
    <m/>
    <n v="19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18108948143E-2"/>
    <n v="12600000"/>
    <n v="6.1129999999999997E-2"/>
    <x v="2"/>
    <s v="Todo bien"/>
    <x v="0"/>
    <x v="5"/>
    <n v="897.85099972844637"/>
    <x v="1"/>
    <x v="2"/>
    <s v="Pequeña"/>
    <x v="1"/>
    <n v="2061.181089481433"/>
  </r>
  <r>
    <s v="DLF New Town Heights "/>
    <x v="43"/>
    <n v="6476"/>
    <n v="3"/>
    <x v="0"/>
    <x v="0"/>
    <s v=" Sector 90 Gurgaon"/>
    <n v="0"/>
    <n v="0"/>
    <n v="3"/>
    <n v="6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5"/>
    <n v="840.79727242896513"/>
    <x v="1"/>
    <x v="2"/>
    <s v="Grande"/>
    <x v="1"/>
    <n v="1930.2038295243979"/>
  </r>
  <r>
    <s v="DLF New Town Heights "/>
    <x v="284"/>
    <n v="6894"/>
    <n v="4"/>
    <x v="8"/>
    <x v="0"/>
    <s v=" Sector 90 Gurgaon"/>
    <n v="0"/>
    <n v="0"/>
    <n v="4"/>
    <n v="20"/>
    <n v="3"/>
    <x v="2"/>
    <n v="28"/>
    <n v="1"/>
    <n v="0"/>
    <n v="1"/>
    <n v="0"/>
    <n v="2725"/>
    <n v="2726"/>
    <n v="2727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089933275302E-2"/>
    <n v="18800000"/>
    <n v="6.8940000000000001E-2"/>
    <x v="3"/>
    <s v="Todo bien"/>
    <x v="0"/>
    <x v="5"/>
    <n v="1187.8858017000287"/>
    <x v="1"/>
    <x v="3"/>
    <s v="Muy grande"/>
    <x v="2"/>
    <n v="2727.0089933275312"/>
  </r>
  <r>
    <s v="DLF New Town Heights "/>
    <x v="35"/>
    <n v="6735"/>
    <n v="3"/>
    <x v="8"/>
    <x v="0"/>
    <s v=" Sector 90 Gurgaon"/>
    <n v="0"/>
    <n v="0"/>
    <n v="3"/>
    <n v="10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x v="2"/>
    <s v="Todo bien"/>
    <x v="1"/>
    <x v="4"/>
    <n v="840.80226602820812"/>
    <x v="1"/>
    <x v="2"/>
    <s v="Grande"/>
    <x v="1"/>
    <n v="1930.2152932442466"/>
  </r>
  <r>
    <s v="Pyramid Urban Homes "/>
    <x v="373"/>
    <n v="7321"/>
    <n v="2"/>
    <x v="4"/>
    <x v="0"/>
    <s v=" Sector 86 Gurgaon"/>
    <n v="0"/>
    <n v="0"/>
    <n v="2"/>
    <n v="6"/>
    <n v="2"/>
    <x v="0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0101079087556001E-3"/>
    <n v="4400000"/>
    <n v="7.3209999999999997E-2"/>
    <x v="0"/>
    <s v="Todo bien"/>
    <x v="0"/>
    <x v="4"/>
    <n v="261.8004512990014"/>
    <x v="0"/>
    <x v="0"/>
    <s v="Pequeña"/>
    <x v="0"/>
    <n v="601.01079087556343"/>
  </r>
  <r>
    <s v="Antriksh Heights"/>
    <x v="299"/>
    <n v="4869"/>
    <n v="3"/>
    <x v="1"/>
    <x v="2"/>
    <s v=" Sector 84 Gurgaon"/>
    <n v="0"/>
    <n v="0"/>
    <n v="3"/>
    <n v="8"/>
    <n v="3"/>
    <x v="1"/>
    <n v="19"/>
    <n v="0"/>
    <n v="0"/>
    <n v="1"/>
    <n v="0"/>
    <n v="1725.2002464571781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002464571699E-2"/>
    <n v="8400000"/>
    <n v="4.8689999999999997E-2"/>
    <x v="1"/>
    <s v="Todo bien"/>
    <x v="0"/>
    <x v="1"/>
    <n v="751.49766020948516"/>
    <x v="1"/>
    <x v="2"/>
    <s v="Pequeña"/>
    <x v="1"/>
    <n v="1725.2002464571781"/>
  </r>
  <r>
    <s v="Antriksh Heights"/>
    <x v="47"/>
    <n v="4579"/>
    <n v="3"/>
    <x v="0"/>
    <x v="2"/>
    <s v=" Sector 84 Gurgaon"/>
    <n v="0"/>
    <n v="0"/>
    <n v="3"/>
    <n v="8"/>
    <n v="3"/>
    <x v="1"/>
    <n v="19"/>
    <n v="0"/>
    <n v="0"/>
    <n v="0"/>
    <n v="0"/>
    <n v="1725.2675256606246"/>
    <m/>
    <n v="172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6752566062E-2"/>
    <n v="7900000"/>
    <n v="4.5789999999999997E-2"/>
    <x v="1"/>
    <s v="Todo bien"/>
    <x v="0"/>
    <x v="2"/>
    <n v="751.52696704738833"/>
    <x v="1"/>
    <x v="2"/>
    <s v="Pequeña"/>
    <x v="1"/>
    <n v="1725.2675256606246"/>
  </r>
  <r>
    <s v="Mapsko Casa Bella"/>
    <x v="65"/>
    <n v="5443"/>
    <n v="4"/>
    <x v="6"/>
    <x v="0"/>
    <s v=" Sector 82 Gurgaon"/>
    <n v="0"/>
    <n v="0"/>
    <n v="5"/>
    <n v="20"/>
    <n v="3"/>
    <x v="2"/>
    <n v="25"/>
    <n v="1"/>
    <n v="0"/>
    <n v="0"/>
    <n v="0"/>
    <n v="2535.3665258129708"/>
    <m/>
    <n v="253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3665258129699E-2"/>
    <n v="13800000"/>
    <n v="5.4429999999999999E-2"/>
    <x v="2"/>
    <s v="Todo bien"/>
    <x v="0"/>
    <x v="4"/>
    <n v="1104.4062947675911"/>
    <x v="1"/>
    <x v="3"/>
    <s v="Pequeña"/>
    <x v="2"/>
    <n v="2535.3665258129708"/>
  </r>
  <r>
    <s v="Sobha City"/>
    <x v="153"/>
    <n v="15195"/>
    <n v="3"/>
    <x v="8"/>
    <x v="2"/>
    <s v=" Sector 108 Gurgaon"/>
    <n v="0"/>
    <n v="0"/>
    <n v="3"/>
    <n v="11"/>
    <n v="2"/>
    <x v="1"/>
    <n v="18"/>
    <n v="0"/>
    <n v="0"/>
    <n v="0"/>
    <n v="0"/>
    <n v="1711.0891740704178"/>
    <m/>
    <n v="17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x v="5"/>
    <s v="Todo bien"/>
    <x v="0"/>
    <x v="1"/>
    <n v="745.35087353734434"/>
    <x v="1"/>
    <x v="2"/>
    <s v="Pequeña"/>
    <x v="1"/>
    <n v="1711.0891740704178"/>
  </r>
  <r>
    <s v="Tulip Violet"/>
    <x v="74"/>
    <n v="8445"/>
    <n v="4"/>
    <x v="0"/>
    <x v="0"/>
    <s v=" Sector 69 Gurgaon"/>
    <n v="0"/>
    <n v="0"/>
    <n v="4"/>
    <n v="7"/>
    <n v="2"/>
    <x v="2"/>
    <n v="14"/>
    <n v="0"/>
    <n v="0"/>
    <n v="0"/>
    <n v="0"/>
    <n v="2013.0254588513915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30254588513901E-2"/>
    <n v="17000000"/>
    <n v="8.4449999999999997E-2"/>
    <x v="3"/>
    <s v="Todo bien"/>
    <x v="0"/>
    <x v="5"/>
    <n v="876.87439494375326"/>
    <x v="1"/>
    <x v="2"/>
    <s v="Pequeña"/>
    <x v="2"/>
    <n v="2013.0254588513915"/>
  </r>
  <r>
    <s v="Tulip Violet"/>
    <x v="74"/>
    <n v="8432"/>
    <n v="4"/>
    <x v="8"/>
    <x v="2"/>
    <s v=" Sector 69 Gurgaon"/>
    <n v="0"/>
    <n v="0"/>
    <n v="4"/>
    <n v="10"/>
    <n v="2"/>
    <x v="2"/>
    <n v="14"/>
    <n v="0"/>
    <n v="0"/>
    <n v="0"/>
    <n v="0"/>
    <n v="2016.129032258064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61290322580599E-2"/>
    <n v="17000000"/>
    <n v="8.4320000000000006E-2"/>
    <x v="3"/>
    <s v="Todo bien"/>
    <x v="0"/>
    <x v="5"/>
    <n v="878.22631229838521"/>
    <x v="1"/>
    <x v="2"/>
    <s v="Pequeña"/>
    <x v="2"/>
    <n v="2016.1290322580644"/>
  </r>
  <r>
    <s v="Tulip Violet"/>
    <x v="100"/>
    <n v="8856"/>
    <n v="3"/>
    <x v="0"/>
    <x v="0"/>
    <s v=" Sector 69 Gurgaon"/>
    <n v="0"/>
    <n v="0"/>
    <n v="3"/>
    <n v="9"/>
    <n v="2"/>
    <x v="1"/>
    <n v="14"/>
    <n v="0"/>
    <n v="0"/>
    <n v="1"/>
    <n v="0"/>
    <n v="1580.8491418247515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084914182475E-2"/>
    <n v="14000000"/>
    <n v="8.856E-2"/>
    <x v="2"/>
    <s v="Todo bien"/>
    <x v="0"/>
    <x v="5"/>
    <n v="688.61828281391081"/>
    <x v="1"/>
    <x v="2"/>
    <s v="Pequeña"/>
    <x v="1"/>
    <n v="1580.8491418247515"/>
  </r>
  <r>
    <s v="Tulip Violet"/>
    <x v="235"/>
    <n v="8358"/>
    <n v="4"/>
    <x v="5"/>
    <x v="0"/>
    <s v=" Sector 69 Gurgaon"/>
    <n v="0"/>
    <n v="0"/>
    <n v="4"/>
    <n v="7"/>
    <n v="2"/>
    <x v="2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x v="3"/>
    <s v="Todo bien"/>
    <x v="0"/>
    <x v="5"/>
    <n v="875.57839376884374"/>
    <x v="1"/>
    <x v="2"/>
    <s v="Pequeña"/>
    <x v="2"/>
    <n v="2010.0502512562814"/>
  </r>
  <r>
    <s v="Tulip Violet"/>
    <x v="74"/>
    <n v="8457"/>
    <n v="4"/>
    <x v="8"/>
    <x v="0"/>
    <s v=" Sector 69 Gurgaon"/>
    <n v="0"/>
    <n v="0"/>
    <n v="4"/>
    <n v="1"/>
    <n v="2"/>
    <x v="2"/>
    <n v="14"/>
    <n v="0"/>
    <n v="0"/>
    <n v="0"/>
    <n v="0"/>
    <n v="2010.16909069409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690906940899E-2"/>
    <n v="17000000"/>
    <n v="8.4570000000000006E-2"/>
    <x v="3"/>
    <s v="Todo bien"/>
    <x v="0"/>
    <x v="5"/>
    <n v="875.63016025777051"/>
    <x v="1"/>
    <x v="2"/>
    <s v="Pequeña"/>
    <x v="2"/>
    <n v="2010.1690906940994"/>
  </r>
  <r>
    <s v="Tulip Violet"/>
    <x v="100"/>
    <n v="8840"/>
    <n v="3"/>
    <x v="2"/>
    <x v="0"/>
    <s v=" Sector 69 Gurgaon"/>
    <n v="0"/>
    <n v="0"/>
    <n v="3"/>
    <n v="1"/>
    <n v="2"/>
    <x v="1"/>
    <n v="14"/>
    <n v="0"/>
    <n v="0"/>
    <n v="0"/>
    <n v="0"/>
    <n v="1583.7104072398188"/>
    <m/>
    <n v="1578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37104072398099E-2"/>
    <n v="14000000"/>
    <n v="8.8400000000000006E-2"/>
    <x v="2"/>
    <s v="Todo bien"/>
    <x v="0"/>
    <x v="5"/>
    <n v="689.86465074660236"/>
    <x v="1"/>
    <x v="2"/>
    <s v="Pequeña"/>
    <x v="1"/>
    <n v="1583.7104072398188"/>
  </r>
  <r>
    <s v="Ramprastha Primera"/>
    <x v="56"/>
    <n v="13333"/>
    <n v="3"/>
    <x v="2"/>
    <x v="0"/>
    <s v=" Sector 37D Gurgaon"/>
    <n v="0"/>
    <n v="0"/>
    <n v="3"/>
    <n v="5"/>
    <n v="3"/>
    <x v="1"/>
    <n v="22"/>
    <n v="0"/>
    <n v="0"/>
    <n v="0"/>
    <n v="1"/>
    <n v="900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2250056250999E-3"/>
    <n v="12000000"/>
    <n v="0.13333"/>
    <x v="2"/>
    <s v="Todo bien"/>
    <x v="0"/>
    <x v="1"/>
    <n v="392.05002706067478"/>
    <x v="0"/>
    <x v="0"/>
    <s v="Pequeña"/>
    <x v="0"/>
    <n v="900.02250056251398"/>
  </r>
  <r>
    <s v="Godrej Aria"/>
    <x v="10"/>
    <n v="13296"/>
    <n v="2"/>
    <x v="2"/>
    <x v="0"/>
    <s v=" Sector 79 Gurgaon"/>
    <n v="0"/>
    <n v="0"/>
    <n v="2"/>
    <n v="8"/>
    <n v="3"/>
    <x v="0"/>
    <n v="15"/>
    <n v="0"/>
    <n v="0"/>
    <n v="0"/>
    <n v="0"/>
    <n v="722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202166064980998E-3"/>
    <n v="9600000"/>
    <n v="0.13295999999999999"/>
    <x v="1"/>
    <s v="Todo bien"/>
    <x v="0"/>
    <x v="1"/>
    <n v="314.51281653429191"/>
    <x v="0"/>
    <x v="0"/>
    <s v="Pequeña"/>
    <x v="1"/>
    <n v="722.02166064981952"/>
  </r>
  <r>
    <s v="Microtek Greenburg"/>
    <x v="35"/>
    <n v="15294"/>
    <n v="2"/>
    <x v="2"/>
    <x v="0"/>
    <s v=" Sector 86 Gurgaon"/>
    <n v="0"/>
    <n v="0"/>
    <n v="3"/>
    <n v="5"/>
    <n v="3"/>
    <x v="0"/>
    <n v="21"/>
    <n v="0"/>
    <n v="1"/>
    <n v="0"/>
    <n v="0"/>
    <n v="850"/>
    <m/>
    <m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8.5000653851182995E-3"/>
    <n v="13000000"/>
    <n v="0.15293999999999999"/>
    <x v="2"/>
    <s v="Todo bien"/>
    <x v="1"/>
    <x v="1"/>
    <n v="370.26306144239368"/>
    <x v="0"/>
    <x v="0"/>
    <s v="Pequeña"/>
    <x v="0"/>
    <n v="850.00653851183472"/>
  </r>
  <r>
    <s v="Bestech Park View Sanskruti"/>
    <x v="26"/>
    <n v="7547"/>
    <n v="3"/>
    <x v="4"/>
    <x v="0"/>
    <s v=" Sector 92 Gurgaon"/>
    <n v="0"/>
    <n v="0"/>
    <n v="3"/>
    <n v="10"/>
    <n v="3"/>
    <x v="1"/>
    <n v="20"/>
    <n v="1"/>
    <n v="0"/>
    <n v="0"/>
    <n v="0"/>
    <n v="1450"/>
    <m/>
    <n v="212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1200477010732698E-2"/>
    <n v="16000000"/>
    <n v="7.5469999999999995E-2"/>
    <x v="3"/>
    <s v="Todo bien"/>
    <x v="1"/>
    <x v="1"/>
    <n v="923.49331050748458"/>
    <x v="1"/>
    <x v="2"/>
    <s v="Pequeña"/>
    <x v="2"/>
    <n v="2120.0477010732743"/>
  </r>
  <r>
    <s v="Microtek Greenburg"/>
    <x v="128"/>
    <n v="8446"/>
    <n v="3"/>
    <x v="4"/>
    <x v="0"/>
    <s v=" Sector 86 Gurgaon"/>
    <n v="0"/>
    <n v="0"/>
    <n v="4"/>
    <n v="12"/>
    <n v="3"/>
    <x v="1"/>
    <n v="21"/>
    <n v="1"/>
    <n v="0"/>
    <n v="0"/>
    <n v="0"/>
    <n v="2285.1053753255983"/>
    <m/>
    <n v="228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851053753255898E-2"/>
    <n v="19300000"/>
    <n v="8.4459999999999993E-2"/>
    <x v="3"/>
    <s v="Todo bien"/>
    <x v="0"/>
    <x v="4"/>
    <n v="995.39247482476571"/>
    <x v="1"/>
    <x v="2"/>
    <s v="Pequeña"/>
    <x v="2"/>
    <n v="2285.1053753255983"/>
  </r>
  <r>
    <s v="Bestech Park View Sanskruti"/>
    <x v="113"/>
    <n v="7760"/>
    <n v="3"/>
    <x v="4"/>
    <x v="0"/>
    <s v=" Sector 92 Gurgaon"/>
    <n v="0"/>
    <n v="0"/>
    <n v="3"/>
    <n v="10"/>
    <n v="2"/>
    <x v="1"/>
    <n v="19"/>
    <n v="0"/>
    <n v="0"/>
    <n v="0"/>
    <n v="0"/>
    <n v="1829.8969072164948"/>
    <m/>
    <n v="192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298969072164901E-2"/>
    <n v="14200000"/>
    <n v="7.7600000000000002E-2"/>
    <x v="2"/>
    <s v="Todo bien"/>
    <x v="1"/>
    <x v="4"/>
    <n v="797.10355190463713"/>
    <x v="1"/>
    <x v="2"/>
    <s v="Pequeña"/>
    <x v="1"/>
    <n v="1829.8969072164948"/>
  </r>
  <r>
    <s v="DLF The Ultima"/>
    <x v="18"/>
    <n v="10476"/>
    <n v="3"/>
    <x v="4"/>
    <x v="0"/>
    <s v=" Sector 81 Gurgaon"/>
    <n v="0"/>
    <n v="0"/>
    <n v="4"/>
    <n v="17"/>
    <n v="3"/>
    <x v="1"/>
    <n v="29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4"/>
    <n v="1"/>
    <n v="1"/>
    <n v="0"/>
    <n v="0"/>
    <n v="1"/>
    <n v="3"/>
    <n v="1"/>
    <n v="0"/>
    <n v="0"/>
    <n v="0"/>
    <n v="0"/>
    <n v="0"/>
    <n v="0"/>
    <n v="1"/>
    <n v="2.1000381825123999E-2"/>
    <n v="22000000.000000004"/>
    <n v="0.10476000000000001"/>
    <x v="3"/>
    <s v="Todo bien"/>
    <x v="2"/>
    <x v="1"/>
    <n v="914.77715920198148"/>
    <x v="1"/>
    <x v="2"/>
    <s v="Pequeña"/>
    <x v="2"/>
    <n v="2100.0381825124095"/>
  </r>
  <r>
    <s v="DLF The Skycourt"/>
    <x v="12"/>
    <n v="6998"/>
    <n v="3"/>
    <x v="7"/>
    <x v="0"/>
    <s v=" Sector 86 Gurgaon"/>
    <n v="0"/>
    <n v="0"/>
    <n v="3"/>
    <n v="9"/>
    <n v="1"/>
    <x v="1"/>
    <n v="19"/>
    <n v="0"/>
    <n v="0"/>
    <n v="0"/>
    <n v="0"/>
    <n v="1929.1226064589882"/>
    <m/>
    <n v="1929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1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260645898E-2"/>
    <n v="13500000"/>
    <n v="6.9980000000000001E-2"/>
    <x v="2"/>
    <s v="Todo bien"/>
    <x v="0"/>
    <x v="5"/>
    <n v="840.32629139039375"/>
    <x v="1"/>
    <x v="2"/>
    <s v="Pequeña"/>
    <x v="1"/>
    <n v="1929.1226064589882"/>
  </r>
  <r>
    <s v="Microtek Greenburg"/>
    <x v="71"/>
    <n v="8707"/>
    <n v="3"/>
    <x v="7"/>
    <x v="0"/>
    <s v=" Sector 86 Gurgaon"/>
    <n v="0"/>
    <n v="0"/>
    <n v="4"/>
    <n v="8"/>
    <n v="3"/>
    <x v="1"/>
    <n v="21"/>
    <n v="1"/>
    <n v="0"/>
    <n v="0"/>
    <n v="0"/>
    <n v="1895.0269897783394"/>
    <m/>
    <n v="189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950269897783301E-2"/>
    <n v="16500000"/>
    <n v="8.7069999999999995E-2"/>
    <x v="3"/>
    <s v="Todo bien"/>
    <x v="1"/>
    <x v="5"/>
    <n v="825.47423220971234"/>
    <x v="1"/>
    <x v="2"/>
    <s v="Pequeña"/>
    <x v="1"/>
    <n v="1895.0269897783394"/>
  </r>
  <r>
    <s v="Parsvnath Green Ville"/>
    <x v="113"/>
    <n v="8606"/>
    <n v="3"/>
    <x v="7"/>
    <x v="5"/>
    <s v=" Sector 48 Gurgaon"/>
    <n v="0"/>
    <n v="0"/>
    <n v="3"/>
    <n v="1"/>
    <n v="3"/>
    <x v="1"/>
    <n v="19"/>
    <n v="0"/>
    <n v="0"/>
    <n v="0"/>
    <n v="1"/>
    <n v="1650.0116198001394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3"/>
    <n v="1"/>
    <n v="3"/>
    <n v="1"/>
    <n v="1"/>
    <n v="1"/>
    <n v="1"/>
    <n v="1"/>
    <n v="1"/>
    <n v="1"/>
    <n v="1"/>
    <n v="1"/>
    <n v="1"/>
    <n v="1"/>
    <n v="3"/>
    <n v="1"/>
    <n v="1"/>
    <n v="0"/>
    <n v="0"/>
    <n v="0"/>
    <n v="0"/>
    <n v="0"/>
    <n v="1"/>
    <n v="1.6500116198001302E-2"/>
    <n v="14200000"/>
    <n v="8.6059999999999998E-2"/>
    <x v="2"/>
    <s v="Todo bien"/>
    <x v="2"/>
    <x v="5"/>
    <n v="718.74547557285211"/>
    <x v="1"/>
    <x v="2"/>
    <s v="Pequeña"/>
    <x v="1"/>
    <n v="1650.0116198001394"/>
  </r>
  <r>
    <s v="Paras Dews"/>
    <x v="8"/>
    <n v="9734"/>
    <n v="3"/>
    <x v="7"/>
    <x v="0"/>
    <s v=" Sector 106 Gurgaon"/>
    <n v="0"/>
    <n v="0"/>
    <n v="4"/>
    <n v="8"/>
    <n v="3"/>
    <x v="1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1300595849599301E-2"/>
    <n v="11000000"/>
    <n v="9.7339999999999996E-2"/>
    <x v="2"/>
    <s v="Todo bien"/>
    <x v="1"/>
    <x v="5"/>
    <n v="492.25423874049545"/>
    <x v="0"/>
    <x v="0"/>
    <s v="Mediana"/>
    <x v="1"/>
    <n v="1130.0595849599342"/>
  </r>
  <r>
    <s v="Pareena Coban Residences"/>
    <x v="336"/>
    <n v="6159"/>
    <n v="3"/>
    <x v="2"/>
    <x v="0"/>
    <s v=" Sector 99A Gurgaon"/>
    <n v="0"/>
    <n v="0"/>
    <n v="5"/>
    <n v="5"/>
    <n v="3"/>
    <x v="1"/>
    <n v="20"/>
    <n v="1"/>
    <n v="0"/>
    <n v="0"/>
    <n v="0"/>
    <n v="1997.0774476376037"/>
    <m/>
    <n v="1997"/>
    <n v="0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0774476376001E-2"/>
    <n v="12300000"/>
    <n v="6.1589999999999999E-2"/>
    <x v="2"/>
    <s v="Todo bien"/>
    <x v="1"/>
    <x v="5"/>
    <n v="869.92743725767025"/>
    <x v="1"/>
    <x v="2"/>
    <s v="Pequeña"/>
    <x v="1"/>
    <n v="1997.0774476376037"/>
  </r>
  <r>
    <s v="Bestech Park View Sanskruti"/>
    <x v="78"/>
    <n v="7812"/>
    <n v="3"/>
    <x v="4"/>
    <x v="0"/>
    <s v=" Sector 92 Gurgaon"/>
    <n v="0"/>
    <n v="0"/>
    <n v="3"/>
    <n v="3"/>
    <n v="3"/>
    <x v="1"/>
    <n v="19"/>
    <n v="0"/>
    <n v="0"/>
    <n v="0"/>
    <n v="0"/>
    <n v="1920.1228878648235"/>
    <m/>
    <n v="19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012288786482E-2"/>
    <n v="15000000"/>
    <n v="7.8119999999999995E-2"/>
    <x v="2"/>
    <s v="Todo bien"/>
    <x v="0"/>
    <x v="1"/>
    <n v="836.40601171274818"/>
    <x v="1"/>
    <x v="2"/>
    <s v="Pequeña"/>
    <x v="1"/>
    <n v="1920.1228878648235"/>
  </r>
  <r>
    <s v="Shree Vardhman Flora"/>
    <x v="53"/>
    <n v="5000"/>
    <n v="2"/>
    <x v="4"/>
    <x v="1"/>
    <s v=" Sector 90 Gurgaon"/>
    <n v="0"/>
    <n v="0"/>
    <n v="2"/>
    <n v="12"/>
    <n v="2"/>
    <x v="0"/>
    <n v="13"/>
    <n v="0"/>
    <n v="1"/>
    <n v="0"/>
    <n v="0"/>
    <n v="1300"/>
    <m/>
    <n v="1300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6500000"/>
    <n v="0.05"/>
    <x v="1"/>
    <s v="Todo bien"/>
    <x v="0"/>
    <x v="4"/>
    <n v="566.28032616999997"/>
    <x v="1"/>
    <x v="2"/>
    <s v="Pequeña"/>
    <x v="1"/>
    <n v="1300"/>
  </r>
  <r>
    <s v="Shree Vardhman Flora"/>
    <x v="62"/>
    <n v="4923"/>
    <n v="2"/>
    <x v="4"/>
    <x v="1"/>
    <s v=" Sector 90 Gurgaon"/>
    <n v="0"/>
    <n v="0"/>
    <n v="2"/>
    <n v="6"/>
    <n v="3"/>
    <x v="0"/>
    <n v="13"/>
    <n v="0"/>
    <n v="1"/>
    <n v="0"/>
    <n v="0"/>
    <n v="1100"/>
    <m/>
    <n v="13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2031281738E-2"/>
    <n v="6400000"/>
    <n v="4.9230000000000003E-2"/>
    <x v="1"/>
    <s v="Todo bien"/>
    <x v="0"/>
    <x v="5"/>
    <n v="566.28917443834723"/>
    <x v="1"/>
    <x v="0"/>
    <s v="Pequeña"/>
    <x v="1"/>
    <n v="1300.0203128173878"/>
  </r>
  <r>
    <s v="BPTP Terra"/>
    <x v="71"/>
    <n v="8790"/>
    <n v="3"/>
    <x v="4"/>
    <x v="0"/>
    <s v=" Sector 37D Gurgaon"/>
    <n v="0"/>
    <n v="0"/>
    <n v="3"/>
    <n v="15"/>
    <n v="2"/>
    <x v="1"/>
    <n v="20"/>
    <n v="0"/>
    <n v="0"/>
    <n v="0"/>
    <n v="0"/>
    <n v="1877.1331058020476"/>
    <m/>
    <n v="1877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713310580204E-2"/>
    <n v="16500000"/>
    <n v="8.7900000000000006E-2"/>
    <x v="3"/>
    <s v="Todo bien"/>
    <x v="0"/>
    <x v="4"/>
    <n v="817.67965186006495"/>
    <x v="1"/>
    <x v="2"/>
    <s v="Pequeña"/>
    <x v="1"/>
    <n v="1877.1331058020476"/>
  </r>
  <r>
    <s v="BPTP Terra"/>
    <x v="228"/>
    <n v="8297"/>
    <n v="2"/>
    <x v="2"/>
    <x v="0"/>
    <s v=" Sector 37D Gurgaon"/>
    <n v="0"/>
    <n v="0"/>
    <n v="2"/>
    <n v="0"/>
    <n v="2"/>
    <x v="0"/>
    <n v="23"/>
    <n v="0"/>
    <n v="0"/>
    <n v="0"/>
    <n v="0"/>
    <n v="1410.1482463541038"/>
    <m/>
    <n v="141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1482463540999E-2"/>
    <n v="11700000"/>
    <n v="8.2970000000000002E-2"/>
    <x v="2"/>
    <s v="Todo bien"/>
    <x v="0"/>
    <x v="4"/>
    <n v="614.26092991804103"/>
    <x v="1"/>
    <x v="2"/>
    <s v="Pequeña"/>
    <x v="1"/>
    <n v="1410.1482463541038"/>
  </r>
  <r>
    <s v="BPTP Terra"/>
    <x v="59"/>
    <n v="8006"/>
    <n v="3"/>
    <x v="2"/>
    <x v="0"/>
    <s v=" Sector 37D Gurgaon"/>
    <n v="0"/>
    <n v="0"/>
    <n v="3"/>
    <n v="9"/>
    <n v="3"/>
    <x v="1"/>
    <n v="20"/>
    <n v="0"/>
    <n v="0"/>
    <n v="0"/>
    <n v="0"/>
    <n v="1811.1416437671744"/>
    <m/>
    <n v="1811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1416437671699E-2"/>
    <n v="14500000"/>
    <n v="8.0060000000000006E-2"/>
    <x v="2"/>
    <s v="Todo bien"/>
    <x v="0"/>
    <x v="4"/>
    <n v="788.93375444041772"/>
    <x v="1"/>
    <x v="2"/>
    <s v="Pequeña"/>
    <x v="1"/>
    <n v="1811.1416437671744"/>
  </r>
  <r>
    <s v="Shapoorji Pallonji Joyville Gurugram"/>
    <x v="82"/>
    <n v="13928"/>
    <n v="3"/>
    <x v="2"/>
    <x v="2"/>
    <s v=" Sector 102 Gurgaon"/>
    <n v="0"/>
    <n v="0"/>
    <n v="3"/>
    <n v="6"/>
    <n v="3"/>
    <x v="1"/>
    <n v="26"/>
    <n v="0"/>
    <n v="0"/>
    <n v="1"/>
    <n v="0"/>
    <n v="1400"/>
    <m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40005743825387E-2"/>
    <n v="19500000"/>
    <n v="0.13927999999999999"/>
    <x v="3"/>
    <s v="Todo bien"/>
    <x v="1"/>
    <x v="5"/>
    <n v="609.86537137779703"/>
    <x v="1"/>
    <x v="2"/>
    <s v="Pequeña"/>
    <x v="1"/>
    <n v="1400.0574382538773"/>
  </r>
  <r>
    <s v="Bestech Park View Grand Spa"/>
    <x v="374"/>
    <n v="10000"/>
    <n v="4"/>
    <x v="8"/>
    <x v="0"/>
    <s v=" Sector 81 Gurgaon"/>
    <n v="0"/>
    <n v="0"/>
    <n v="4"/>
    <n v="25"/>
    <n v="3"/>
    <x v="2"/>
    <n v="29"/>
    <n v="1"/>
    <n v="0"/>
    <n v="0"/>
    <n v="0"/>
    <n v="2900"/>
    <m/>
    <n v="420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0000000000003E-2"/>
    <n v="42000000"/>
    <n v="0.1"/>
    <x v="4"/>
    <s v="Todo bien"/>
    <x v="1"/>
    <x v="4"/>
    <n v="1829.5210537800003"/>
    <x v="3"/>
    <x v="3"/>
    <s v="Pequeña"/>
    <x v="3"/>
    <n v="4200"/>
  </r>
  <r>
    <s v="Bestech Park View Sanskruti"/>
    <x v="46"/>
    <n v="7769"/>
    <n v="3"/>
    <x v="5"/>
    <x v="0"/>
    <s v=" Sector 92 Gurgaon"/>
    <n v="0"/>
    <n v="0"/>
    <n v="4"/>
    <n v="8"/>
    <n v="3"/>
    <x v="1"/>
    <n v="19"/>
    <n v="1"/>
    <n v="0"/>
    <n v="0"/>
    <n v="0"/>
    <n v="1995.1087656068994"/>
    <m/>
    <n v="19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10876560689E-2"/>
    <n v="15500000"/>
    <n v="7.7689999999999995E-2"/>
    <x v="3"/>
    <s v="Todo bien"/>
    <x v="0"/>
    <x v="1"/>
    <n v="869.06987887115065"/>
    <x v="1"/>
    <x v="2"/>
    <s v="Pequeña"/>
    <x v="1"/>
    <n v="1995.1087656068994"/>
  </r>
  <r>
    <s v="SS The Leaf"/>
    <x v="234"/>
    <n v="7714"/>
    <n v="3"/>
    <x v="4"/>
    <x v="0"/>
    <s v=" Sector 85 Gurgaon"/>
    <n v="0"/>
    <n v="0"/>
    <n v="4"/>
    <n v="8"/>
    <n v="3"/>
    <x v="1"/>
    <n v="24"/>
    <n v="1"/>
    <n v="0"/>
    <n v="0"/>
    <n v="0"/>
    <n v="2048"/>
    <m/>
    <n v="2408"/>
    <n v="1"/>
    <n v="0"/>
    <n v="1"/>
    <n v="1"/>
    <n v="0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82240082966001E-2"/>
    <n v="15800000"/>
    <n v="7.714E-2"/>
    <x v="3"/>
    <s v="Todo bien"/>
    <x v="0"/>
    <x v="5"/>
    <n v="892.20689191340273"/>
    <x v="1"/>
    <x v="2"/>
    <s v="Pequeña"/>
    <x v="2"/>
    <n v="2048.2240082966036"/>
  </r>
  <r>
    <s v="Bestech Park View Spa Next"/>
    <x v="375"/>
    <n v="11989"/>
    <n v="3"/>
    <x v="2"/>
    <x v="5"/>
    <s v=" Sector 67 Gurgaon"/>
    <n v="0"/>
    <n v="0"/>
    <n v="4"/>
    <n v="14"/>
    <n v="3"/>
    <x v="1"/>
    <n v="15"/>
    <n v="1"/>
    <n v="0"/>
    <n v="0"/>
    <n v="0"/>
    <n v="1600"/>
    <m/>
    <n v="1935"/>
    <n v="1"/>
    <n v="0"/>
    <n v="1"/>
    <n v="1"/>
    <n v="1"/>
    <n v="0"/>
    <n v="0"/>
    <n v="0"/>
    <n v="1"/>
    <n v="1"/>
    <n v="0"/>
    <n v="0"/>
    <n v="1"/>
    <n v="0"/>
    <n v="0"/>
    <n v="1"/>
    <n v="1"/>
    <n v="34"/>
    <x v="0"/>
    <x v="1"/>
    <x v="1"/>
    <x v="1"/>
    <x v="1"/>
    <x v="0"/>
    <x v="0"/>
    <x v="0"/>
    <x v="1"/>
    <n v="1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51071815831102E-2"/>
    <n v="23200000"/>
    <n v="0.11989"/>
    <x v="3"/>
    <s v="Todo bien"/>
    <x v="1"/>
    <x v="3"/>
    <n v="842.93317381599468"/>
    <x v="1"/>
    <x v="2"/>
    <s v="Pequeña"/>
    <x v="1"/>
    <n v="1935.1071815831178"/>
  </r>
  <r>
    <s v="Microtek Greenburg"/>
    <x v="43"/>
    <n v="8445"/>
    <n v="3"/>
    <x v="6"/>
    <x v="0"/>
    <s v=" Sector 86 Gurgaon"/>
    <n v="0"/>
    <n v="0"/>
    <n v="4"/>
    <n v="0"/>
    <n v="3"/>
    <x v="1"/>
    <n v="21"/>
    <n v="0"/>
    <n v="1"/>
    <n v="0"/>
    <n v="0"/>
    <n v="1480.1657785671996"/>
    <m/>
    <n v="14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x v="2"/>
    <s v="Todo bien"/>
    <x v="0"/>
    <x v="1"/>
    <n v="644.76058451746189"/>
    <x v="1"/>
    <x v="2"/>
    <s v="Pequeña"/>
    <x v="1"/>
    <n v="1480.1657785671996"/>
  </r>
  <r>
    <s v="Ireo The Grand Arch"/>
    <x v="18"/>
    <n v="13480"/>
    <n v="2"/>
    <x v="2"/>
    <x v="0"/>
    <s v=" sector 58 Gurgaon"/>
    <n v="0"/>
    <n v="0"/>
    <n v="2"/>
    <n v="5"/>
    <n v="1"/>
    <x v="0"/>
    <n v="29"/>
    <n v="0"/>
    <n v="1"/>
    <n v="0"/>
    <n v="0"/>
    <n v="1232"/>
    <n v="1432"/>
    <n v="1632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1"/>
    <n v="1"/>
    <n v="0"/>
    <n v="0"/>
    <n v="0"/>
    <n v="0"/>
    <n v="2"/>
    <n v="1"/>
    <n v="0"/>
    <n v="0"/>
    <n v="0"/>
    <n v="0"/>
    <n v="0"/>
    <n v="0"/>
    <n v="0"/>
    <n v="1.6320474777448E-2"/>
    <n v="22000000.000000004"/>
    <n v="0.1348"/>
    <x v="3"/>
    <s v="Todo bien"/>
    <x v="0"/>
    <x v="3"/>
    <n v="710.9202907863471"/>
    <x v="1"/>
    <x v="2"/>
    <s v="Mediana"/>
    <x v="1"/>
    <n v="1632.0474777448073"/>
  </r>
  <r>
    <s v="Paras Dews"/>
    <x v="100"/>
    <n v="9978"/>
    <n v="4"/>
    <x v="7"/>
    <x v="0"/>
    <s v=" Sector 106 Gurgaon"/>
    <n v="0"/>
    <n v="0"/>
    <n v="6"/>
    <n v="10"/>
    <n v="3"/>
    <x v="2"/>
    <n v="24"/>
    <n v="1"/>
    <n v="0"/>
    <n v="0"/>
    <n v="0"/>
    <n v="1403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0867909400601E-2"/>
    <n v="14000000"/>
    <n v="9.9779999999999994E-2"/>
    <x v="2"/>
    <s v="Todo bien"/>
    <x v="0"/>
    <x v="5"/>
    <n v="611.1849581679661"/>
    <x v="1"/>
    <x v="2"/>
    <s v="Mediana"/>
    <x v="2"/>
    <n v="1403.0867909400683"/>
  </r>
  <r>
    <s v="Paras Dews"/>
    <x v="56"/>
    <n v="11605"/>
    <n v="3"/>
    <x v="7"/>
    <x v="0"/>
    <s v=" Sector 106 Gurgaon"/>
    <n v="0"/>
    <n v="0"/>
    <n v="3"/>
    <n v="12"/>
    <n v="3"/>
    <x v="1"/>
    <n v="24"/>
    <n v="0"/>
    <n v="1"/>
    <n v="0"/>
    <n v="0"/>
    <n v="1034"/>
    <n v="1145"/>
    <n v="16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340370529943899E-2"/>
    <n v="12000000"/>
    <n v="0.11605"/>
    <x v="2"/>
    <s v="Todo bien"/>
    <x v="0"/>
    <x v="5"/>
    <n v="450.42679972425287"/>
    <x v="0"/>
    <x v="0"/>
    <s v="Mediana"/>
    <x v="1"/>
    <n v="1034.0370529943989"/>
  </r>
  <r>
    <s v="Vatika XpreSS The Leafions"/>
    <x v="119"/>
    <n v="7360"/>
    <n v="2"/>
    <x v="5"/>
    <x v="0"/>
    <s v=" Sector 88B Gurgaon"/>
    <n v="0"/>
    <n v="0"/>
    <n v="2"/>
    <n v="3"/>
    <n v="2"/>
    <x v="0"/>
    <n v="3"/>
    <n v="0"/>
    <n v="0"/>
    <n v="1"/>
    <n v="0"/>
    <n v="1250"/>
    <n v="1300"/>
    <n v="1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9200000"/>
    <n v="7.3599999999999999E-2"/>
    <x v="1"/>
    <s v="Todo bien"/>
    <x v="0"/>
    <x v="5"/>
    <n v="544.5003136250001"/>
    <x v="1"/>
    <x v="2"/>
    <s v="Mediana"/>
    <x v="1"/>
    <n v="1250"/>
  </r>
  <r>
    <s v="Paras Dews"/>
    <x v="43"/>
    <n v="10656"/>
    <n v="3"/>
    <x v="4"/>
    <x v="0"/>
    <s v=" Sector 106 Gurgaon"/>
    <n v="0"/>
    <n v="0"/>
    <n v="4"/>
    <n v="14"/>
    <n v="3"/>
    <x v="1"/>
    <n v="24"/>
    <n v="1"/>
    <n v="1"/>
    <n v="0"/>
    <n v="0"/>
    <n v="1173"/>
    <n v="1305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304804804804E-2"/>
    <n v="12500000"/>
    <n v="0.10656"/>
    <x v="2"/>
    <s v="Todo bien"/>
    <x v="0"/>
    <x v="5"/>
    <n v="510.98002404748149"/>
    <x v="1"/>
    <x v="0"/>
    <s v="Mediana"/>
    <x v="1"/>
    <n v="1173.048048048048"/>
  </r>
  <r>
    <s v="Paras Dews"/>
    <x v="43"/>
    <n v="11061"/>
    <n v="3"/>
    <x v="3"/>
    <x v="0"/>
    <s v=" Sector 106 Gurgaon"/>
    <n v="0"/>
    <n v="0"/>
    <n v="4"/>
    <n v="7"/>
    <n v="3"/>
    <x v="1"/>
    <n v="24"/>
    <n v="1"/>
    <n v="1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9673628062E-2"/>
    <n v="12500000"/>
    <n v="0.11061"/>
    <x v="2"/>
    <s v="Todo bien"/>
    <x v="0"/>
    <x v="5"/>
    <n v="492.27042186510926"/>
    <x v="0"/>
    <x v="0"/>
    <s v="Mediana"/>
    <x v="1"/>
    <n v="1130.0967362806257"/>
  </r>
  <r>
    <s v="Vatika City"/>
    <x v="20"/>
    <n v="10578"/>
    <n v="3"/>
    <x v="6"/>
    <x v="5"/>
    <s v=" Sector 49 Gurgaon"/>
    <n v="0"/>
    <n v="0"/>
    <n v="3"/>
    <n v="7"/>
    <n v="1"/>
    <x v="1"/>
    <n v="17"/>
    <n v="0"/>
    <n v="0"/>
    <n v="1"/>
    <n v="1"/>
    <n v="1748.912837965589"/>
    <n v="1471.12"/>
    <n v="1748.8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89128379655799E-2"/>
    <n v="18500000"/>
    <n v="0.10578"/>
    <x v="3"/>
    <s v="Todo bien"/>
    <x v="0"/>
    <x v="4"/>
    <n v="761.82687102003774"/>
    <x v="1"/>
    <x v="2"/>
    <s v="Mediana"/>
    <x v="1"/>
    <n v="1748.912837965589"/>
  </r>
  <r>
    <s v="Vatika City"/>
    <x v="267"/>
    <n v="8622"/>
    <n v="3"/>
    <x v="5"/>
    <x v="5"/>
    <s v=" Sector 49 Gurgaon"/>
    <n v="0"/>
    <n v="0"/>
    <n v="3"/>
    <n v="3"/>
    <n v="3"/>
    <x v="1"/>
    <n v="17"/>
    <n v="0"/>
    <n v="0"/>
    <n v="1"/>
    <n v="0"/>
    <n v="1960"/>
    <m/>
    <m/>
    <n v="1"/>
    <n v="1"/>
    <n v="1"/>
    <n v="1"/>
    <n v="1"/>
    <n v="0"/>
    <n v="1"/>
    <n v="1"/>
    <n v="1"/>
    <n v="0"/>
    <n v="0"/>
    <n v="1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0206448619E-2"/>
    <n v="16900000"/>
    <n v="8.6220000000000005E-2"/>
    <x v="3"/>
    <s v="Todo bien"/>
    <x v="0"/>
    <x v="3"/>
    <n v="853.82095107979239"/>
    <x v="1"/>
    <x v="2"/>
    <s v="Pequeña"/>
    <x v="0"/>
    <n v="1960.1020644861981"/>
  </r>
  <r>
    <s v="Emaar MGF The Palm Drive"/>
    <x v="151"/>
    <n v="15901"/>
    <n v="3"/>
    <x v="8"/>
    <x v="0"/>
    <s v=" Sector 66 Gurgaon"/>
    <n v="0"/>
    <n v="0"/>
    <n v="3"/>
    <n v="4"/>
    <n v="2"/>
    <x v="1"/>
    <n v="17"/>
    <n v="0"/>
    <n v="1"/>
    <n v="0"/>
    <n v="0"/>
    <n v="1800"/>
    <n v="2200"/>
    <n v="2201"/>
    <n v="1"/>
    <n v="1"/>
    <n v="1"/>
    <n v="1"/>
    <n v="1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11194264511601E-2"/>
    <n v="35000000"/>
    <n v="0.15901000000000001"/>
    <x v="5"/>
    <s v="Todo bien"/>
    <x v="0"/>
    <x v="4"/>
    <n v="958.80817442298951"/>
    <x v="1"/>
    <x v="2"/>
    <s v="Grande"/>
    <x v="2"/>
    <n v="2201.1194264511664"/>
  </r>
  <r>
    <s v="Emaar MGF The Palm Drive"/>
    <x v="179"/>
    <n v="15130"/>
    <n v="2"/>
    <x v="5"/>
    <x v="0"/>
    <s v=" Sector 66 Gurgaon"/>
    <n v="0"/>
    <n v="0"/>
    <n v="2"/>
    <n v="5"/>
    <n v="2"/>
    <x v="0"/>
    <n v="17"/>
    <n v="0"/>
    <n v="0"/>
    <n v="1"/>
    <n v="0"/>
    <n v="998"/>
    <n v="1188"/>
    <n v="1200"/>
    <n v="1"/>
    <n v="1"/>
    <n v="1"/>
    <n v="1"/>
    <n v="0"/>
    <n v="0"/>
    <n v="0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9.9801718440185004E-3"/>
    <n v="15100000"/>
    <n v="0.15129999999999999"/>
    <x v="3"/>
    <s v="Todo bien"/>
    <x v="1"/>
    <x v="4"/>
    <n v="434.73653592795745"/>
    <x v="0"/>
    <x v="0"/>
    <s v="Mediana"/>
    <x v="1"/>
    <n v="998.01718440185073"/>
  </r>
  <r>
    <s v="Parsvnath Green Ville"/>
    <x v="376"/>
    <n v="7654"/>
    <n v="3"/>
    <x v="5"/>
    <x v="5"/>
    <s v=" Sector 48 Gurgaon"/>
    <n v="0"/>
    <n v="0"/>
    <n v="3"/>
    <n v="6"/>
    <n v="3"/>
    <x v="1"/>
    <n v="19"/>
    <n v="1"/>
    <n v="0"/>
    <n v="0"/>
    <n v="0"/>
    <n v="2430.1019074993469"/>
    <m/>
    <n v="2430"/>
    <n v="1"/>
    <n v="1"/>
    <n v="0"/>
    <n v="0"/>
    <n v="0"/>
    <n v="0"/>
    <n v="0"/>
    <n v="1"/>
    <n v="1"/>
    <n v="1"/>
    <n v="0"/>
    <n v="1"/>
    <n v="1"/>
    <n v="0"/>
    <n v="1"/>
    <n v="1"/>
    <n v="1"/>
    <n v="29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43010190749934E-2"/>
    <n v="18600000"/>
    <n v="7.6539999999999997E-2"/>
    <x v="3"/>
    <s v="Todo bien"/>
    <x v="0"/>
    <x v="1"/>
    <n v="1058.5530006192812"/>
    <x v="1"/>
    <x v="2"/>
    <s v="Pequeña"/>
    <x v="2"/>
    <n v="2430.1019074993469"/>
  </r>
  <r>
    <s v="Experion The Heartsong"/>
    <x v="74"/>
    <n v="8487"/>
    <n v="3"/>
    <x v="3"/>
    <x v="0"/>
    <s v=" Sector 108 Gurgaon"/>
    <n v="0"/>
    <n v="0"/>
    <n v="4"/>
    <n v="14"/>
    <n v="3"/>
    <x v="1"/>
    <n v="15"/>
    <n v="1"/>
    <n v="0"/>
    <n v="0"/>
    <n v="0"/>
    <n v="1140.98"/>
    <n v="1500.29"/>
    <n v="200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635088959501E-2"/>
    <n v="17000000"/>
    <n v="8.4870000000000001E-2"/>
    <x v="3"/>
    <s v="Todo bien"/>
    <x v="0"/>
    <x v="4"/>
    <n v="872.53496704371025"/>
    <x v="1"/>
    <x v="0"/>
    <s v="Mediana"/>
    <x v="2"/>
    <n v="2003.0635088959584"/>
  </r>
  <r>
    <s v="Experion The Heartsong"/>
    <x v="6"/>
    <n v="8554"/>
    <n v="3"/>
    <x v="4"/>
    <x v="0"/>
    <s v=" Sector 108 Gurgaon"/>
    <n v="0"/>
    <n v="0"/>
    <n v="3"/>
    <n v="14"/>
    <n v="3"/>
    <x v="1"/>
    <n v="14"/>
    <n v="1"/>
    <n v="0"/>
    <n v="0"/>
    <n v="0"/>
    <n v="2338.0874444704232"/>
    <m/>
    <n v="2338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808744447042E-2"/>
    <n v="20000000"/>
    <n v="8.5540000000000005E-2"/>
    <x v="3"/>
    <s v="Todo bien"/>
    <x v="0"/>
    <x v="5"/>
    <n v="1018.4714774374548"/>
    <x v="1"/>
    <x v="2"/>
    <s v="Pequeña"/>
    <x v="2"/>
    <n v="2338.0874444704232"/>
  </r>
  <r>
    <s v="Godrej Summit"/>
    <x v="43"/>
    <n v="6778"/>
    <n v="3"/>
    <x v="4"/>
    <x v="0"/>
    <s v=" Sector 104 Gurgaon"/>
    <n v="0"/>
    <n v="0"/>
    <n v="4"/>
    <n v="12"/>
    <n v="3"/>
    <x v="1"/>
    <n v="17"/>
    <n v="1"/>
    <n v="0"/>
    <n v="0"/>
    <n v="0"/>
    <n v="1844.2018294482145"/>
    <m/>
    <n v="18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2018294482099E-2"/>
    <n v="12500000"/>
    <n v="6.7780000000000007E-2"/>
    <x v="2"/>
    <s v="Todo bien"/>
    <x v="0"/>
    <x v="4"/>
    <n v="803.33477961787935"/>
    <x v="1"/>
    <x v="2"/>
    <s v="Pequeña"/>
    <x v="1"/>
    <n v="1844.2018294482145"/>
  </r>
  <r>
    <s v="Godrej Summit"/>
    <x v="187"/>
    <n v="5950"/>
    <n v="3"/>
    <x v="4"/>
    <x v="0"/>
    <s v=" Sector 104 Gurgaon"/>
    <n v="0"/>
    <n v="0"/>
    <n v="3"/>
    <n v="12"/>
    <n v="3"/>
    <x v="1"/>
    <n v="17"/>
    <n v="0"/>
    <n v="0"/>
    <n v="0"/>
    <n v="0"/>
    <n v="1647.0588235294119"/>
    <m/>
    <n v="1647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9800000"/>
    <n v="5.9499999999999997E-2"/>
    <x v="1"/>
    <s v="Todo bien"/>
    <x v="0"/>
    <x v="4"/>
    <n v="717.45923677646988"/>
    <x v="1"/>
    <x v="2"/>
    <s v="Pequeña"/>
    <x v="1"/>
    <n v="1647.0588235294119"/>
  </r>
  <r>
    <s v="Godrej Summit"/>
    <x v="28"/>
    <n v="5878"/>
    <n v="2"/>
    <x v="4"/>
    <x v="0"/>
    <s v=" Sector 104 Gurgaon"/>
    <n v="0"/>
    <n v="0"/>
    <n v="2"/>
    <n v="10"/>
    <n v="3"/>
    <x v="0"/>
    <n v="17"/>
    <n v="0"/>
    <n v="1"/>
    <n v="0"/>
    <n v="0"/>
    <n v="777"/>
    <n v="1269"/>
    <n v="1446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60700918679801E-2"/>
    <n v="8500000"/>
    <n v="5.8779999999999999E-2"/>
    <x v="1"/>
    <s v="Todo bien"/>
    <x v="0"/>
    <x v="4"/>
    <n v="629.90849483667819"/>
    <x v="1"/>
    <x v="0"/>
    <s v="Mediana"/>
    <x v="1"/>
    <n v="1446.0700918679822"/>
  </r>
  <r>
    <s v="Godrej Summit"/>
    <x v="29"/>
    <n v="5910"/>
    <n v="2"/>
    <x v="4"/>
    <x v="0"/>
    <s v=" Sector 104 Gurgaon"/>
    <n v="0"/>
    <n v="0"/>
    <n v="2"/>
    <n v="6"/>
    <n v="3"/>
    <x v="0"/>
    <n v="17"/>
    <n v="0"/>
    <n v="0"/>
    <n v="0"/>
    <n v="0"/>
    <n v="1269.0355329949239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03553299492E-2"/>
    <n v="7500000"/>
    <n v="5.91E-2"/>
    <x v="1"/>
    <s v="Todo bien"/>
    <x v="0"/>
    <x v="4"/>
    <n v="552.79219657360238"/>
    <x v="1"/>
    <x v="2"/>
    <s v="Pequeña"/>
    <x v="1"/>
    <n v="1269.0355329949239"/>
  </r>
  <r>
    <s v="Signature Global Solera"/>
    <x v="45"/>
    <n v="6134"/>
    <n v="2"/>
    <x v="4"/>
    <x v="0"/>
    <s v=" Sector 107 Gurgaon"/>
    <n v="0"/>
    <n v="0"/>
    <n v="2"/>
    <n v="5"/>
    <n v="1"/>
    <x v="0"/>
    <n v="14"/>
    <n v="0"/>
    <n v="0"/>
    <n v="0"/>
    <n v="0"/>
    <n v="489"/>
    <m/>
    <n v="602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727420932001E-3"/>
    <n v="3000000"/>
    <n v="6.1339999999999999E-2"/>
    <x v="0"/>
    <s v="Todo bien"/>
    <x v="0"/>
    <x v="1"/>
    <n v="213.04218335506792"/>
    <x v="0"/>
    <x v="1"/>
    <s v="Pequeña"/>
    <x v="0"/>
    <n v="489.07727420932508"/>
  </r>
  <r>
    <s v="ATS Kocoon"/>
    <x v="74"/>
    <n v="9742"/>
    <n v="3"/>
    <x v="4"/>
    <x v="0"/>
    <s v=" Sector 109 Gurgaon"/>
    <n v="0"/>
    <n v="0"/>
    <n v="3"/>
    <n v="22"/>
    <n v="3"/>
    <x v="1"/>
    <n v="25"/>
    <n v="0"/>
    <n v="0"/>
    <n v="0"/>
    <n v="0"/>
    <n v="1745.0215561486348"/>
    <n v="1550"/>
    <n v="1745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4502155614863E-2"/>
    <n v="17000000"/>
    <n v="9.7420000000000007E-2"/>
    <x v="3"/>
    <s v="Todo bien"/>
    <x v="0"/>
    <x v="4"/>
    <n v="760.13182768425168"/>
    <x v="1"/>
    <x v="2"/>
    <s v="Mediana"/>
    <x v="1"/>
    <n v="1745.0215561486348"/>
  </r>
  <r>
    <s v="ATS Tourmaline"/>
    <x v="100"/>
    <n v="8000"/>
    <n v="3"/>
    <x v="7"/>
    <x v="0"/>
    <s v=" Sector 109 Gurgaon"/>
    <n v="0"/>
    <n v="0"/>
    <n v="3"/>
    <n v="12"/>
    <n v="3"/>
    <x v="1"/>
    <n v="27"/>
    <n v="0"/>
    <n v="0"/>
    <n v="0"/>
    <n v="0"/>
    <n v="1750"/>
    <m/>
    <n v="17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000000000002E-2"/>
    <n v="14000000"/>
    <n v="0.08"/>
    <x v="2"/>
    <s v="Todo bien"/>
    <x v="1"/>
    <x v="3"/>
    <n v="762.3004390750001"/>
    <x v="1"/>
    <x v="2"/>
    <s v="Pequeña"/>
    <x v="1"/>
    <n v="1750"/>
  </r>
  <r>
    <s v="Ireo The Corridors"/>
    <x v="74"/>
    <n v="9843"/>
    <n v="3"/>
    <x v="2"/>
    <x v="2"/>
    <s v=" Sector 67A Gurgaon"/>
    <n v="0"/>
    <n v="0"/>
    <n v="3"/>
    <n v="10"/>
    <n v="2"/>
    <x v="1"/>
    <n v="19"/>
    <n v="1"/>
    <n v="0"/>
    <n v="0"/>
    <n v="0"/>
    <n v="1017"/>
    <m/>
    <n v="1727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711571675302E-2"/>
    <n v="17000000"/>
    <n v="9.8430000000000004E-2"/>
    <x v="3"/>
    <s v="Todo bien"/>
    <x v="1"/>
    <x v="1"/>
    <n v="752.33203955094893"/>
    <x v="1"/>
    <x v="0"/>
    <s v="Pequeña"/>
    <x v="1"/>
    <n v="1727.1157167530223"/>
  </r>
  <r>
    <s v="Shree Vardhman Flora"/>
    <x v="15"/>
    <n v="4615"/>
    <n v="3"/>
    <x v="4"/>
    <x v="0"/>
    <s v=" Sector 90 Gurgaon"/>
    <n v="0"/>
    <n v="0"/>
    <n v="4"/>
    <n v="4"/>
    <n v="3"/>
    <x v="1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5"/>
    <n v="849.49128019501404"/>
    <x v="1"/>
    <x v="2"/>
    <s v="Pequeña"/>
    <x v="1"/>
    <n v="1950.1625135427953"/>
  </r>
  <r>
    <s v="Shree Vardhman Flora"/>
    <x v="43"/>
    <n v="4854"/>
    <n v="4"/>
    <x v="4"/>
    <x v="0"/>
    <s v=" Sector 90 Gurgaon"/>
    <n v="0"/>
    <n v="0"/>
    <n v="4"/>
    <n v="10"/>
    <n v="3"/>
    <x v="2"/>
    <n v="14"/>
    <n v="0"/>
    <n v="1"/>
    <n v="1"/>
    <n v="0"/>
    <n v="25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x v="2"/>
    <s v="Todo bien"/>
    <x v="0"/>
    <x v="5"/>
    <n v="1121.7558995158631"/>
    <x v="1"/>
    <x v="3"/>
    <s v="Pequeña"/>
    <x v="0"/>
    <n v="2575.1957148743304"/>
  </r>
  <r>
    <s v="Shree Vardhman Flora"/>
    <x v="53"/>
    <n v="4814"/>
    <n v="2"/>
    <x v="0"/>
    <x v="0"/>
    <s v=" Sector 90 Gurgaon"/>
    <n v="0"/>
    <n v="0"/>
    <n v="2"/>
    <n v="6"/>
    <n v="3"/>
    <x v="0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5"/>
    <n v="588.15987346281361"/>
    <x v="1"/>
    <x v="2"/>
    <s v="Pequeña"/>
    <x v="1"/>
    <n v="1350.2285002077274"/>
  </r>
  <r>
    <s v="Shree Vardhman Flora"/>
    <x v="15"/>
    <n v="4615"/>
    <n v="3"/>
    <x v="6"/>
    <x v="0"/>
    <s v=" Sector 90 Gurgaon"/>
    <n v="0"/>
    <n v="0"/>
    <n v="4"/>
    <n v="4"/>
    <n v="3"/>
    <x v="1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5"/>
    <n v="849.49128019501404"/>
    <x v="1"/>
    <x v="2"/>
    <s v="Pequeña"/>
    <x v="1"/>
    <n v="1950.1625135427953"/>
  </r>
  <r>
    <s v="Shree Vardhman Flora"/>
    <x v="53"/>
    <n v="4814"/>
    <n v="2"/>
    <x v="4"/>
    <x v="0"/>
    <s v=" Sector 90 Gurgaon"/>
    <n v="0"/>
    <n v="0"/>
    <n v="2"/>
    <n v="6"/>
    <n v="3"/>
    <x v="0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5"/>
    <n v="588.15987346281361"/>
    <x v="1"/>
    <x v="2"/>
    <s v="Pequeña"/>
    <x v="1"/>
    <n v="1350.2285002077274"/>
  </r>
  <r>
    <s v="Shree Vardhman Flora"/>
    <x v="123"/>
    <n v="5076"/>
    <n v="2"/>
    <x v="2"/>
    <x v="0"/>
    <s v=" Sector 90 Gurgaon"/>
    <n v="0"/>
    <n v="0"/>
    <n v="2"/>
    <n v="4"/>
    <n v="3"/>
    <x v="0"/>
    <n v="13"/>
    <n v="0"/>
    <n v="1"/>
    <n v="0"/>
    <n v="0"/>
    <n v="960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2364066193799E-2"/>
    <n v="6600000"/>
    <n v="5.076E-2"/>
    <x v="1"/>
    <s v="Todo bien"/>
    <x v="0"/>
    <x v="5"/>
    <n v="566.38330495271634"/>
    <x v="1"/>
    <x v="0"/>
    <s v="Pequeña"/>
    <x v="1"/>
    <n v="1300.2364066193854"/>
  </r>
  <r>
    <s v="HSIIDC Sidco Aravali"/>
    <x v="122"/>
    <n v="3516"/>
    <n v="3"/>
    <x v="4"/>
    <x v="5"/>
    <s v=" Sector 1 Imt Manesar"/>
    <n v="0"/>
    <n v="0"/>
    <n v="3"/>
    <n v="8"/>
    <n v="3"/>
    <x v="1"/>
    <n v="10"/>
    <n v="1"/>
    <n v="0"/>
    <n v="0"/>
    <n v="0"/>
    <n v="2588.1683731513085"/>
    <n v="1900"/>
    <n v="2588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1683731512999E-2"/>
    <n v="9100000"/>
    <n v="3.5159999999999997E-2"/>
    <x v="1"/>
    <s v="Todo bien"/>
    <x v="0"/>
    <x v="2"/>
    <n v="1127.4067927161511"/>
    <x v="1"/>
    <x v="3"/>
    <s v="Grande"/>
    <x v="2"/>
    <n v="2588.1683731513085"/>
  </r>
  <r>
    <s v="The Crew Bos Chs Manesar"/>
    <x v="28"/>
    <n v="3695"/>
    <n v="3"/>
    <x v="4"/>
    <x v="5"/>
    <s v=" Manesar"/>
    <n v="0"/>
    <n v="0"/>
    <n v="3"/>
    <n v="2"/>
    <n v="2"/>
    <x v="1"/>
    <n v="10"/>
    <n v="0"/>
    <n v="0"/>
    <n v="0"/>
    <n v="0"/>
    <n v="2300"/>
    <m/>
    <m/>
    <n v="1"/>
    <n v="1"/>
    <n v="1"/>
    <n v="1"/>
    <n v="1"/>
    <n v="0"/>
    <n v="0"/>
    <n v="0"/>
    <n v="0"/>
    <n v="1"/>
    <n v="0"/>
    <n v="0"/>
    <n v="1"/>
    <n v="0"/>
    <n v="1"/>
    <n v="0"/>
    <n v="1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x v="1"/>
    <s v="Todo bien"/>
    <x v="0"/>
    <x v="3"/>
    <n v="1002.0574107307169"/>
    <x v="1"/>
    <x v="2"/>
    <s v="Pequeña"/>
    <x v="0"/>
    <n v="2300.4059539918812"/>
  </r>
  <r>
    <s v="Nagata Group Housing Society"/>
    <x v="28"/>
    <n v="3695"/>
    <n v="3"/>
    <x v="5"/>
    <x v="0"/>
    <s v=" Sector 1 Gurgaon"/>
    <n v="0"/>
    <n v="0"/>
    <n v="3"/>
    <n v="4"/>
    <n v="3"/>
    <x v="1"/>
    <n v="7"/>
    <n v="1"/>
    <n v="0"/>
    <n v="0"/>
    <n v="0"/>
    <n v="2300.4059539918812"/>
    <m/>
    <n v="230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x v="1"/>
    <s v="Todo bien"/>
    <x v="0"/>
    <x v="2"/>
    <n v="1002.0574107307169"/>
    <x v="1"/>
    <x v="2"/>
    <s v="Pequeña"/>
    <x v="2"/>
    <n v="2300.4059539918812"/>
  </r>
  <r>
    <s v="Emaar MGF Emerald Floors Premier"/>
    <x v="90"/>
    <n v="14683"/>
    <n v="4"/>
    <x v="5"/>
    <x v="0"/>
    <s v=" Sector 65 Gurgaon"/>
    <n v="0"/>
    <n v="0"/>
    <n v="4"/>
    <n v="0"/>
    <n v="0"/>
    <x v="2"/>
    <n v="4"/>
    <n v="0"/>
    <n v="0"/>
    <n v="0"/>
    <n v="1"/>
    <n v="1975"/>
    <m/>
    <m/>
    <n v="1"/>
    <n v="0"/>
    <n v="1"/>
    <n v="1"/>
    <n v="0"/>
    <n v="0"/>
    <n v="0"/>
    <n v="1"/>
    <n v="1"/>
    <n v="0"/>
    <n v="0"/>
    <n v="1"/>
    <n v="1"/>
    <n v="1"/>
    <n v="0"/>
    <n v="1"/>
    <n v="1"/>
    <n v="34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7321392086E-2"/>
    <n v="29000000"/>
    <n v="0.14682999999999999"/>
    <x v="5"/>
    <s v="Todo bien"/>
    <x v="1"/>
    <x v="3"/>
    <n v="860.34238752979604"/>
    <x v="1"/>
    <x v="2"/>
    <s v="Pequeña"/>
    <x v="0"/>
    <n v="1975.073213920861"/>
  </r>
  <r>
    <s v="Emaar MGF Emerald Floors Premier"/>
    <x v="22"/>
    <n v="14430"/>
    <n v="4"/>
    <x v="5"/>
    <x v="0"/>
    <s v=" Sector 65 Gurgaon"/>
    <n v="0"/>
    <n v="0"/>
    <n v="4"/>
    <n v="3"/>
    <n v="3"/>
    <x v="2"/>
    <n v="5"/>
    <n v="1"/>
    <n v="1"/>
    <n v="0"/>
    <n v="0"/>
    <n v="1975"/>
    <m/>
    <m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5197505197E-2"/>
    <n v="28500000"/>
    <n v="0.14430000000000001"/>
    <x v="5"/>
    <s v="Todo bien"/>
    <x v="1"/>
    <x v="1"/>
    <n v="860.33313587317866"/>
    <x v="1"/>
    <x v="2"/>
    <s v="Pequeña"/>
    <x v="0"/>
    <n v="1975.051975051975"/>
  </r>
  <r>
    <s v="Emaar MGF Emerald Floors Premier"/>
    <x v="232"/>
    <n v="13575"/>
    <n v="3"/>
    <x v="7"/>
    <x v="0"/>
    <s v=" Sector 65 Gurgaon"/>
    <n v="0"/>
    <n v="0"/>
    <n v="3"/>
    <n v="2"/>
    <n v="3"/>
    <x v="1"/>
    <n v="5"/>
    <n v="1"/>
    <n v="1"/>
    <n v="0"/>
    <n v="0"/>
    <n v="1650"/>
    <m/>
    <m/>
    <n v="1"/>
    <n v="0"/>
    <n v="0"/>
    <n v="1"/>
    <n v="0"/>
    <n v="0"/>
    <n v="0"/>
    <n v="1"/>
    <n v="0"/>
    <n v="1"/>
    <n v="0"/>
    <n v="0"/>
    <n v="1"/>
    <n v="0"/>
    <n v="1"/>
    <n v="1"/>
    <n v="1"/>
    <n v="24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920810313E-2"/>
    <n v="22400000.000000004"/>
    <n v="0.13575000000000001"/>
    <x v="3"/>
    <s v="Todo bien"/>
    <x v="0"/>
    <x v="1"/>
    <n v="718.78052450533744"/>
    <x v="1"/>
    <x v="2"/>
    <s v="Pequeña"/>
    <x v="0"/>
    <n v="1650.0920810313075"/>
  </r>
  <r>
    <s v="Emaar MGF Emerald Floors Premier"/>
    <x v="161"/>
    <n v="15454"/>
    <n v="3"/>
    <x v="0"/>
    <x v="0"/>
    <s v=" Sector 65 Gurgaon"/>
    <n v="0"/>
    <n v="0"/>
    <n v="3"/>
    <n v="3"/>
    <n v="3"/>
    <x v="1"/>
    <n v="5"/>
    <n v="1"/>
    <n v="1"/>
    <n v="0"/>
    <n v="0"/>
    <n v="1300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82373495502E-2"/>
    <n v="25500000"/>
    <n v="0.15454000000000001"/>
    <x v="5"/>
    <s v="Todo bien"/>
    <x v="0"/>
    <x v="0"/>
    <n v="718.76578218907582"/>
    <x v="1"/>
    <x v="2"/>
    <s v="Pequeña"/>
    <x v="1"/>
    <n v="1650.0582373495533"/>
  </r>
  <r>
    <s v="Emaar MGF Emerald Floors Premier"/>
    <x v="22"/>
    <n v="14430"/>
    <n v="4"/>
    <x v="6"/>
    <x v="0"/>
    <s v=" Sector 65 Gurgaon"/>
    <n v="0"/>
    <n v="0"/>
    <n v="4"/>
    <n v="2"/>
    <n v="3"/>
    <x v="2"/>
    <n v="5"/>
    <n v="1"/>
    <n v="1"/>
    <n v="0"/>
    <n v="0"/>
    <n v="1975.051975051975"/>
    <n v="1800"/>
    <n v="197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28500000"/>
    <n v="0.14430000000000001"/>
    <x v="5"/>
    <s v="Todo bien"/>
    <x v="0"/>
    <x v="0"/>
    <n v="860.33313587317866"/>
    <x v="1"/>
    <x v="2"/>
    <s v="Mediana"/>
    <x v="1"/>
    <n v="1975.051975051975"/>
  </r>
  <r>
    <s v="Emaar MGF Emerald Floors Premier"/>
    <x v="51"/>
    <n v="15151"/>
    <n v="3"/>
    <x v="6"/>
    <x v="0"/>
    <s v=" Sector 65 Gurgaon"/>
    <n v="0"/>
    <n v="0"/>
    <n v="3"/>
    <n v="3"/>
    <n v="3"/>
    <x v="1"/>
    <n v="5"/>
    <n v="1"/>
    <n v="1"/>
    <n v="0"/>
    <n v="0"/>
    <n v="1650.0561019074648"/>
    <m/>
    <n v="16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610190746E-2"/>
    <n v="25000000"/>
    <n v="0.15151000000000001"/>
    <x v="3"/>
    <s v="Todo bien"/>
    <x v="0"/>
    <x v="2"/>
    <n v="718.76485198996556"/>
    <x v="1"/>
    <x v="2"/>
    <s v="Pequeña"/>
    <x v="1"/>
    <n v="1650.0561019074648"/>
  </r>
  <r>
    <s v="The Close North"/>
    <x v="76"/>
    <n v="12500"/>
    <n v="3"/>
    <x v="3"/>
    <x v="5"/>
    <s v=" Nirvana Country"/>
    <n v="0"/>
    <n v="0"/>
    <n v="3"/>
    <n v="3"/>
    <n v="3"/>
    <x v="1"/>
    <n v="18"/>
    <n v="1"/>
    <n v="0"/>
    <n v="0"/>
    <n v="0"/>
    <n v="2200"/>
    <n v="2400"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9999999999999E-2"/>
    <n v="27500000"/>
    <n v="0.125"/>
    <x v="5"/>
    <s v="Todo bien"/>
    <x v="0"/>
    <x v="5"/>
    <n v="958.32055198"/>
    <x v="1"/>
    <x v="2"/>
    <s v="Grande"/>
    <x v="2"/>
    <n v="2200"/>
  </r>
  <r>
    <s v="Unitech The Residences"/>
    <x v="12"/>
    <n v="8737"/>
    <n v="3"/>
    <x v="2"/>
    <x v="5"/>
    <s v=" Sector 33 Gurgaon"/>
    <n v="0"/>
    <n v="0"/>
    <n v="4"/>
    <n v="8"/>
    <n v="2"/>
    <x v="1"/>
    <n v="14"/>
    <n v="1"/>
    <n v="0"/>
    <n v="0"/>
    <n v="0"/>
    <n v="1545.1527984434015"/>
    <m/>
    <n v="15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1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51527984433999E-2"/>
    <n v="13500000"/>
    <n v="8.7370000000000003E-2"/>
    <x v="2"/>
    <s v="Todo bien"/>
    <x v="0"/>
    <x v="1"/>
    <n v="673.06894668078223"/>
    <x v="1"/>
    <x v="2"/>
    <s v="Pequeña"/>
    <x v="1"/>
    <n v="1545.1527984434015"/>
  </r>
  <r>
    <s v="The Close North"/>
    <x v="155"/>
    <n v="11992"/>
    <n v="3"/>
    <x v="2"/>
    <x v="5"/>
    <s v=" Nirvana Country"/>
    <n v="0"/>
    <n v="0"/>
    <n v="3"/>
    <n v="11"/>
    <n v="3"/>
    <x v="1"/>
    <n v="18"/>
    <n v="0"/>
    <n v="0"/>
    <n v="1"/>
    <n v="1"/>
    <n v="2093.0620413609072"/>
    <m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930620413609002E-2"/>
    <n v="25100000"/>
    <n v="0.11992"/>
    <x v="5"/>
    <s v="Todo bien"/>
    <x v="1"/>
    <x v="5"/>
    <n v="911.73835036607431"/>
    <x v="1"/>
    <x v="2"/>
    <s v="Pequeña"/>
    <x v="2"/>
    <n v="2093.0620413609072"/>
  </r>
  <r>
    <s v="MM Merlin"/>
    <x v="61"/>
    <n v="14267"/>
    <n v="4"/>
    <x v="6"/>
    <x v="0"/>
    <s v=" Sector 67 Gurgaon"/>
    <n v="0"/>
    <n v="0"/>
    <n v="4"/>
    <n v="15"/>
    <n v="3"/>
    <x v="2"/>
    <n v="21"/>
    <n v="1"/>
    <n v="0"/>
    <n v="0"/>
    <n v="0"/>
    <n v="3154.1319128057758"/>
    <m/>
    <n v="315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1541319128057702E-2"/>
    <n v="45000000"/>
    <n v="0.14266999999999999"/>
    <x v="4"/>
    <s v="Todo bien"/>
    <x v="1"/>
    <x v="5"/>
    <n v="1373.9406525898905"/>
    <x v="1"/>
    <x v="3"/>
    <s v="Pequeña"/>
    <x v="3"/>
    <n v="3154.1319128057758"/>
  </r>
  <r>
    <s v="The Close North"/>
    <x v="51"/>
    <n v="11944"/>
    <n v="3"/>
    <x v="2"/>
    <x v="0"/>
    <s v=" Nirvana Country"/>
    <n v="0"/>
    <n v="0"/>
    <n v="3"/>
    <n v="11"/>
    <n v="3"/>
    <x v="1"/>
    <n v="18"/>
    <n v="0"/>
    <n v="0"/>
    <n v="1"/>
    <n v="0"/>
    <n v="2093.1011386470195"/>
    <m/>
    <n v="2093"/>
    <n v="1"/>
    <n v="1"/>
    <n v="1"/>
    <n v="0"/>
    <n v="1"/>
    <n v="0"/>
    <n v="1"/>
    <n v="1"/>
    <n v="1"/>
    <n v="1"/>
    <n v="0"/>
    <n v="0"/>
    <n v="1"/>
    <n v="1"/>
    <n v="1"/>
    <n v="1"/>
    <n v="1"/>
    <n v="32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0931011386470098E-2"/>
    <n v="25000000"/>
    <n v="0.11944"/>
    <x v="3"/>
    <s v="Todo bien"/>
    <x v="1"/>
    <x v="3"/>
    <n v="911.75538115371319"/>
    <x v="1"/>
    <x v="2"/>
    <s v="Pequeña"/>
    <x v="2"/>
    <n v="2093.1011386470195"/>
  </r>
  <r>
    <s v="SS The Leaf"/>
    <x v="253"/>
    <n v="6951"/>
    <n v="2"/>
    <x v="8"/>
    <x v="0"/>
    <s v=" Sector 85 Gurgaon"/>
    <n v="0"/>
    <n v="0"/>
    <n v="2"/>
    <n v="4"/>
    <n v="3"/>
    <x v="0"/>
    <n v="26"/>
    <n v="0"/>
    <n v="0"/>
    <n v="0"/>
    <n v="0"/>
    <n v="1640.0517911091929"/>
    <m/>
    <n v="164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5179110919E-2"/>
    <n v="11400000"/>
    <n v="6.9510000000000002E-2"/>
    <x v="2"/>
    <s v="Todo bien"/>
    <x v="0"/>
    <x v="4"/>
    <n v="714.4069716961576"/>
    <x v="1"/>
    <x v="2"/>
    <s v="Pequeña"/>
    <x v="1"/>
    <n v="1640.0517911091929"/>
  </r>
  <r>
    <s v="SS The Leaf"/>
    <x v="20"/>
    <n v="6578"/>
    <n v="4"/>
    <x v="7"/>
    <x v="0"/>
    <s v=" Sector 85 Gurgaon"/>
    <n v="0"/>
    <n v="0"/>
    <n v="5"/>
    <n v="1"/>
    <n v="3"/>
    <x v="2"/>
    <n v="26"/>
    <n v="0"/>
    <n v="0"/>
    <n v="0"/>
    <n v="0"/>
    <n v="2812.4049863180294"/>
    <m/>
    <n v="281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4049863180199E-2"/>
    <n v="18500000"/>
    <n v="6.5780000000000005E-2"/>
    <x v="3"/>
    <s v="Todo bien"/>
    <x v="0"/>
    <x v="4"/>
    <n v="1225.0843176725407"/>
    <x v="1"/>
    <x v="3"/>
    <s v="Pequeña"/>
    <x v="2"/>
    <n v="2812.4049863180294"/>
  </r>
  <r>
    <s v="Emaar MGF The Palm Drive"/>
    <x v="40"/>
    <n v="16470"/>
    <n v="3"/>
    <x v="2"/>
    <x v="0"/>
    <s v=" Sector 66 Gurgaon"/>
    <n v="0"/>
    <n v="0"/>
    <n v="4"/>
    <n v="8"/>
    <n v="3"/>
    <x v="1"/>
    <n v="17"/>
    <n v="1"/>
    <n v="0"/>
    <n v="0"/>
    <n v="0"/>
    <n v="1700"/>
    <n v="1920"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7000607164541499E-2"/>
    <n v="28000000"/>
    <n v="0.16470000000000001"/>
    <x v="5"/>
    <s v="Todo bien"/>
    <x v="1"/>
    <x v="5"/>
    <n v="740.54687463266157"/>
    <x v="1"/>
    <x v="2"/>
    <s v="Grande"/>
    <x v="1"/>
    <n v="1700.0607164541589"/>
  </r>
  <r>
    <s v="Emaar MGF Palm Studios"/>
    <x v="59"/>
    <n v="14795"/>
    <n v="2"/>
    <x v="4"/>
    <x v="0"/>
    <s v=" Sector 66 Gurgaon"/>
    <n v="0"/>
    <n v="0"/>
    <n v="2"/>
    <n v="3"/>
    <n v="3"/>
    <x v="0"/>
    <n v="20"/>
    <n v="0"/>
    <n v="0"/>
    <n v="0"/>
    <n v="0"/>
    <n v="980"/>
    <m/>
    <n v="1188"/>
    <n v="1"/>
    <n v="0"/>
    <n v="0"/>
    <n v="1"/>
    <n v="0"/>
    <n v="0"/>
    <n v="1"/>
    <n v="1"/>
    <n v="1"/>
    <n v="1"/>
    <n v="1"/>
    <n v="1"/>
    <n v="1"/>
    <n v="1"/>
    <n v="0"/>
    <n v="1"/>
    <n v="1"/>
    <n v="37"/>
    <x v="0"/>
    <x v="0"/>
    <x v="1"/>
    <x v="0"/>
    <x v="0"/>
    <x v="1"/>
    <x v="1"/>
    <x v="0"/>
    <x v="0"/>
    <n v="0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9.8006083136194001E-3"/>
    <n v="14500000"/>
    <n v="0.14795"/>
    <x v="2"/>
    <s v="Todo bien"/>
    <x v="1"/>
    <x v="3"/>
    <n v="426.91474403852368"/>
    <x v="0"/>
    <x v="0"/>
    <s v="Pequeña"/>
    <x v="1"/>
    <n v="980.06083136194661"/>
  </r>
  <r>
    <s v="Mapsko Casa Bella"/>
    <x v="377"/>
    <n v="8120"/>
    <n v="3"/>
    <x v="8"/>
    <x v="5"/>
    <s v=" Sector 82 Gurgaon"/>
    <n v="0"/>
    <n v="0"/>
    <n v="3"/>
    <n v="5"/>
    <n v="3"/>
    <x v="1"/>
    <n v="25"/>
    <n v="0"/>
    <n v="1"/>
    <n v="0"/>
    <n v="0"/>
    <n v="1056"/>
    <m/>
    <n v="143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603448275862E-2"/>
    <n v="8575000"/>
    <n v="8.1199999999999994E-2"/>
    <x v="1"/>
    <s v="Todo bien"/>
    <x v="1"/>
    <x v="5"/>
    <n v="460.00888564870661"/>
    <x v="0"/>
    <x v="0"/>
    <s v="Pequeña"/>
    <x v="1"/>
    <n v="1056.0344827586207"/>
  </r>
  <r>
    <s v="Mapsko Mount Ville"/>
    <x v="154"/>
    <n v="8557"/>
    <n v="3"/>
    <x v="8"/>
    <x v="0"/>
    <s v=" Sector 79 Gurgaon"/>
    <n v="0"/>
    <n v="0"/>
    <n v="3"/>
    <n v="16"/>
    <n v="3"/>
    <x v="1"/>
    <n v="30"/>
    <n v="0"/>
    <n v="1"/>
    <n v="0"/>
    <n v="0"/>
    <n v="1063.9100000000001"/>
    <m/>
    <n v="1490"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85134977211E-2"/>
    <n v="12800000"/>
    <n v="8.5569999999999993E-2"/>
    <x v="2"/>
    <s v="Todo bien"/>
    <x v="1"/>
    <x v="3"/>
    <n v="651.59322326983477"/>
    <x v="1"/>
    <x v="0"/>
    <s v="Pequeña"/>
    <x v="1"/>
    <n v="1495.8513497721165"/>
  </r>
  <r>
    <s v="Mapsko Mount Ville"/>
    <x v="56"/>
    <n v="8052"/>
    <n v="3"/>
    <x v="8"/>
    <x v="0"/>
    <s v=" Sector 79 Gurgaon"/>
    <n v="0"/>
    <n v="0"/>
    <n v="3"/>
    <n v="9"/>
    <n v="3"/>
    <x v="1"/>
    <n v="30"/>
    <n v="0"/>
    <n v="1"/>
    <n v="0"/>
    <n v="0"/>
    <n v="1163.9100000000001"/>
    <m/>
    <n v="1490"/>
    <n v="0"/>
    <n v="1"/>
    <n v="0"/>
    <n v="1"/>
    <n v="1"/>
    <n v="0"/>
    <n v="0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903129657228001E-2"/>
    <n v="12000000"/>
    <n v="8.0519999999999994E-2"/>
    <x v="2"/>
    <s v="Todo bien"/>
    <x v="1"/>
    <x v="4"/>
    <n v="649.18070178837479"/>
    <x v="1"/>
    <x v="0"/>
    <s v="Pequeña"/>
    <x v="1"/>
    <n v="1490.3129657228019"/>
  </r>
  <r>
    <s v="Bestech Park View Ananda"/>
    <x v="81"/>
    <n v="6927"/>
    <n v="3"/>
    <x v="8"/>
    <x v="0"/>
    <s v=" Sector 81 Gurgaon"/>
    <n v="0"/>
    <n v="0"/>
    <n v="2"/>
    <n v="6"/>
    <n v="3"/>
    <x v="1"/>
    <n v="15"/>
    <n v="0"/>
    <n v="1"/>
    <n v="0"/>
    <n v="0"/>
    <n v="1282"/>
    <m/>
    <n v="166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601703479139501E-2"/>
    <n v="11500000"/>
    <n v="6.9269999999999998E-2"/>
    <x v="2"/>
    <s v="Todo bien"/>
    <x v="1"/>
    <x v="3"/>
    <n v="723.17062008805703"/>
    <x v="1"/>
    <x v="2"/>
    <s v="Pequeña"/>
    <x v="1"/>
    <n v="1660.1703479139599"/>
  </r>
  <r>
    <s v="Bestech Park View Ananda"/>
    <x v="378"/>
    <n v="8042"/>
    <n v="2"/>
    <x v="0"/>
    <x v="0"/>
    <s v=" Sector 81 Gurgaon"/>
    <n v="0"/>
    <n v="0"/>
    <n v="2"/>
    <n v="8"/>
    <n v="3"/>
    <x v="0"/>
    <n v="15"/>
    <n v="0"/>
    <n v="1"/>
    <n v="0"/>
    <n v="0"/>
    <n v="10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941308132305301E-2"/>
    <n v="8799000"/>
    <n v="8.0420000000000005E-2"/>
    <x v="1"/>
    <s v="Todo bien"/>
    <x v="1"/>
    <x v="4"/>
    <n v="476.60365676063998"/>
    <x v="0"/>
    <x v="0"/>
    <s v="Pequeña"/>
    <x v="1"/>
    <n v="1094.1308132305396"/>
  </r>
  <r>
    <s v="Bestech Park View Ananda"/>
    <x v="379"/>
    <n v="7951"/>
    <n v="2"/>
    <x v="0"/>
    <x v="0"/>
    <s v=" Sector 81 Gurgaon"/>
    <n v="0"/>
    <n v="0"/>
    <n v="2"/>
    <n v="8"/>
    <n v="3"/>
    <x v="0"/>
    <n v="15"/>
    <n v="0"/>
    <n v="0"/>
    <n v="0"/>
    <n v="0"/>
    <n v="1094"/>
    <n v="1300"/>
    <n v="136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9407621682807E-2"/>
    <n v="8699000"/>
    <n v="7.9509999999999997E-2"/>
    <x v="1"/>
    <s v="Todo bien"/>
    <x v="1"/>
    <x v="3"/>
    <n v="476.57987455403014"/>
    <x v="0"/>
    <x v="0"/>
    <s v="Mediana"/>
    <x v="1"/>
    <n v="1094.0762168280719"/>
  </r>
  <r>
    <s v="Indiabulls Centrum Park"/>
    <x v="92"/>
    <n v="8347"/>
    <n v="4"/>
    <x v="2"/>
    <x v="0"/>
    <s v=" Sector 103 Gurgaon"/>
    <n v="0"/>
    <n v="0"/>
    <n v="6"/>
    <n v="15"/>
    <n v="3"/>
    <x v="2"/>
    <n v="18"/>
    <n v="1"/>
    <n v="0"/>
    <n v="0"/>
    <n v="0"/>
    <n v="2100"/>
    <n v="2456"/>
    <n v="287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845333652799E-2"/>
    <n v="24000000"/>
    <n v="8.3470000000000003E-2"/>
    <x v="3"/>
    <s v="Todo bien"/>
    <x v="0"/>
    <x v="5"/>
    <n v="1252.4746641428055"/>
    <x v="1"/>
    <x v="2"/>
    <s v="Grande"/>
    <x v="2"/>
    <n v="2875.2845333652808"/>
  </r>
  <r>
    <s v="Raheja Vedaanta"/>
    <x v="28"/>
    <n v="4637"/>
    <n v="3"/>
    <x v="2"/>
    <x v="0"/>
    <s v=" Sector 108 Gurgaon"/>
    <n v="0"/>
    <n v="0"/>
    <n v="3"/>
    <n v="2"/>
    <n v="2"/>
    <x v="1"/>
    <n v="2"/>
    <n v="1"/>
    <n v="0"/>
    <n v="0"/>
    <n v="0"/>
    <n v="1350"/>
    <n v="1500"/>
    <n v="1833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30817338796601E-2"/>
    <n v="8500000"/>
    <n v="4.6370000000000001E-2"/>
    <x v="1"/>
    <s v="Todo bien"/>
    <x v="0"/>
    <x v="3"/>
    <n v="798.49086319818707"/>
    <x v="1"/>
    <x v="2"/>
    <s v="Mediana"/>
    <x v="1"/>
    <n v="1833.0817338796635"/>
  </r>
  <r>
    <s v="Shapoorji Pallonji Joyville Gurugram"/>
    <x v="35"/>
    <n v="17691"/>
    <n v="2"/>
    <x v="4"/>
    <x v="0"/>
    <s v=" Sector 102 Gurgaon"/>
    <n v="0"/>
    <n v="0"/>
    <n v="2"/>
    <n v="0"/>
    <n v="3"/>
    <x v="0"/>
    <n v="26"/>
    <n v="0"/>
    <n v="0"/>
    <n v="0"/>
    <n v="1"/>
    <n v="734.8"/>
    <n v="1009"/>
    <n v="1215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483692272906997E-3"/>
    <n v="13000000"/>
    <n v="0.17691000000000001"/>
    <x v="2"/>
    <s v="Todo bien"/>
    <x v="0"/>
    <x v="4"/>
    <n v="320.09514791136684"/>
    <x v="0"/>
    <x v="0"/>
    <s v="Mediana"/>
    <x v="1"/>
    <n v="734.83692272907126"/>
  </r>
  <r>
    <s v="DLF The Primus"/>
    <x v="20"/>
    <n v="10283"/>
    <n v="3"/>
    <x v="8"/>
    <x v="0"/>
    <s v=" Sector 82A Gurgaon"/>
    <n v="0"/>
    <n v="0"/>
    <n v="3"/>
    <n v="2"/>
    <n v="3"/>
    <x v="1"/>
    <n v="32"/>
    <n v="0"/>
    <n v="0"/>
    <n v="0"/>
    <n v="0"/>
    <n v="1538"/>
    <m/>
    <n v="1799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79908586988233E-2"/>
    <n v="18500000"/>
    <n v="0.10283"/>
    <x v="3"/>
    <s v="Todo bien"/>
    <x v="1"/>
    <x v="1"/>
    <n v="783.68225631138773"/>
    <x v="1"/>
    <x v="2"/>
    <s v="Pequeña"/>
    <x v="1"/>
    <n v="1799.0858698823299"/>
  </r>
  <r>
    <s v="Shapoorji Pallonji Joyville Gurugram"/>
    <x v="6"/>
    <n v="17729"/>
    <n v="3"/>
    <x v="8"/>
    <x v="0"/>
    <s v=" Sector 102 Gurgaon"/>
    <n v="0"/>
    <n v="0"/>
    <n v="3"/>
    <n v="1"/>
    <n v="3"/>
    <x v="1"/>
    <n v="26"/>
    <n v="0"/>
    <n v="0"/>
    <n v="0"/>
    <n v="1"/>
    <n v="1128.0899999999999"/>
    <n v="1456"/>
    <n v="185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0952112358199E-2"/>
    <n v="20000000"/>
    <n v="0.17729"/>
    <x v="3"/>
    <s v="Todo bien"/>
    <x v="0"/>
    <x v="5"/>
    <n v="491.39855705341171"/>
    <x v="0"/>
    <x v="0"/>
    <s v="Mediana"/>
    <x v="1"/>
    <n v="1128.0952112358282"/>
  </r>
  <r>
    <s v="Pioneer Araya"/>
    <x v="380"/>
    <n v="20995"/>
    <n v="4"/>
    <x v="3"/>
    <x v="0"/>
    <s v=" Sector 62 Gurgaon"/>
    <n v="0"/>
    <n v="0"/>
    <n v="6"/>
    <n v="12"/>
    <n v="3"/>
    <x v="2"/>
    <n v="34"/>
    <n v="1"/>
    <n v="0"/>
    <n v="1"/>
    <n v="0"/>
    <n v="3219"/>
    <m/>
    <n v="4739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0"/>
    <x v="0"/>
    <x v="1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7392236246725401E-2"/>
    <n v="99500000"/>
    <n v="0.20995"/>
    <x v="6"/>
    <s v="Todo bien"/>
    <x v="1"/>
    <x v="4"/>
    <n v="2064.4069999785661"/>
    <x v="3"/>
    <x v="3"/>
    <s v="Pequeña"/>
    <x v="3"/>
    <n v="4739.2236246725415"/>
  </r>
  <r>
    <s v="Pioneer Araya"/>
    <x v="381"/>
    <n v="19943"/>
    <n v="4"/>
    <x v="8"/>
    <x v="0"/>
    <s v=" Sector 62 Gurgaon"/>
    <n v="0"/>
    <n v="0"/>
    <n v="6"/>
    <n v="5"/>
    <n v="3"/>
    <x v="2"/>
    <n v="34"/>
    <n v="1"/>
    <n v="0"/>
    <n v="1"/>
    <n v="0"/>
    <n v="3203"/>
    <m/>
    <n v="4613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0"/>
    <x v="1"/>
    <n v="1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1314747029032E-2"/>
    <n v="92000000"/>
    <n v="0.19943"/>
    <x v="6"/>
    <s v="Todo bien"/>
    <x v="1"/>
    <x v="5"/>
    <n v="2009.4881954971638"/>
    <x v="3"/>
    <x v="3"/>
    <s v="Pequeña"/>
    <x v="3"/>
    <n v="4613.1474702903279"/>
  </r>
  <r>
    <s v="Central Park Flower Valley"/>
    <x v="87"/>
    <n v="11251"/>
    <n v="3"/>
    <x v="8"/>
    <x v="1"/>
    <s v=" Sector-33 Sohna"/>
    <n v="0"/>
    <n v="0"/>
    <n v="3"/>
    <n v="3"/>
    <n v="3"/>
    <x v="1"/>
    <n v="13"/>
    <n v="0"/>
    <n v="0"/>
    <n v="0"/>
    <n v="0"/>
    <n v="1590.9696915829704"/>
    <m/>
    <n v="1789"/>
    <n v="1"/>
    <n v="1"/>
    <n v="1"/>
    <n v="0"/>
    <n v="0"/>
    <n v="0"/>
    <n v="0"/>
    <n v="1"/>
    <n v="1"/>
    <n v="1"/>
    <n v="1"/>
    <n v="1"/>
    <n v="1"/>
    <n v="1"/>
    <n v="0"/>
    <n v="1"/>
    <n v="1"/>
    <n v="45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909696915829701E-2"/>
    <n v="17900000"/>
    <n v="0.11251"/>
    <x v="3"/>
    <s v="Todo bien"/>
    <x v="1"/>
    <x v="4"/>
    <n v="693.02679682783742"/>
    <x v="1"/>
    <x v="2"/>
    <s v="Pequeña"/>
    <x v="1"/>
    <n v="1590.9696915829704"/>
  </r>
  <r>
    <s v="ATS Tourmaline"/>
    <x v="69"/>
    <n v="8123"/>
    <n v="3"/>
    <x v="3"/>
    <x v="0"/>
    <s v=" Sector 109 Gurgaon"/>
    <n v="0"/>
    <n v="0"/>
    <n v="4"/>
    <n v="11"/>
    <n v="3"/>
    <x v="1"/>
    <n v="27"/>
    <n v="1"/>
    <n v="0"/>
    <n v="0"/>
    <n v="0"/>
    <n v="2585.251754277976"/>
    <n v="2100"/>
    <n v="258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5852517542779702E-2"/>
    <n v="21000000"/>
    <n v="8.1229999999999997E-2"/>
    <x v="3"/>
    <s v="Todo bien"/>
    <x v="1"/>
    <x v="5"/>
    <n v="1126.1363128031489"/>
    <x v="1"/>
    <x v="3"/>
    <s v="Grande"/>
    <x v="2"/>
    <n v="2585.251754277976"/>
  </r>
  <r>
    <s v="Paras Dews"/>
    <x v="253"/>
    <n v="6000"/>
    <n v="3"/>
    <x v="8"/>
    <x v="0"/>
    <s v=" Sector 106 Gurgaon"/>
    <n v="0"/>
    <n v="0"/>
    <n v="4"/>
    <n v="8"/>
    <n v="3"/>
    <x v="1"/>
    <n v="24"/>
    <n v="1"/>
    <n v="1"/>
    <n v="0"/>
    <n v="0"/>
    <n v="1173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999999999899E-2"/>
    <n v="11400000"/>
    <n v="0.06"/>
    <x v="2"/>
    <s v="Todo bien"/>
    <x v="0"/>
    <x v="1"/>
    <n v="827.6404767099956"/>
    <x v="1"/>
    <x v="0"/>
    <s v="Mediana"/>
    <x v="1"/>
    <n v="1900"/>
  </r>
  <r>
    <s v="Pareena Coban Residences"/>
    <x v="281"/>
    <n v="5658"/>
    <n v="3"/>
    <x v="4"/>
    <x v="0"/>
    <s v=" Sector 99A Gurgaon"/>
    <n v="0"/>
    <n v="0"/>
    <n v="5"/>
    <n v="5"/>
    <n v="3"/>
    <x v="1"/>
    <n v="20"/>
    <n v="1"/>
    <n v="0"/>
    <n v="0"/>
    <n v="0"/>
    <n v="1500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721456344901E-2"/>
    <n v="11300000"/>
    <n v="5.6579999999999998E-2"/>
    <x v="2"/>
    <s v="Todo bien"/>
    <x v="0"/>
    <x v="1"/>
    <n v="869.96868772887524"/>
    <x v="1"/>
    <x v="2"/>
    <s v="Mediana"/>
    <x v="1"/>
    <n v="1997.1721456344999"/>
  </r>
  <r>
    <s v="Paras Dews"/>
    <x v="16"/>
    <n v="8536"/>
    <n v="3"/>
    <x v="2"/>
    <x v="0"/>
    <s v=" Sector 106 Gurgaon"/>
    <n v="0"/>
    <n v="0"/>
    <n v="4"/>
    <n v="10"/>
    <n v="3"/>
    <x v="1"/>
    <n v="24"/>
    <n v="1"/>
    <n v="0"/>
    <n v="0"/>
    <n v="0"/>
    <n v="1230"/>
    <n v="1345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3008434864104E-2"/>
    <n v="10500000"/>
    <n v="8.5360000000000005E-2"/>
    <x v="2"/>
    <s v="Todo bien"/>
    <x v="0"/>
    <x v="5"/>
    <n v="535.8250508962002"/>
    <x v="1"/>
    <x v="2"/>
    <s v="Mediana"/>
    <x v="1"/>
    <n v="1230.0843486410497"/>
  </r>
  <r>
    <s v="La Vida by Tata Housing"/>
    <x v="222"/>
    <n v="11346"/>
    <n v="3"/>
    <x v="5"/>
    <x v="2"/>
    <s v=" Sector 113 Gurgaon"/>
    <n v="0"/>
    <n v="0"/>
    <n v="3"/>
    <n v="3"/>
    <n v="3"/>
    <x v="1"/>
    <n v="25"/>
    <n v="1"/>
    <n v="1"/>
    <n v="0"/>
    <n v="0"/>
    <n v="2450"/>
    <n v="2599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20271461307E-2"/>
    <n v="27800000"/>
    <n v="0.11346000000000001"/>
    <x v="5"/>
    <s v="Todo bien"/>
    <x v="0"/>
    <x v="5"/>
    <n v="1067.3089172413145"/>
    <x v="1"/>
    <x v="2"/>
    <s v="Muy grande"/>
    <x v="2"/>
    <n v="2450.2027146130795"/>
  </r>
  <r>
    <s v="La Vida by Tata Housing"/>
    <x v="46"/>
    <n v="11654"/>
    <n v="2"/>
    <x v="2"/>
    <x v="2"/>
    <s v=" Sector 113 Gurgaon"/>
    <n v="0"/>
    <n v="0"/>
    <n v="2"/>
    <n v="2"/>
    <n v="3"/>
    <x v="0"/>
    <n v="13"/>
    <n v="0"/>
    <n v="0"/>
    <n v="0"/>
    <n v="0"/>
    <n v="1180"/>
    <n v="1276"/>
    <n v="13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001544534065E-2"/>
    <n v="15500000"/>
    <n v="0.11654"/>
    <x v="3"/>
    <s v="Todo bien"/>
    <x v="0"/>
    <x v="5"/>
    <n v="579.35506169126245"/>
    <x v="1"/>
    <x v="0"/>
    <s v="Mediana"/>
    <x v="1"/>
    <n v="1330.0154453406556"/>
  </r>
  <r>
    <s v="La Vida by Tata Housing"/>
    <x v="12"/>
    <n v="13989"/>
    <n v="2"/>
    <x v="2"/>
    <x v="2"/>
    <s v=" Sector 113 Gurgaon"/>
    <n v="0"/>
    <n v="0"/>
    <n v="2"/>
    <n v="10"/>
    <n v="3"/>
    <x v="0"/>
    <n v="13"/>
    <n v="0"/>
    <n v="0"/>
    <n v="0"/>
    <n v="0"/>
    <n v="965"/>
    <n v="1090"/>
    <n v="12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504396311387006E-3"/>
    <n v="13500000"/>
    <n v="0.13988999999999999"/>
    <x v="2"/>
    <s v="Todo bien"/>
    <x v="0"/>
    <x v="5"/>
    <n v="420.37339246193216"/>
    <x v="0"/>
    <x v="0"/>
    <s v="Mediana"/>
    <x v="1"/>
    <n v="965.04396311387529"/>
  </r>
  <r>
    <s v="La Vida by Tata Housing"/>
    <x v="65"/>
    <n v="12000"/>
    <n v="2"/>
    <x v="6"/>
    <x v="2"/>
    <s v=" Sector 113 Gurgaon"/>
    <n v="0"/>
    <n v="0"/>
    <n v="2"/>
    <n v="8"/>
    <n v="3"/>
    <x v="0"/>
    <n v="13"/>
    <n v="0"/>
    <n v="1"/>
    <n v="0"/>
    <n v="0"/>
    <n v="1150"/>
    <n v="1350"/>
    <n v="157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15E-2"/>
    <n v="13800000"/>
    <n v="0.12"/>
    <x v="2"/>
    <s v="Todo bien"/>
    <x v="0"/>
    <x v="5"/>
    <n v="500.94028853500004"/>
    <x v="1"/>
    <x v="0"/>
    <s v="Mediana"/>
    <x v="1"/>
    <n v="1150"/>
  </r>
  <r>
    <s v="La Vida by Tata Housing"/>
    <x v="168"/>
    <n v="10599"/>
    <n v="3"/>
    <x v="2"/>
    <x v="2"/>
    <s v=" Sector 113 Gurgaon"/>
    <n v="0"/>
    <n v="0"/>
    <n v="3"/>
    <n v="11"/>
    <n v="3"/>
    <x v="1"/>
    <n v="25"/>
    <n v="1"/>
    <n v="0"/>
    <n v="0"/>
    <n v="0"/>
    <n v="1720"/>
    <n v="2210"/>
    <n v="221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1903009717799E-2"/>
    <n v="23500000"/>
    <n v="0.10599"/>
    <x v="3"/>
    <s v="Todo bien"/>
    <x v="0"/>
    <x v="5"/>
    <n v="965.80865139635387"/>
    <x v="1"/>
    <x v="2"/>
    <s v="Grande"/>
    <x v="2"/>
    <n v="2217.1903009717898"/>
  </r>
  <r>
    <s v="Shapoorji Pallonji Joyville Gurugram"/>
    <x v="7"/>
    <n v="10638"/>
    <n v="3"/>
    <x v="4"/>
    <x v="0"/>
    <s v=" Sector 102 Gurgaon"/>
    <n v="0"/>
    <n v="0"/>
    <n v="3"/>
    <n v="1"/>
    <n v="3"/>
    <x v="1"/>
    <n v="26"/>
    <n v="0"/>
    <n v="0"/>
    <n v="0"/>
    <n v="0"/>
    <n v="1692.0473773265651"/>
    <m/>
    <n v="169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x v="3"/>
    <s v="Todo bien"/>
    <x v="0"/>
    <x v="5"/>
    <n v="737.05626209813647"/>
    <x v="1"/>
    <x v="2"/>
    <s v="Pequeña"/>
    <x v="1"/>
    <n v="1692.0473773265651"/>
  </r>
  <r>
    <s v="Shapoorji Pallonji Joyville Gurugram"/>
    <x v="224"/>
    <n v="10205"/>
    <n v="2"/>
    <x v="4"/>
    <x v="0"/>
    <s v=" Sector 102 Gurgaon"/>
    <n v="0"/>
    <n v="0"/>
    <n v="2"/>
    <n v="10"/>
    <n v="2"/>
    <x v="0"/>
    <n v="14"/>
    <n v="0"/>
    <n v="0"/>
    <n v="0"/>
    <n v="0"/>
    <n v="1215.090641842234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09064184223E-2"/>
    <n v="12400000"/>
    <n v="0.10205"/>
    <x v="2"/>
    <s v="Todo bien"/>
    <x v="0"/>
    <x v="5"/>
    <n v="529.29378845271742"/>
    <x v="1"/>
    <x v="2"/>
    <s v="Pequeña"/>
    <x v="1"/>
    <n v="1215.0906418422342"/>
  </r>
  <r>
    <s v="Shapoorji Pallonji Joyville Gurugram"/>
    <x v="10"/>
    <n v="10491"/>
    <n v="2"/>
    <x v="4"/>
    <x v="0"/>
    <s v=" Sector 102 Gurgaon"/>
    <n v="0"/>
    <n v="0"/>
    <n v="2"/>
    <n v="10"/>
    <n v="2"/>
    <x v="0"/>
    <n v="14"/>
    <n v="0"/>
    <n v="0"/>
    <n v="0"/>
    <n v="0"/>
    <n v="915.07006005147264"/>
    <m/>
    <n v="9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7006005146999E-3"/>
    <n v="9600000"/>
    <n v="0.10491"/>
    <x v="1"/>
    <s v="Todo bien"/>
    <x v="0"/>
    <x v="5"/>
    <n v="398.60474774949842"/>
    <x v="0"/>
    <x v="0"/>
    <s v="Pequeña"/>
    <x v="0"/>
    <n v="915.07006005147264"/>
  </r>
  <r>
    <s v="Conscient Heritage Max"/>
    <x v="258"/>
    <n v="9371"/>
    <n v="3"/>
    <x v="4"/>
    <x v="5"/>
    <s v=" Sector 102 Gurgaon"/>
    <n v="0"/>
    <n v="0"/>
    <n v="4"/>
    <n v="15"/>
    <n v="3"/>
    <x v="1"/>
    <n v="25"/>
    <n v="1"/>
    <n v="0"/>
    <n v="0"/>
    <n v="0"/>
    <n v="1942.1619891153559"/>
    <m/>
    <n v="1942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21619891153499E-2"/>
    <n v="18200000"/>
    <n v="9.3710000000000002E-2"/>
    <x v="3"/>
    <s v="Todo bien"/>
    <x v="1"/>
    <x v="4"/>
    <n v="846.00624974708956"/>
    <x v="1"/>
    <x v="2"/>
    <s v="Pequeña"/>
    <x v="1"/>
    <n v="1942.1619891153559"/>
  </r>
  <r>
    <s v="Conscient Heritage Max"/>
    <x v="97"/>
    <n v="10375"/>
    <n v="4"/>
    <x v="5"/>
    <x v="5"/>
    <s v=" Sector 102 Gurgaon"/>
    <n v="0"/>
    <n v="0"/>
    <n v="5"/>
    <n v="17"/>
    <n v="3"/>
    <x v="2"/>
    <n v="25"/>
    <n v="1"/>
    <n v="0"/>
    <n v="0"/>
    <n v="0"/>
    <n v="2554.2168674698796"/>
    <m/>
    <n v="2554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5421686746987E-2"/>
    <n v="26500000"/>
    <n v="0.10375"/>
    <x v="5"/>
    <s v="Todo bien"/>
    <x v="1"/>
    <x v="4"/>
    <n v="1112.6175083228875"/>
    <x v="1"/>
    <x v="3"/>
    <s v="Pequeña"/>
    <x v="2"/>
    <n v="2554.2168674698796"/>
  </r>
  <r>
    <s v="Conscient Heritage Max"/>
    <x v="18"/>
    <n v="10237"/>
    <n v="3"/>
    <x v="3"/>
    <x v="5"/>
    <s v=" Sector 102 Gurgaon"/>
    <n v="0"/>
    <n v="0"/>
    <n v="4"/>
    <n v="9"/>
    <n v="3"/>
    <x v="1"/>
    <n v="25"/>
    <n v="1"/>
    <n v="1"/>
    <n v="0"/>
    <n v="0"/>
    <n v="2149.0671095047378"/>
    <m/>
    <n v="214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490671095047299E-2"/>
    <n v="22000000.000000004"/>
    <n v="0.10237"/>
    <x v="3"/>
    <s v="Todo bien"/>
    <x v="1"/>
    <x v="4"/>
    <n v="936.13417210119815"/>
    <x v="1"/>
    <x v="2"/>
    <s v="Pequeña"/>
    <x v="2"/>
    <n v="2149.0671095047378"/>
  </r>
  <r>
    <s v="Conscient Heritage Max"/>
    <x v="186"/>
    <n v="9218"/>
    <n v="3"/>
    <x v="4"/>
    <x v="5"/>
    <s v=" Sector 102 Gurgaon"/>
    <n v="0"/>
    <n v="0"/>
    <n v="4"/>
    <n v="5"/>
    <n v="3"/>
    <x v="1"/>
    <n v="25"/>
    <n v="1"/>
    <n v="0"/>
    <n v="0"/>
    <n v="0"/>
    <n v="1931.0045563028857"/>
    <m/>
    <n v="1931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10045563028799E-2"/>
    <n v="17800000"/>
    <n v="9.2179999999999998E-2"/>
    <x v="3"/>
    <s v="Todo bien"/>
    <x v="1"/>
    <x v="4"/>
    <n v="841.14606921457766"/>
    <x v="1"/>
    <x v="2"/>
    <s v="Pequeña"/>
    <x v="1"/>
    <n v="1931.0045563028857"/>
  </r>
  <r>
    <s v="SBTL Caladium"/>
    <x v="235"/>
    <n v="6601"/>
    <n v="3"/>
    <x v="4"/>
    <x v="5"/>
    <s v=" Sector 109 Gurgaon"/>
    <n v="0"/>
    <n v="0"/>
    <n v="3"/>
    <n v="7"/>
    <n v="3"/>
    <x v="1"/>
    <n v="20"/>
    <n v="1"/>
    <n v="0"/>
    <n v="0"/>
    <n v="0"/>
    <n v="2545.0689289501593"/>
    <m/>
    <n v="2545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0689289501501E-2"/>
    <n v="16800000"/>
    <n v="6.6009999999999999E-2"/>
    <x v="3"/>
    <s v="Todo bien"/>
    <x v="0"/>
    <x v="4"/>
    <n v="1108.6326640084797"/>
    <x v="1"/>
    <x v="3"/>
    <s v="Pequeña"/>
    <x v="2"/>
    <n v="2545.0689289501593"/>
  </r>
  <r>
    <s v="SBTL Caladium"/>
    <x v="35"/>
    <n v="6914"/>
    <n v="3"/>
    <x v="4"/>
    <x v="5"/>
    <s v=" Sector 109 Gurgaon"/>
    <n v="0"/>
    <n v="0"/>
    <n v="2"/>
    <n v="16"/>
    <n v="3"/>
    <x v="1"/>
    <n v="19"/>
    <n v="0"/>
    <n v="0"/>
    <n v="0"/>
    <n v="0"/>
    <n v="1880.2429852473244"/>
    <m/>
    <n v="1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02429852473199E-2"/>
    <n v="13000000"/>
    <n v="6.9139999999999993E-2"/>
    <x v="2"/>
    <s v="Todo bien"/>
    <x v="0"/>
    <x v="4"/>
    <n v="819.0343161266976"/>
    <x v="1"/>
    <x v="2"/>
    <s v="Pequeña"/>
    <x v="1"/>
    <n v="1880.2429852473244"/>
  </r>
  <r>
    <s v="Signature Global Solera"/>
    <x v="382"/>
    <n v="8222"/>
    <n v="2"/>
    <x v="6"/>
    <x v="0"/>
    <s v=" Sector 107 Gurgaon"/>
    <n v="0"/>
    <n v="0"/>
    <n v="2"/>
    <n v="8"/>
    <n v="1"/>
    <x v="0"/>
    <n v="14"/>
    <n v="0"/>
    <n v="0"/>
    <n v="0"/>
    <n v="0"/>
    <n v="602.04329846752614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3"/>
    <n v="1"/>
    <n v="2"/>
    <n v="1"/>
    <n v="2"/>
    <n v="1"/>
    <n v="1"/>
    <n v="1"/>
    <n v="4"/>
    <n v="1"/>
    <n v="1"/>
    <n v="2"/>
    <n v="1"/>
    <n v="1"/>
    <n v="3"/>
    <n v="1"/>
    <n v="1"/>
    <n v="0"/>
    <n v="0"/>
    <n v="0"/>
    <n v="0"/>
    <n v="0"/>
    <n v="1"/>
    <n v="6.0204329846751999E-3"/>
    <n v="4950000"/>
    <n v="8.2220000000000001E-2"/>
    <x v="0"/>
    <s v="Todo bien"/>
    <x v="2"/>
    <x v="1"/>
    <n v="262.25021186511532"/>
    <x v="0"/>
    <x v="0"/>
    <s v="Pequeña"/>
    <x v="0"/>
    <n v="602.04329846752614"/>
  </r>
  <r>
    <s v="Vatika City Homes"/>
    <x v="85"/>
    <n v="6206"/>
    <n v="3"/>
    <x v="6"/>
    <x v="0"/>
    <s v=" Sector 83 Gurgaon"/>
    <n v="0"/>
    <n v="0"/>
    <n v="3"/>
    <n v="6"/>
    <n v="3"/>
    <x v="1"/>
    <n v="8"/>
    <n v="0"/>
    <n v="0"/>
    <n v="0"/>
    <n v="1"/>
    <n v="1350"/>
    <m/>
    <n v="1740"/>
    <n v="0"/>
    <n v="1"/>
    <n v="1"/>
    <n v="1"/>
    <n v="1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02513696422799E-2"/>
    <n v="10800000"/>
    <n v="6.2059999999999997E-2"/>
    <x v="2"/>
    <s v="Todo bien"/>
    <x v="0"/>
    <x v="4"/>
    <n v="758.05393324524584"/>
    <x v="1"/>
    <x v="2"/>
    <s v="Pequeña"/>
    <x v="1"/>
    <n v="1740.2513696422818"/>
  </r>
  <r>
    <s v="Bestech Altura"/>
    <x v="252"/>
    <n v="8400"/>
    <n v="3"/>
    <x v="4"/>
    <x v="2"/>
    <s v=" Sector 79 Gurgaon"/>
    <n v="0"/>
    <n v="0"/>
    <n v="4"/>
    <n v="9"/>
    <n v="3"/>
    <x v="1"/>
    <n v="20"/>
    <n v="0"/>
    <n v="0"/>
    <n v="0"/>
    <n v="0"/>
    <n v="2047.6190476190475"/>
    <n v="20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476190476190401E-2"/>
    <n v="17200000"/>
    <n v="8.4000000000000005E-2"/>
    <x v="3"/>
    <s v="Todo bien"/>
    <x v="1"/>
    <x v="1"/>
    <n v="891.94337089047303"/>
    <x v="1"/>
    <x v="2"/>
    <s v="Grande"/>
    <x v="0"/>
    <n v="2047.6190476190475"/>
  </r>
  <r>
    <s v="Ashiana Apartment"/>
    <x v="383"/>
    <n v="2051"/>
    <n v="2"/>
    <x v="1"/>
    <x v="5"/>
    <s v=" Sector 23A Gurgaon"/>
    <n v="0"/>
    <n v="0"/>
    <n v="2"/>
    <n v="1"/>
    <n v="2"/>
    <x v="0"/>
    <n v="4"/>
    <n v="0"/>
    <n v="0"/>
    <n v="0"/>
    <n v="0"/>
    <n v="780.10726474890294"/>
    <m/>
    <n v="78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1072647489E-3"/>
    <n v="1600000"/>
    <n v="2.051E-2"/>
    <x v="0"/>
    <s v="Todo bien"/>
    <x v="0"/>
    <x v="2"/>
    <n v="339.81492025353356"/>
    <x v="0"/>
    <x v="0"/>
    <s v="Pequeña"/>
    <x v="0"/>
    <n v="780.10726474890294"/>
  </r>
  <r>
    <s v="HCBS Sports Ville"/>
    <x v="328"/>
    <n v="2666"/>
    <n v="2"/>
    <x v="1"/>
    <x v="2"/>
    <s v=" Sohna"/>
    <n v="0"/>
    <n v="0"/>
    <n v="2"/>
    <n v="4"/>
    <n v="1"/>
    <x v="0"/>
    <n v="13"/>
    <n v="0"/>
    <n v="0"/>
    <n v="0"/>
    <n v="0"/>
    <n v="600"/>
    <n v="743"/>
    <n v="7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18754688672001E-3"/>
    <n v="2000000"/>
    <n v="2.666E-2"/>
    <x v="0"/>
    <s v="Todo bien"/>
    <x v="0"/>
    <x v="2"/>
    <n v="326.7818836459108"/>
    <x v="0"/>
    <x v="1"/>
    <s v="Pequeña"/>
    <x v="0"/>
    <n v="750.18754688672163"/>
  </r>
  <r>
    <s v="Orchid Island"/>
    <x v="120"/>
    <n v="7891"/>
    <n v="2"/>
    <x v="1"/>
    <x v="0"/>
    <s v=" Sector 51 Gurgaon"/>
    <n v="0"/>
    <n v="0"/>
    <n v="2"/>
    <n v="4"/>
    <n v="1"/>
    <x v="0"/>
    <n v="9"/>
    <n v="0"/>
    <n v="0"/>
    <n v="0"/>
    <n v="0"/>
    <n v="906"/>
    <m/>
    <m/>
    <n v="0"/>
    <n v="0"/>
    <n v="0"/>
    <n v="0"/>
    <n v="1"/>
    <n v="0"/>
    <n v="0"/>
    <n v="1"/>
    <n v="1"/>
    <n v="1"/>
    <n v="0"/>
    <n v="0"/>
    <n v="0"/>
    <n v="0"/>
    <n v="1"/>
    <n v="0"/>
    <n v="0"/>
    <n v="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609555189456008E-3"/>
    <n v="7150000"/>
    <n v="7.8909999999999994E-2"/>
    <x v="1"/>
    <s v="Todo bien"/>
    <x v="0"/>
    <x v="2"/>
    <n v="394.69544974464435"/>
    <x v="0"/>
    <x v="0"/>
    <s v="Pequeña"/>
    <x v="0"/>
    <n v="906.09555189456353"/>
  </r>
  <r>
    <s v="Signature Global Park"/>
    <x v="112"/>
    <n v="6506"/>
    <n v="2"/>
    <x v="1"/>
    <x v="0"/>
    <s v=" Sohna"/>
    <n v="0"/>
    <n v="0"/>
    <n v="2"/>
    <n v="2"/>
    <n v="1"/>
    <x v="0"/>
    <n v="4"/>
    <n v="0"/>
    <n v="0"/>
    <n v="0"/>
    <n v="0"/>
    <n v="83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0307408544992E-3"/>
    <n v="5400000"/>
    <n v="6.5060000000000007E-2"/>
    <x v="1"/>
    <s v="Todo bien"/>
    <x v="0"/>
    <x v="2"/>
    <n v="361.5495473193933"/>
    <x v="0"/>
    <x v="0"/>
    <s v="Pequeña"/>
    <x v="0"/>
    <n v="830.0030740854595"/>
  </r>
  <r>
    <s v="Vipul Lavanya"/>
    <x v="279"/>
    <n v="5265"/>
    <n v="2"/>
    <x v="1"/>
    <x v="5"/>
    <s v=" Sector 81 Gurgaon"/>
    <n v="0"/>
    <n v="0"/>
    <n v="2"/>
    <n v="14"/>
    <n v="2"/>
    <x v="0"/>
    <n v="14"/>
    <n v="0"/>
    <n v="0"/>
    <n v="0"/>
    <n v="0"/>
    <n v="776"/>
    <m/>
    <n v="122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7122507122E-2"/>
    <n v="6450000"/>
    <n v="5.2650000000000002E-2"/>
    <x v="1"/>
    <s v="Todo bien"/>
    <x v="0"/>
    <x v="5"/>
    <n v="533.64133301139384"/>
    <x v="1"/>
    <x v="0"/>
    <s v="Pequeña"/>
    <x v="1"/>
    <n v="1225.0712250712249"/>
  </r>
  <r>
    <s v="Vipul World"/>
    <x v="65"/>
    <n v="9482"/>
    <n v="3"/>
    <x v="1"/>
    <x v="0"/>
    <s v=" Sector 48 Gurgaon"/>
    <n v="0"/>
    <n v="0"/>
    <n v="3"/>
    <n v="2"/>
    <n v="1"/>
    <x v="1"/>
    <n v="3"/>
    <n v="0"/>
    <n v="0"/>
    <n v="0"/>
    <n v="0"/>
    <n v="1450"/>
    <m/>
    <m/>
    <n v="0"/>
    <n v="0"/>
    <n v="0"/>
    <n v="1"/>
    <n v="1"/>
    <n v="0"/>
    <n v="1"/>
    <n v="1"/>
    <n v="1"/>
    <n v="1"/>
    <n v="0"/>
    <n v="0"/>
    <n v="0"/>
    <n v="0"/>
    <n v="1"/>
    <n v="1"/>
    <n v="1"/>
    <n v="24"/>
    <x v="0"/>
    <x v="1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538915840539E-2"/>
    <n v="13800000"/>
    <n v="9.4820000000000002E-2"/>
    <x v="2"/>
    <s v="Todo bien"/>
    <x v="0"/>
    <x v="1"/>
    <n v="633.96788255852778"/>
    <x v="1"/>
    <x v="2"/>
    <s v="Pequeña"/>
    <x v="0"/>
    <n v="1455.3891584053997"/>
  </r>
  <r>
    <s v="Signature Global The Millennia "/>
    <x v="0"/>
    <n v="7627"/>
    <n v="2"/>
    <x v="1"/>
    <x v="3"/>
    <s v=" Sector 37D Gurgaon"/>
    <n v="0"/>
    <n v="0"/>
    <n v="3"/>
    <n v="8"/>
    <n v="2"/>
    <x v="0"/>
    <n v="19"/>
    <n v="0"/>
    <n v="0"/>
    <n v="0"/>
    <n v="0"/>
    <n v="59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000917792054004E-3"/>
    <n v="4500000"/>
    <n v="7.6270000000000004E-2"/>
    <x v="0"/>
    <s v="Todo bien"/>
    <x v="0"/>
    <x v="2"/>
    <n v="257.00814593549001"/>
    <x v="0"/>
    <x v="1"/>
    <s v="Pequeña"/>
    <x v="0"/>
    <n v="590.00917792054543"/>
  </r>
  <r>
    <s v="AVL  Gurgaon"/>
    <x v="0"/>
    <n v="9000"/>
    <n v="1"/>
    <x v="1"/>
    <x v="0"/>
    <s v=" Sector 36A Gurgaon"/>
    <n v="0"/>
    <n v="0"/>
    <n v="1"/>
    <n v="9"/>
    <n v="1"/>
    <x v="3"/>
    <n v="10"/>
    <n v="0"/>
    <n v="0"/>
    <n v="0"/>
    <n v="0"/>
    <n v="500"/>
    <m/>
    <n v="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4500000"/>
    <n v="0.09"/>
    <x v="0"/>
    <s v="Todo bien"/>
    <x v="0"/>
    <x v="2"/>
    <n v="217.80012545000002"/>
    <x v="0"/>
    <x v="1"/>
    <s v="Pequeña"/>
    <x v="0"/>
    <n v="500"/>
  </r>
  <r>
    <s v="Vatika Lifestyle Homes"/>
    <x v="81"/>
    <n v="6552"/>
    <n v="3"/>
    <x v="1"/>
    <x v="0"/>
    <s v=" Sector 83 Gurgaon"/>
    <n v="0"/>
    <n v="0"/>
    <n v="2"/>
    <n v="15"/>
    <n v="3"/>
    <x v="1"/>
    <n v="17"/>
    <n v="0"/>
    <n v="0"/>
    <n v="0"/>
    <n v="0"/>
    <n v="1755.1892551892554"/>
    <m/>
    <n v="1755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75518925518925E-2"/>
    <n v="11500000"/>
    <n v="6.5519999999999995E-2"/>
    <x v="2"/>
    <s v="Todo bien"/>
    <x v="0"/>
    <x v="0"/>
    <n v="764.56087993742142"/>
    <x v="1"/>
    <x v="2"/>
    <s v="Pequeña"/>
    <x v="1"/>
    <n v="1755.1892551892554"/>
  </r>
  <r>
    <s v="Vatika City"/>
    <x v="185"/>
    <n v="11920"/>
    <n v="4"/>
    <x v="1"/>
    <x v="5"/>
    <s v=" Sector 49 Gurgaon"/>
    <n v="0"/>
    <n v="0"/>
    <n v="5"/>
    <n v="7"/>
    <n v="3"/>
    <x v="2"/>
    <n v="17"/>
    <n v="1"/>
    <n v="0"/>
    <n v="1"/>
    <n v="0"/>
    <n v="302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0"/>
    <x v="0"/>
    <x v="1"/>
    <x v="1"/>
    <x v="0"/>
    <x v="0"/>
    <n v="0"/>
    <n v="7"/>
    <n v="1"/>
    <n v="7"/>
    <n v="1"/>
    <n v="1"/>
    <n v="1"/>
    <n v="0"/>
    <n v="1"/>
    <n v="6"/>
    <n v="1"/>
    <n v="1"/>
    <n v="0"/>
    <n v="0"/>
    <n v="1"/>
    <n v="5"/>
    <n v="1"/>
    <n v="1"/>
    <n v="0"/>
    <n v="0"/>
    <n v="0"/>
    <n v="0"/>
    <n v="0"/>
    <n v="1"/>
    <n v="3.0201342281879099E-2"/>
    <n v="36000000"/>
    <n v="0.1192"/>
    <x v="5"/>
    <s v="Todo bien"/>
    <x v="2"/>
    <x v="2"/>
    <n v="1315.5712275503315"/>
    <x v="1"/>
    <x v="3"/>
    <s v="Pequeña"/>
    <x v="0"/>
    <n v="3020.1342281879192"/>
  </r>
  <r>
    <s v="TARC Maceo"/>
    <x v="15"/>
    <n v="6870"/>
    <n v="2"/>
    <x v="4"/>
    <x v="0"/>
    <s v=" Sector 91 Gurgaon"/>
    <n v="0"/>
    <n v="0"/>
    <n v="2"/>
    <n v="13"/>
    <n v="2"/>
    <x v="0"/>
    <n v="13"/>
    <n v="0"/>
    <n v="0"/>
    <n v="0"/>
    <n v="0"/>
    <n v="1310.0436681222709"/>
    <m/>
    <n v="1310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3"/>
    <n v="1"/>
    <n v="3"/>
    <n v="1"/>
    <n v="0"/>
    <n v="0"/>
    <n v="1"/>
    <n v="1"/>
    <n v="1"/>
    <n v="1"/>
    <n v="1"/>
    <n v="2"/>
    <n v="1"/>
    <n v="1"/>
    <n v="3"/>
    <n v="1"/>
    <n v="1"/>
    <n v="0"/>
    <n v="0"/>
    <n v="0"/>
    <n v="0"/>
    <n v="0"/>
    <n v="1"/>
    <n v="1.31004366812227E-2"/>
    <n v="9000000"/>
    <n v="6.8699999999999997E-2"/>
    <x v="1"/>
    <s v="Todo bien"/>
    <x v="2"/>
    <x v="3"/>
    <n v="570.65535052401719"/>
    <x v="1"/>
    <x v="2"/>
    <s v="Pequeña"/>
    <x v="1"/>
    <n v="1310.0436681222709"/>
  </r>
  <r>
    <s v="Kendriya Vihar"/>
    <x v="52"/>
    <n v="9016"/>
    <n v="1"/>
    <x v="1"/>
    <x v="1"/>
    <s v=" Sector 56 Gurgaon"/>
    <n v="0"/>
    <n v="0"/>
    <n v="2"/>
    <n v="0"/>
    <n v="1"/>
    <x v="3"/>
    <n v="3"/>
    <n v="0"/>
    <n v="0"/>
    <n v="0"/>
    <n v="0"/>
    <n v="610"/>
    <m/>
    <m/>
    <n v="0"/>
    <n v="0"/>
    <n v="0"/>
    <n v="1"/>
    <n v="1"/>
    <n v="0"/>
    <n v="0"/>
    <n v="1"/>
    <n v="1"/>
    <n v="1"/>
    <n v="1"/>
    <n v="1"/>
    <n v="0"/>
    <n v="0"/>
    <n v="1"/>
    <n v="0"/>
    <n v="1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002661934338002E-3"/>
    <n v="5500000"/>
    <n v="9.0160000000000004E-2"/>
    <x v="1"/>
    <s v="Todo bien"/>
    <x v="0"/>
    <x v="1"/>
    <n v="265.72774844165514"/>
    <x v="0"/>
    <x v="0"/>
    <s v="Pequeña"/>
    <x v="0"/>
    <n v="610.02661934338948"/>
  </r>
  <r>
    <s v="MM Sky Lofts"/>
    <x v="15"/>
    <n v="13177"/>
    <n v="1"/>
    <x v="1"/>
    <x v="2"/>
    <s v=" Sector 71 Gurgaon"/>
    <n v="0"/>
    <n v="0"/>
    <n v="1"/>
    <n v="6"/>
    <n v="0"/>
    <x v="3"/>
    <n v="6"/>
    <n v="0"/>
    <n v="0"/>
    <n v="0"/>
    <n v="0"/>
    <n v="683.00827198907189"/>
    <n v="68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00827198907003E-3"/>
    <n v="9000000"/>
    <n v="0.13177"/>
    <x v="1"/>
    <s v="Todo bien"/>
    <x v="0"/>
    <x v="2"/>
    <n v="297.51857464521436"/>
    <x v="0"/>
    <x v="0"/>
    <s v="Pequeña"/>
    <x v="0"/>
    <n v="683.00827198907189"/>
  </r>
  <r>
    <s v="Lotus Homz"/>
    <x v="1"/>
    <n v="14838"/>
    <n v="1"/>
    <x v="1"/>
    <x v="0"/>
    <s v=" Sector 111 Gurgaon"/>
    <n v="0"/>
    <n v="0"/>
    <n v="1"/>
    <n v="2"/>
    <n v="1"/>
    <x v="3"/>
    <n v="10"/>
    <n v="0"/>
    <n v="0"/>
    <n v="0"/>
    <n v="0"/>
    <n v="336.96"/>
    <m/>
    <m/>
    <n v="0"/>
    <n v="0"/>
    <n v="0"/>
    <n v="1"/>
    <n v="1"/>
    <n v="0"/>
    <n v="1"/>
    <n v="1"/>
    <n v="1"/>
    <n v="1"/>
    <n v="1"/>
    <n v="1"/>
    <n v="1"/>
    <n v="1"/>
    <n v="1"/>
    <n v="0"/>
    <n v="1"/>
    <n v="28"/>
    <x v="0"/>
    <x v="0"/>
    <x v="1"/>
    <x v="0"/>
    <x v="0"/>
    <x v="0"/>
    <x v="1"/>
    <x v="0"/>
    <x v="0"/>
    <n v="0"/>
    <n v="2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3.3697263782179999E-3"/>
    <n v="5000000"/>
    <n v="0.14838000000000001"/>
    <x v="1"/>
    <s v="Todo bien"/>
    <x v="2"/>
    <x v="1"/>
    <n v="146.7853655816109"/>
    <x v="0"/>
    <x v="1"/>
    <s v="Pequeña"/>
    <x v="0"/>
    <n v="336.97263782180886"/>
  </r>
  <r>
    <s v="MM Heights"/>
    <x v="384"/>
    <n v="14000"/>
    <n v="3"/>
    <x v="4"/>
    <x v="3"/>
    <s v=" Sector 65 Gurgaon"/>
    <n v="0"/>
    <n v="0"/>
    <n v="3"/>
    <n v="45"/>
    <n v="3"/>
    <x v="1"/>
    <n v="47"/>
    <n v="1"/>
    <n v="0"/>
    <n v="0"/>
    <n v="0"/>
    <n v="204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285714285714E-2"/>
    <n v="28600000"/>
    <n v="0.14000000000000001"/>
    <x v="5"/>
    <s v="Todo bien"/>
    <x v="0"/>
    <x v="2"/>
    <n v="889.86908398142737"/>
    <x v="1"/>
    <x v="2"/>
    <s v="Pequeña"/>
    <x v="0"/>
    <n v="2042.8571428571427"/>
  </r>
  <r>
    <s v="Ansal API Sushant Estate"/>
    <x v="11"/>
    <n v="11600"/>
    <n v="1"/>
    <x v="1"/>
    <x v="5"/>
    <s v=" Sector 52 Gurgaon"/>
    <n v="0"/>
    <n v="0"/>
    <n v="1"/>
    <n v="0"/>
    <n v="0"/>
    <x v="3"/>
    <n v="4"/>
    <n v="0"/>
    <n v="0"/>
    <n v="0"/>
    <n v="0"/>
    <n v="2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1"/>
    <n v="1"/>
    <n v="1"/>
    <n v="1"/>
    <n v="0"/>
    <n v="0"/>
    <n v="1"/>
    <n v="1"/>
    <n v="1"/>
    <n v="1"/>
    <n v="0"/>
    <n v="0"/>
    <n v="0"/>
    <n v="0"/>
    <n v="1"/>
    <n v="1"/>
    <n v="0"/>
    <n v="0"/>
    <n v="0"/>
    <n v="0"/>
    <n v="0"/>
    <n v="0"/>
    <n v="0"/>
    <n v="2.5000000000000001E-3"/>
    <n v="2900000"/>
    <n v="0.11600000000000001"/>
    <x v="0"/>
    <s v="Todo bien"/>
    <x v="0"/>
    <x v="1"/>
    <n v="108.90006272500001"/>
    <x v="0"/>
    <x v="1"/>
    <s v="Pequeña"/>
    <x v="0"/>
    <n v="250"/>
  </r>
  <r>
    <s v="Satya The Hermitage"/>
    <x v="309"/>
    <n v="6137"/>
    <n v="2"/>
    <x v="1"/>
    <x v="0"/>
    <s v=" Sector 103 Gurgaon"/>
    <n v="0"/>
    <n v="0"/>
    <n v="3"/>
    <n v="1"/>
    <n v="3"/>
    <x v="0"/>
    <n v="11"/>
    <n v="1"/>
    <n v="0"/>
    <n v="0"/>
    <n v="0"/>
    <n v="1081"/>
    <m/>
    <n v="145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1"/>
    <x v="1"/>
    <n v="0"/>
    <n v="3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5021997718755E-2"/>
    <n v="8900000"/>
    <n v="6.1370000000000001E-2"/>
    <x v="1"/>
    <s v="Todo bien"/>
    <x v="1"/>
    <x v="3"/>
    <n v="631.71618592308903"/>
    <x v="1"/>
    <x v="0"/>
    <s v="Pequeña"/>
    <x v="1"/>
    <n v="1450.219977187551"/>
  </r>
  <r>
    <s v="Satya The Hermitage"/>
    <x v="210"/>
    <n v="5625"/>
    <n v="3"/>
    <x v="1"/>
    <x v="2"/>
    <s v=" Sector 103 Gurgaon"/>
    <n v="0"/>
    <n v="0"/>
    <n v="4"/>
    <n v="9"/>
    <n v="3"/>
    <x v="1"/>
    <n v="11"/>
    <n v="1"/>
    <n v="0"/>
    <n v="0"/>
    <n v="0"/>
    <n v="1500"/>
    <m/>
    <n v="19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11111111111102E-2"/>
    <n v="11200000"/>
    <n v="5.6250000000000001E-2"/>
    <x v="2"/>
    <s v="Todo bien"/>
    <x v="0"/>
    <x v="1"/>
    <n v="867.32849956977748"/>
    <x v="1"/>
    <x v="2"/>
    <s v="Pequeña"/>
    <x v="1"/>
    <n v="1991.1111111111111"/>
  </r>
  <r>
    <s v="GLS Avenue "/>
    <x v="1"/>
    <n v="7812"/>
    <n v="3"/>
    <x v="1"/>
    <x v="0"/>
    <s v=" Sector 92 Gurgaon"/>
    <n v="0"/>
    <n v="0"/>
    <n v="3"/>
    <n v="0"/>
    <n v="1"/>
    <x v="1"/>
    <n v="12"/>
    <n v="0"/>
    <n v="0"/>
    <n v="0"/>
    <n v="0"/>
    <n v="640.04096262160783"/>
    <m/>
    <n v="6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096262160002E-3"/>
    <n v="5000000"/>
    <n v="7.8119999999999995E-2"/>
    <x v="1"/>
    <s v="Todo bien"/>
    <x v="0"/>
    <x v="2"/>
    <n v="278.80200390424653"/>
    <x v="0"/>
    <x v="0"/>
    <s v="Pequeña"/>
    <x v="0"/>
    <n v="640.04096262160783"/>
  </r>
  <r>
    <s v="Pareena Coban Residences"/>
    <x v="100"/>
    <n v="7010"/>
    <n v="3"/>
    <x v="1"/>
    <x v="2"/>
    <s v=" Sector 99A Gurgaon"/>
    <n v="0"/>
    <n v="0"/>
    <n v="5"/>
    <n v="6"/>
    <n v="3"/>
    <x v="1"/>
    <n v="20"/>
    <n v="0"/>
    <n v="0"/>
    <n v="0"/>
    <n v="0"/>
    <n v="1997.1469329529245"/>
    <m/>
    <n v="1997"/>
    <n v="0"/>
    <n v="0"/>
    <n v="0"/>
    <n v="0"/>
    <n v="0"/>
    <n v="0"/>
    <n v="0"/>
    <n v="1"/>
    <n v="0"/>
    <n v="0"/>
    <n v="0"/>
    <n v="1"/>
    <n v="0"/>
    <n v="0"/>
    <n v="0"/>
    <n v="1"/>
    <n v="0"/>
    <n v="16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469329529201E-2"/>
    <n v="14000000"/>
    <n v="7.0099999999999996E-2"/>
    <x v="2"/>
    <s v="Todo bien"/>
    <x v="0"/>
    <x v="0"/>
    <n v="869.95770507845759"/>
    <x v="1"/>
    <x v="2"/>
    <s v="Pequeña"/>
    <x v="1"/>
    <n v="1997.1469329529245"/>
  </r>
  <r>
    <s v="DLF Regal Gardens"/>
    <x v="111"/>
    <n v="9000"/>
    <n v="4"/>
    <x v="1"/>
    <x v="0"/>
    <s v=" Sector 90 Gurgaon"/>
    <n v="0"/>
    <n v="0"/>
    <n v="4"/>
    <n v="5"/>
    <n v="3"/>
    <x v="2"/>
    <n v="29"/>
    <n v="0"/>
    <n v="0"/>
    <n v="0"/>
    <n v="0"/>
    <n v="2277.7777777777778"/>
    <m/>
    <n v="2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777777777777699E-2"/>
    <n v="20500000"/>
    <n v="0.09"/>
    <x v="3"/>
    <s v="Todo bien"/>
    <x v="1"/>
    <x v="1"/>
    <n v="992.20057149444108"/>
    <x v="1"/>
    <x v="2"/>
    <s v="Pequeña"/>
    <x v="2"/>
    <n v="2277.7777777777778"/>
  </r>
  <r>
    <s v="Eldeco Accolade"/>
    <x v="385"/>
    <n v="5965"/>
    <n v="2"/>
    <x v="1"/>
    <x v="0"/>
    <s v=" Sohna"/>
    <n v="0"/>
    <n v="0"/>
    <n v="2"/>
    <n v="10"/>
    <n v="3"/>
    <x v="0"/>
    <n v="18"/>
    <n v="0"/>
    <n v="1"/>
    <n v="0"/>
    <n v="0"/>
    <n v="849"/>
    <m/>
    <n v="1457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6680637049E-2"/>
    <n v="8692000"/>
    <n v="5.9650000000000002E-2"/>
    <x v="1"/>
    <s v="Todo bien"/>
    <x v="0"/>
    <x v="3"/>
    <n v="634.74222645813722"/>
    <x v="1"/>
    <x v="0"/>
    <s v="Pequeña"/>
    <x v="1"/>
    <n v="1457.1668063704944"/>
  </r>
  <r>
    <s v="Ireo Uptown"/>
    <x v="98"/>
    <n v="11442"/>
    <n v="2"/>
    <x v="1"/>
    <x v="0"/>
    <s v=" Sector 66 Gurgaon"/>
    <n v="0"/>
    <n v="0"/>
    <n v="2"/>
    <n v="6"/>
    <n v="2"/>
    <x v="0"/>
    <n v="23"/>
    <n v="0"/>
    <n v="0"/>
    <n v="0"/>
    <n v="0"/>
    <n v="1153.6444677503935"/>
    <m/>
    <n v="1158"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0"/>
    <x v="1"/>
    <x v="1"/>
    <x v="0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64446775039E-2"/>
    <n v="13200000"/>
    <n v="0.11441999999999999"/>
    <x v="2"/>
    <s v="Todo bien"/>
    <x v="0"/>
    <x v="1"/>
    <n v="502.52781960146689"/>
    <x v="1"/>
    <x v="0"/>
    <s v="Pequeña"/>
    <x v="1"/>
    <n v="1153.6444677503935"/>
  </r>
  <r>
    <s v="Microtek Greenburg"/>
    <x v="35"/>
    <n v="8756"/>
    <n v="2"/>
    <x v="1"/>
    <x v="0"/>
    <s v=" Sector 86 Gurgaon"/>
    <n v="0"/>
    <n v="0"/>
    <n v="2"/>
    <n v="10"/>
    <n v="3"/>
    <x v="0"/>
    <n v="21"/>
    <n v="0"/>
    <n v="1"/>
    <n v="0"/>
    <n v="0"/>
    <n v="1484.6962083142987"/>
    <m/>
    <n v="148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6962083142901E-2"/>
    <n v="13000000"/>
    <n v="8.7559999999999999E-2"/>
    <x v="2"/>
    <s v="Todo bien"/>
    <x v="0"/>
    <x v="1"/>
    <n v="646.73404085198342"/>
    <x v="1"/>
    <x v="2"/>
    <s v="Pequeña"/>
    <x v="1"/>
    <n v="1484.6962083142987"/>
  </r>
  <r>
    <s v="Signature Global Park"/>
    <x v="386"/>
    <n v="7850"/>
    <n v="3"/>
    <x v="4"/>
    <x v="2"/>
    <s v=" Sohna"/>
    <n v="0"/>
    <n v="0"/>
    <n v="2"/>
    <n v="3"/>
    <n v="3"/>
    <x v="1"/>
    <n v="4"/>
    <n v="0"/>
    <n v="0"/>
    <n v="0"/>
    <n v="0"/>
    <n v="1210.0636942675158"/>
    <n v="1210"/>
    <m/>
    <n v="0"/>
    <n v="0"/>
    <n v="0"/>
    <n v="0"/>
    <n v="0"/>
    <n v="0"/>
    <n v="1"/>
    <n v="1"/>
    <n v="1"/>
    <n v="1"/>
    <n v="1"/>
    <n v="1"/>
    <n v="1"/>
    <n v="0"/>
    <n v="1"/>
    <n v="1"/>
    <n v="1"/>
    <n v="2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636942675101E-2"/>
    <n v="9499000"/>
    <n v="7.85E-2"/>
    <x v="1"/>
    <s v="Todo bien"/>
    <x v="0"/>
    <x v="1"/>
    <n v="527.10404882790829"/>
    <x v="1"/>
    <x v="2"/>
    <s v="Mediana"/>
    <x v="0"/>
    <n v="1210.0636942675158"/>
  </r>
  <r>
    <s v="GLS Avenue "/>
    <x v="23"/>
    <n v="6562"/>
    <n v="3"/>
    <x v="1"/>
    <x v="0"/>
    <s v=" Sector 92 Gurgaon"/>
    <n v="0"/>
    <n v="0"/>
    <n v="3"/>
    <n v="2"/>
    <n v="1"/>
    <x v="1"/>
    <n v="12"/>
    <n v="0"/>
    <n v="0"/>
    <n v="0"/>
    <n v="0"/>
    <n v="640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876562022998E-3"/>
    <n v="4200000"/>
    <n v="6.5619999999999998E-2"/>
    <x v="0"/>
    <s v="Todo bien"/>
    <x v="0"/>
    <x v="2"/>
    <n v="278.80540289240747"/>
    <x v="0"/>
    <x v="0"/>
    <s v="Pequeña"/>
    <x v="0"/>
    <n v="640.04876562023776"/>
  </r>
  <r>
    <s v="Orris Carnation Residency"/>
    <x v="387"/>
    <n v="5952"/>
    <n v="3"/>
    <x v="8"/>
    <x v="0"/>
    <s v=" Sector 85 Gurgaon"/>
    <n v="0"/>
    <n v="0"/>
    <n v="3"/>
    <n v="1"/>
    <n v="1"/>
    <x v="1"/>
    <n v="12"/>
    <n v="0"/>
    <n v="0"/>
    <n v="0"/>
    <n v="0"/>
    <n v="1485.2150537634409"/>
    <m/>
    <n v="148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521505376344E-2"/>
    <n v="8840000"/>
    <n v="5.9520000000000003E-2"/>
    <x v="1"/>
    <s v="Todo bien"/>
    <x v="0"/>
    <x v="3"/>
    <n v="646.96005005981146"/>
    <x v="1"/>
    <x v="2"/>
    <s v="Pequeña"/>
    <x v="1"/>
    <n v="1485.2150537634409"/>
  </r>
  <r>
    <s v="AWHO Sispal Vihar"/>
    <x v="6"/>
    <n v="7262"/>
    <n v="4"/>
    <x v="1"/>
    <x v="1"/>
    <s v=" Sector 49 Gurgaon"/>
    <n v="0"/>
    <n v="0"/>
    <n v="3"/>
    <n v="4"/>
    <n v="3"/>
    <x v="2"/>
    <n v="13"/>
    <n v="0"/>
    <n v="0"/>
    <n v="0"/>
    <n v="0"/>
    <n v="2754.0622418066646"/>
    <m/>
    <n v="2754"/>
    <n v="1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7540622418066599E-2"/>
    <n v="20000000"/>
    <n v="7.2620000000000004E-2"/>
    <x v="3"/>
    <s v="Todo bien"/>
    <x v="0"/>
    <x v="1"/>
    <n v="1199.6702035251976"/>
    <x v="1"/>
    <x v="3"/>
    <s v="Pequeña"/>
    <x v="2"/>
    <n v="2754.0622418066646"/>
  </r>
  <r>
    <s v="Suncity Heights"/>
    <x v="103"/>
    <n v="16445"/>
    <n v="3"/>
    <x v="1"/>
    <x v="1"/>
    <s v=" Sector 54 Gurgaon"/>
    <n v="0"/>
    <n v="0"/>
    <n v="3"/>
    <n v="8"/>
    <n v="3"/>
    <x v="1"/>
    <n v="14"/>
    <n v="1"/>
    <n v="0"/>
    <n v="0"/>
    <n v="0"/>
    <n v="2341.1371237458193"/>
    <m/>
    <n v="2341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411371237458099E-2"/>
    <n v="38500000"/>
    <n v="0.16445000000000001"/>
    <x v="5"/>
    <s v="Todo bien"/>
    <x v="0"/>
    <x v="4"/>
    <n v="1019.7999184949792"/>
    <x v="1"/>
    <x v="2"/>
    <s v="Pequeña"/>
    <x v="2"/>
    <n v="2341.1371237458193"/>
  </r>
  <r>
    <s v="La Vida by Tata Housing"/>
    <x v="388"/>
    <n v="13984"/>
    <n v="5"/>
    <x v="1"/>
    <x v="2"/>
    <s v=" Sector 113 Gurgaon"/>
    <n v="0"/>
    <n v="0"/>
    <n v="4"/>
    <n v="0"/>
    <n v="3"/>
    <x v="4"/>
    <n v="25"/>
    <n v="0"/>
    <n v="0"/>
    <n v="1"/>
    <n v="0"/>
    <n v="26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1"/>
    <n v="1"/>
    <n v="1"/>
    <n v="1"/>
    <n v="5"/>
    <n v="1"/>
    <n v="1"/>
    <n v="0"/>
    <n v="0"/>
    <n v="1"/>
    <n v="4"/>
    <n v="1"/>
    <n v="1"/>
    <n v="0"/>
    <n v="0"/>
    <n v="0"/>
    <n v="0"/>
    <n v="0"/>
    <n v="1"/>
    <n v="2.6601830663615499E-2"/>
    <n v="37200000"/>
    <n v="0.13983999999999999"/>
    <x v="5"/>
    <s v="Todo bien"/>
    <x v="2"/>
    <x v="1"/>
    <n v="1158.7764111470226"/>
    <x v="1"/>
    <x v="3"/>
    <s v="Pequeña"/>
    <x v="0"/>
    <n v="2660.183066361556"/>
  </r>
  <r>
    <s v="Signature Global City"/>
    <x v="331"/>
    <n v="11724"/>
    <n v="2"/>
    <x v="1"/>
    <x v="2"/>
    <s v=" Sector 37D Gurgaon"/>
    <n v="0"/>
    <n v="0"/>
    <n v="2"/>
    <n v="9"/>
    <n v="3"/>
    <x v="0"/>
    <n v="13"/>
    <n v="0"/>
    <n v="0"/>
    <n v="0"/>
    <n v="0"/>
    <n v="580"/>
    <m/>
    <m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0682360968003E-3"/>
    <n v="6800000"/>
    <n v="0.11724"/>
    <x v="1"/>
    <s v="Todo bien"/>
    <x v="0"/>
    <x v="1"/>
    <n v="252.65111788808869"/>
    <x v="0"/>
    <x v="1"/>
    <s v="Pequeña"/>
    <x v="0"/>
    <n v="580.00682360968949"/>
  </r>
  <r>
    <s v="Godrej Nature Plus"/>
    <x v="233"/>
    <n v="15982"/>
    <n v="2"/>
    <x v="1"/>
    <x v="3"/>
    <s v=" Sector-33 Sohna"/>
    <n v="0"/>
    <n v="0"/>
    <n v="2"/>
    <n v="4"/>
    <n v="2"/>
    <x v="0"/>
    <n v="22"/>
    <n v="0"/>
    <n v="0"/>
    <n v="0"/>
    <n v="0"/>
    <n v="76.44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967213114753999E-3"/>
    <n v="13100000"/>
    <n v="0.15981999999999999"/>
    <x v="2"/>
    <s v="Todo bien"/>
    <x v="0"/>
    <x v="4"/>
    <n v="357.04938598360616"/>
    <x v="0"/>
    <x v="1"/>
    <s v="Pequeña"/>
    <x v="0"/>
    <n v="819.67213114754099"/>
  </r>
  <r>
    <s v="Godrej Nature Plus"/>
    <x v="71"/>
    <n v="8266"/>
    <n v="3"/>
    <x v="1"/>
    <x v="3"/>
    <s v=" Sector-33 Sohna"/>
    <n v="0"/>
    <n v="0"/>
    <n v="3"/>
    <n v="2"/>
    <n v="3"/>
    <x v="1"/>
    <n v="22"/>
    <n v="1"/>
    <n v="0"/>
    <n v="0"/>
    <n v="0"/>
    <n v="1996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1287200580598E-2"/>
    <n v="16500000"/>
    <n v="8.2659999999999997E-2"/>
    <x v="3"/>
    <s v="Todo bien"/>
    <x v="0"/>
    <x v="1"/>
    <n v="869.51417128598678"/>
    <x v="1"/>
    <x v="2"/>
    <s v="Pequeña"/>
    <x v="0"/>
    <n v="1996.1287200580693"/>
  </r>
  <r>
    <s v="Emaar MGF Palm Hills"/>
    <x v="49"/>
    <n v="9500"/>
    <n v="3"/>
    <x v="6"/>
    <x v="2"/>
    <s v=" Sector 77 Gurgaon"/>
    <n v="0"/>
    <n v="0"/>
    <n v="4"/>
    <n v="6"/>
    <n v="3"/>
    <x v="1"/>
    <n v="13"/>
    <n v="1"/>
    <n v="0"/>
    <n v="0"/>
    <n v="0"/>
    <n v="1218.03"/>
    <m/>
    <n v="200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0.02"/>
    <n v="19000000"/>
    <n v="9.5000000000000001E-2"/>
    <x v="3"/>
    <s v="Todo bien"/>
    <x v="1"/>
    <x v="1"/>
    <n v="871.2005018000001"/>
    <x v="1"/>
    <x v="2"/>
    <s v="Pequeña"/>
    <x v="1"/>
    <n v="2000"/>
  </r>
  <r>
    <s v="TARC Maceo"/>
    <x v="7"/>
    <n v="7758"/>
    <n v="4"/>
    <x v="5"/>
    <x v="0"/>
    <s v=" Sector 91 Gurgaon"/>
    <n v="0"/>
    <n v="0"/>
    <n v="3"/>
    <n v="0"/>
    <n v="3"/>
    <x v="2"/>
    <n v="13"/>
    <n v="0"/>
    <n v="1"/>
    <n v="1"/>
    <n v="0"/>
    <n v="2320"/>
    <m/>
    <m/>
    <n v="0"/>
    <n v="0"/>
    <n v="0"/>
    <n v="1"/>
    <n v="0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x v="3"/>
    <s v="Todo bien"/>
    <x v="2"/>
    <x v="1"/>
    <n v="1010.6734359628736"/>
    <x v="1"/>
    <x v="2"/>
    <s v="Pequeña"/>
    <x v="0"/>
    <n v="2320.1856148491879"/>
  </r>
  <r>
    <s v="ROF Aalayas"/>
    <x v="0"/>
    <n v="8404"/>
    <n v="2"/>
    <x v="5"/>
    <x v="0"/>
    <s v=" Sector 102 Gurgaon"/>
    <n v="0"/>
    <n v="0"/>
    <n v="2"/>
    <n v="14"/>
    <n v="1"/>
    <x v="0"/>
    <n v="14"/>
    <n v="0"/>
    <n v="0"/>
    <n v="0"/>
    <n v="0"/>
    <n v="535.4"/>
    <m/>
    <n v="597"/>
    <n v="0"/>
    <n v="0"/>
    <n v="0"/>
    <n v="1"/>
    <n v="0"/>
    <n v="0"/>
    <n v="0"/>
    <n v="1"/>
    <n v="1"/>
    <n v="1"/>
    <n v="1"/>
    <n v="1"/>
    <n v="1"/>
    <n v="1"/>
    <n v="1"/>
    <n v="0"/>
    <n v="1"/>
    <n v="28"/>
    <x v="0"/>
    <x v="0"/>
    <x v="1"/>
    <x v="1"/>
    <x v="1"/>
    <x v="0"/>
    <x v="0"/>
    <x v="1"/>
    <x v="1"/>
    <n v="0"/>
    <n v="1"/>
    <n v="1"/>
    <n v="2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0"/>
    <n v="1"/>
    <n v="5.3545930509280998E-3"/>
    <n v="4500000"/>
    <n v="8.4040000000000004E-2"/>
    <x v="0"/>
    <s v="Todo bien"/>
    <x v="2"/>
    <x v="1"/>
    <n v="233.24620764516769"/>
    <x v="0"/>
    <x v="1"/>
    <s v="Pequeña"/>
    <x v="0"/>
    <n v="535.45930509281288"/>
  </r>
  <r>
    <s v="Green Homes"/>
    <x v="20"/>
    <n v="7872"/>
    <n v="3"/>
    <x v="1"/>
    <x v="5"/>
    <s v=" Sector 52 Gurgaon"/>
    <n v="0"/>
    <n v="0"/>
    <n v="3"/>
    <n v="7"/>
    <n v="3"/>
    <x v="1"/>
    <n v="10"/>
    <n v="1"/>
    <n v="0"/>
    <n v="0"/>
    <n v="0"/>
    <n v="2350.1016260162601"/>
    <m/>
    <n v="235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0"/>
    <x v="0"/>
    <x v="0"/>
    <x v="1"/>
    <x v="0"/>
    <x v="1"/>
    <x v="0"/>
    <n v="1"/>
    <n v="3"/>
    <n v="1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3501016260162599E-2"/>
    <n v="18500000"/>
    <n v="7.8719999999999998E-2"/>
    <x v="3"/>
    <s v="Todo bien"/>
    <x v="1"/>
    <x v="0"/>
    <n v="1023.7048579331808"/>
    <x v="1"/>
    <x v="2"/>
    <s v="Pequeña"/>
    <x v="2"/>
    <n v="2350.1016260162601"/>
  </r>
  <r>
    <s v="AWHO Shanti Vihar"/>
    <x v="42"/>
    <n v="8888"/>
    <n v="2"/>
    <x v="4"/>
    <x v="2"/>
    <s v=" Sector 95 Gurgaon"/>
    <n v="0"/>
    <n v="0"/>
    <n v="2"/>
    <n v="9"/>
    <n v="3"/>
    <x v="0"/>
    <n v="23"/>
    <n v="0"/>
    <n v="1"/>
    <n v="0"/>
    <n v="0"/>
    <n v="550"/>
    <m/>
    <n v="900"/>
    <n v="0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x v="1"/>
    <s v="Todo bien"/>
    <x v="0"/>
    <x v="4"/>
    <n v="392.07943375337533"/>
    <x v="0"/>
    <x v="1"/>
    <s v="Pequeña"/>
    <x v="0"/>
    <n v="900.09000900090007"/>
  </r>
  <r>
    <s v="Ansal API Esencia"/>
    <x v="50"/>
    <n v="6435"/>
    <n v="3"/>
    <x v="1"/>
    <x v="5"/>
    <s v=" Sector 67 Gurgaon"/>
    <n v="0"/>
    <n v="0"/>
    <n v="3"/>
    <n v="2"/>
    <n v="3"/>
    <x v="1"/>
    <n v="3"/>
    <n v="0"/>
    <n v="0"/>
    <n v="0"/>
    <n v="0"/>
    <n v="1554.0015540015538"/>
    <m/>
    <n v="1554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400155400155E-2"/>
    <n v="10000000"/>
    <n v="6.4350000000000004E-2"/>
    <x v="1"/>
    <s v="Todo bien"/>
    <x v="0"/>
    <x v="2"/>
    <n v="676.92346682206517"/>
    <x v="1"/>
    <x v="2"/>
    <s v="Pequeña"/>
    <x v="1"/>
    <n v="1554.0015540015538"/>
  </r>
  <r>
    <s v="Dron Apartment"/>
    <x v="43"/>
    <n v="8802"/>
    <n v="3"/>
    <x v="1"/>
    <x v="1"/>
    <s v=" Civil Lines"/>
    <n v="0"/>
    <n v="0"/>
    <n v="3"/>
    <n v="3"/>
    <n v="2"/>
    <x v="1"/>
    <n v="4"/>
    <n v="0"/>
    <n v="0"/>
    <n v="0"/>
    <n v="0"/>
    <n v="1420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0"/>
    <x v="0"/>
    <n v="0"/>
    <n v="3"/>
    <n v="1"/>
    <n v="3"/>
    <n v="1"/>
    <n v="0"/>
    <n v="0"/>
    <n v="1"/>
    <n v="1"/>
    <n v="1"/>
    <n v="1"/>
    <n v="1"/>
    <n v="0"/>
    <n v="0"/>
    <n v="0"/>
    <n v="3"/>
    <n v="1"/>
    <n v="1"/>
    <n v="0"/>
    <n v="0"/>
    <n v="0"/>
    <n v="0"/>
    <n v="0"/>
    <n v="1"/>
    <n v="1.42013178822994E-2"/>
    <n v="12500000"/>
    <n v="8.8020000000000001E-2"/>
    <x v="2"/>
    <s v="Todo bien"/>
    <x v="2"/>
    <x v="1"/>
    <n v="618.60976326402761"/>
    <x v="1"/>
    <x v="2"/>
    <s v="Pequeña"/>
    <x v="0"/>
    <n v="1420.1317882299477"/>
  </r>
  <r>
    <s v="Spaze Privy AT"/>
    <x v="56"/>
    <n v="7453"/>
    <n v="2"/>
    <x v="1"/>
    <x v="0"/>
    <s v=" Sector 84 Gurgaon"/>
    <n v="0"/>
    <n v="0"/>
    <n v="2"/>
    <n v="3"/>
    <n v="3"/>
    <x v="0"/>
    <n v="10"/>
    <n v="0"/>
    <n v="1"/>
    <n v="0"/>
    <n v="0"/>
    <n v="1610.0898966858983"/>
    <m/>
    <n v="161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6100898966858901E-2"/>
    <n v="12000000"/>
    <n v="7.4529999999999999E-2"/>
    <x v="2"/>
    <s v="Todo bien"/>
    <x v="1"/>
    <x v="5"/>
    <n v="701.35556296792879"/>
    <x v="1"/>
    <x v="2"/>
    <s v="Pequeña"/>
    <x v="1"/>
    <n v="1610.0898966858983"/>
  </r>
  <r>
    <s v="Signature Global Park"/>
    <x v="28"/>
    <n v="7863"/>
    <n v="3"/>
    <x v="4"/>
    <x v="2"/>
    <s v=" Sohna"/>
    <n v="0"/>
    <n v="0"/>
    <n v="2"/>
    <n v="4"/>
    <n v="2"/>
    <x v="1"/>
    <n v="4"/>
    <n v="0"/>
    <n v="0"/>
    <n v="0"/>
    <n v="0"/>
    <n v="670"/>
    <n v="1080"/>
    <n v="1081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1233625842E-2"/>
    <n v="8500000"/>
    <n v="7.8630000000000005E-2"/>
    <x v="1"/>
    <s v="Todo bien"/>
    <x v="0"/>
    <x v="0"/>
    <n v="470.88924490016296"/>
    <x v="0"/>
    <x v="0"/>
    <s v="Mediana"/>
    <x v="1"/>
    <n v="1081.0123362584254"/>
  </r>
  <r>
    <s v="Breez Global Hill View"/>
    <x v="290"/>
    <n v="5600"/>
    <n v="2"/>
    <x v="1"/>
    <x v="0"/>
    <s v=" Sohna"/>
    <n v="0"/>
    <n v="0"/>
    <n v="2"/>
    <n v="14"/>
    <n v="2"/>
    <x v="0"/>
    <n v="19"/>
    <n v="0"/>
    <n v="0"/>
    <n v="0"/>
    <n v="0"/>
    <n v="625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2500000000000003E-3"/>
    <n v="3500000"/>
    <n v="5.6000000000000001E-2"/>
    <x v="0"/>
    <s v="Todo bien"/>
    <x v="0"/>
    <x v="3"/>
    <n v="272.25015681250005"/>
    <x v="0"/>
    <x v="0"/>
    <s v="Pequeña"/>
    <x v="0"/>
    <n v="625"/>
  </r>
  <r>
    <s v="Godrej Oasis"/>
    <x v="81"/>
    <n v="9856"/>
    <n v="2"/>
    <x v="1"/>
    <x v="2"/>
    <s v=" Sector 88A Gurgaon"/>
    <n v="0"/>
    <n v="0"/>
    <n v="2"/>
    <n v="12"/>
    <n v="1"/>
    <x v="0"/>
    <n v="12"/>
    <n v="0"/>
    <n v="1"/>
    <n v="0"/>
    <n v="0"/>
    <n v="108.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680194805194E-2"/>
    <n v="11500000"/>
    <n v="9.8559999999999995E-2"/>
    <x v="2"/>
    <s v="Todo bien"/>
    <x v="0"/>
    <x v="4"/>
    <n v="508.25922132203385"/>
    <x v="1"/>
    <x v="1"/>
    <s v="Pequeña"/>
    <x v="0"/>
    <n v="1166.8019480519481"/>
  </r>
  <r>
    <s v="Sare Crescent Parc"/>
    <x v="50"/>
    <n v="4778"/>
    <n v="4"/>
    <x v="1"/>
    <x v="4"/>
    <s v=" Sector 92 Gurgaon"/>
    <n v="0"/>
    <n v="0"/>
    <n v="4"/>
    <n v="9"/>
    <n v="3"/>
    <x v="2"/>
    <n v="9"/>
    <n v="0"/>
    <n v="0"/>
    <n v="0"/>
    <n v="0"/>
    <n v="2092.9259104227708"/>
    <n v="209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9259104227702E-2"/>
    <n v="10000000"/>
    <n v="4.7780000000000003E-2"/>
    <x v="1"/>
    <s v="Todo bien"/>
    <x v="0"/>
    <x v="2"/>
    <n v="911.67905169526966"/>
    <x v="1"/>
    <x v="2"/>
    <s v="Grande"/>
    <x v="0"/>
    <n v="2092.9259104227708"/>
  </r>
  <r>
    <s v="TARC Maceo"/>
    <x v="10"/>
    <n v="5413"/>
    <n v="2"/>
    <x v="4"/>
    <x v="5"/>
    <s v=" Sector 91 Gurgaon"/>
    <n v="0"/>
    <n v="0"/>
    <n v="2"/>
    <n v="8"/>
    <n v="3"/>
    <x v="0"/>
    <n v="13"/>
    <n v="0"/>
    <n v="0"/>
    <n v="0"/>
    <n v="0"/>
    <n v="1773.5082209495658"/>
    <m/>
    <n v="1404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35082209495601E-2"/>
    <n v="9600000"/>
    <n v="5.4129999999999998E-2"/>
    <x v="1"/>
    <s v="Todo bien"/>
    <x v="1"/>
    <x v="3"/>
    <n v="772.54062601884107"/>
    <x v="1"/>
    <x v="2"/>
    <s v="Pequeña"/>
    <x v="1"/>
    <n v="1773.5082209495658"/>
  </r>
  <r>
    <s v="DLF New Town Heights "/>
    <x v="35"/>
    <n v="6735"/>
    <n v="3"/>
    <x v="0"/>
    <x v="5"/>
    <s v=" Sector 86 Gurgaon"/>
    <n v="0"/>
    <n v="0"/>
    <n v="3"/>
    <n v="12"/>
    <n v="3"/>
    <x v="1"/>
    <n v="22"/>
    <n v="1"/>
    <n v="0"/>
    <n v="1"/>
    <n v="0"/>
    <n v="1930.2152932442466"/>
    <m/>
    <n v="193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152932442401E-2"/>
    <n v="13000000"/>
    <n v="6.7349999999999993E-2"/>
    <x v="2"/>
    <s v="Todo bien"/>
    <x v="0"/>
    <x v="5"/>
    <n v="840.80226602820812"/>
    <x v="1"/>
    <x v="2"/>
    <s v="Pequeña"/>
    <x v="1"/>
    <n v="1930.2152932442466"/>
  </r>
  <r>
    <s v="Rose Apartment"/>
    <x v="101"/>
    <n v="10482"/>
    <n v="3"/>
    <x v="1"/>
    <x v="1"/>
    <s v=" Sector 28 Gurgaon"/>
    <n v="0"/>
    <n v="0"/>
    <n v="5"/>
    <n v="8"/>
    <n v="3"/>
    <x v="1"/>
    <n v="10"/>
    <n v="0"/>
    <n v="0"/>
    <n v="0"/>
    <n v="0"/>
    <n v="2862.0492272467086"/>
    <m/>
    <n v="2862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0"/>
    <x v="0"/>
    <x v="0"/>
    <x v="1"/>
    <x v="1"/>
    <x v="1"/>
    <x v="0"/>
    <n v="1"/>
    <n v="1"/>
    <n v="1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8620492272467001E-2"/>
    <n v="30000000"/>
    <n v="0.10482"/>
    <x v="5"/>
    <s v="Todo bien"/>
    <x v="1"/>
    <x v="2"/>
    <n v="1246.7093614768137"/>
    <x v="1"/>
    <x v="3"/>
    <s v="Pequeña"/>
    <x v="2"/>
    <n v="2862.0492272467086"/>
  </r>
  <r>
    <s v="MM Soulitude"/>
    <x v="35"/>
    <n v="8700"/>
    <n v="3"/>
    <x v="1"/>
    <x v="2"/>
    <s v=" Sector 89 Gurgaon"/>
    <n v="0"/>
    <n v="0"/>
    <n v="3"/>
    <n v="1"/>
    <n v="2"/>
    <x v="1"/>
    <n v="4"/>
    <n v="0"/>
    <n v="0"/>
    <n v="0"/>
    <n v="0"/>
    <n v="900"/>
    <m/>
    <n v="1500"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425287356321E-2"/>
    <n v="13000000"/>
    <n v="8.6999999999999994E-2"/>
    <x v="2"/>
    <s v="Todo bien"/>
    <x v="0"/>
    <x v="0"/>
    <n v="650.89692663218034"/>
    <x v="1"/>
    <x v="0"/>
    <s v="Pequeña"/>
    <x v="1"/>
    <n v="1494.2528735632186"/>
  </r>
  <r>
    <s v="The Rama Apartment CGHS"/>
    <x v="51"/>
    <n v="10204"/>
    <n v="4"/>
    <x v="4"/>
    <x v="5"/>
    <s v=" Sector 43 Gurgaon"/>
    <n v="0"/>
    <n v="0"/>
    <n v="4"/>
    <n v="4"/>
    <n v="3"/>
    <x v="2"/>
    <n v="12"/>
    <n v="1"/>
    <n v="0"/>
    <n v="0"/>
    <n v="0"/>
    <n v="245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4500196001568001E-2"/>
    <n v="25000000"/>
    <n v="0.10204000000000001"/>
    <x v="3"/>
    <s v="Todo bien"/>
    <x v="1"/>
    <x v="0"/>
    <n v="1067.22915253822"/>
    <x v="1"/>
    <x v="2"/>
    <s v="Pequeña"/>
    <x v="0"/>
    <n v="2450.0196001568011"/>
  </r>
  <r>
    <s v="Emaar Palm Heights"/>
    <x v="39"/>
    <n v="11250"/>
    <n v="3"/>
    <x v="1"/>
    <x v="2"/>
    <s v=" Sector 77 Gurgaon"/>
    <n v="0"/>
    <n v="0"/>
    <n v="3"/>
    <n v="22"/>
    <n v="3"/>
    <x v="1"/>
    <n v="24"/>
    <n v="1"/>
    <n v="0"/>
    <n v="0"/>
    <n v="0"/>
    <n v="2000"/>
    <m/>
    <n v="2000"/>
    <n v="0"/>
    <n v="0"/>
    <n v="0"/>
    <n v="0"/>
    <n v="1"/>
    <n v="0"/>
    <n v="0"/>
    <n v="1"/>
    <n v="1"/>
    <n v="1"/>
    <n v="0"/>
    <n v="1"/>
    <n v="1"/>
    <n v="1"/>
    <n v="0"/>
    <n v="1"/>
    <n v="1"/>
    <n v="23"/>
    <x v="0"/>
    <x v="0"/>
    <x v="1"/>
    <x v="1"/>
    <x v="1"/>
    <x v="0"/>
    <x v="1"/>
    <x v="0"/>
    <x v="0"/>
    <n v="0"/>
    <n v="5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0.02"/>
    <n v="22500000"/>
    <n v="0.1125"/>
    <x v="3"/>
    <s v="Todo bien"/>
    <x v="1"/>
    <x v="1"/>
    <n v="871.2005018000001"/>
    <x v="1"/>
    <x v="2"/>
    <s v="Pequeña"/>
    <x v="1"/>
    <n v="2000"/>
  </r>
  <r>
    <s v="Bestech Park View Ananda"/>
    <x v="59"/>
    <n v="8734"/>
    <n v="3"/>
    <x v="1"/>
    <x v="0"/>
    <s v=" Sector 81 Gurgaon"/>
    <n v="0"/>
    <n v="0"/>
    <n v="2"/>
    <n v="3"/>
    <n v="3"/>
    <x v="1"/>
    <n v="15"/>
    <n v="0"/>
    <n v="0"/>
    <n v="0"/>
    <n v="0"/>
    <n v="1082"/>
    <m/>
    <n v="16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861231967E-2"/>
    <n v="14500000"/>
    <n v="8.7340000000000001E-2"/>
    <x v="2"/>
    <s v="Todo bien"/>
    <x v="0"/>
    <x v="2"/>
    <n v="723.17422006526215"/>
    <x v="1"/>
    <x v="0"/>
    <s v="Pequeña"/>
    <x v="1"/>
    <n v="1660.1786123196703"/>
  </r>
  <r>
    <s v="Godrej Aria"/>
    <x v="59"/>
    <n v="9062"/>
    <n v="2"/>
    <x v="4"/>
    <x v="0"/>
    <s v=" Sector 79 Gurgaon"/>
    <n v="0"/>
    <n v="0"/>
    <n v="2"/>
    <n v="9"/>
    <n v="3"/>
    <x v="0"/>
    <n v="15"/>
    <n v="0"/>
    <n v="1"/>
    <n v="0"/>
    <n v="0"/>
    <n v="1600.08828073273"/>
    <n v="1494"/>
    <n v="149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08828073273E-2"/>
    <n v="14500000"/>
    <n v="9.0620000000000006E-2"/>
    <x v="2"/>
    <s v="Todo bien"/>
    <x v="0"/>
    <x v="4"/>
    <n v="696.99885654932689"/>
    <x v="1"/>
    <x v="2"/>
    <s v="Mediana"/>
    <x v="1"/>
    <n v="1600.08828073273"/>
  </r>
  <r>
    <s v="Whiteland BliSS The Leafville"/>
    <x v="49"/>
    <n v="11363"/>
    <n v="3"/>
    <x v="1"/>
    <x v="3"/>
    <s v=" Sector 76 Gurgaon"/>
    <n v="0"/>
    <n v="0"/>
    <n v="3"/>
    <n v="0"/>
    <n v="2"/>
    <x v="1"/>
    <n v="4"/>
    <n v="0"/>
    <n v="0"/>
    <n v="0"/>
    <n v="0"/>
    <n v="1672.0936372436856"/>
    <m/>
    <n v="1672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20936372436799E-2"/>
    <n v="19000000"/>
    <n v="0.11362999999999999"/>
    <x v="3"/>
    <s v="Todo bien"/>
    <x v="0"/>
    <x v="2"/>
    <n v="728.36440791164057"/>
    <x v="1"/>
    <x v="2"/>
    <s v="Pequeña"/>
    <x v="1"/>
    <n v="1672.0936372436856"/>
  </r>
  <r>
    <s v="GLS Avenue "/>
    <x v="1"/>
    <n v="7812"/>
    <n v="3"/>
    <x v="1"/>
    <x v="2"/>
    <s v=" Sector 92 Gurgaon"/>
    <n v="0"/>
    <n v="0"/>
    <n v="3"/>
    <n v="12"/>
    <n v="1"/>
    <x v="1"/>
    <n v="12"/>
    <n v="0"/>
    <n v="0"/>
    <n v="0"/>
    <n v="0"/>
    <n v="640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1"/>
    <n v="0"/>
    <n v="0"/>
    <n v="1"/>
    <n v="0"/>
    <n v="0"/>
    <n v="1"/>
    <n v="1"/>
    <n v="1"/>
    <n v="1"/>
    <n v="0"/>
    <n v="0"/>
    <n v="0"/>
    <n v="0"/>
    <n v="0"/>
    <n v="2"/>
    <n v="6.4004096262160002E-3"/>
    <n v="5000000"/>
    <n v="7.8119999999999995E-2"/>
    <x v="1"/>
    <s v="Todo bien"/>
    <x v="1"/>
    <x v="5"/>
    <n v="278.80200390424653"/>
    <x v="0"/>
    <x v="0"/>
    <s v="Pequeña"/>
    <x v="0"/>
    <n v="640.04096262160783"/>
  </r>
  <r>
    <s v="MM The Marina"/>
    <x v="59"/>
    <n v="9615"/>
    <n v="3"/>
    <x v="1"/>
    <x v="2"/>
    <s v=" Sector 68 Gurgaon"/>
    <n v="0"/>
    <n v="0"/>
    <n v="2"/>
    <n v="9"/>
    <n v="3"/>
    <x v="1"/>
    <n v="15"/>
    <n v="0"/>
    <n v="0"/>
    <n v="0"/>
    <n v="0"/>
    <n v="1508.0603224128965"/>
    <m/>
    <n v="15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603224128899E-2"/>
    <n v="14500000"/>
    <n v="9.6149999999999999E-2"/>
    <x v="2"/>
    <s v="Todo bien"/>
    <x v="0"/>
    <x v="2"/>
    <n v="656.91145481538979"/>
    <x v="1"/>
    <x v="2"/>
    <s v="Pequeña"/>
    <x v="1"/>
    <n v="1508.0603224128965"/>
  </r>
  <r>
    <s v="Smart World Gems"/>
    <x v="16"/>
    <n v="9519"/>
    <n v="2"/>
    <x v="1"/>
    <x v="3"/>
    <s v=" Sector 89 Gurgaon"/>
    <n v="0"/>
    <n v="0"/>
    <n v="2"/>
    <n v="4"/>
    <n v="2"/>
    <x v="0"/>
    <n v="4"/>
    <n v="0"/>
    <n v="1"/>
    <n v="0"/>
    <n v="0"/>
    <n v="1103.0570438071227"/>
    <n v="1103"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570438071201E-2"/>
    <n v="10500000"/>
    <n v="9.5189999999999997E-2"/>
    <x v="2"/>
    <s v="Todo bien"/>
    <x v="0"/>
    <x v="0"/>
    <n v="480.49192503939383"/>
    <x v="0"/>
    <x v="0"/>
    <s v="Mediana"/>
    <x v="0"/>
    <n v="1103.0570438071227"/>
  </r>
  <r>
    <s v="BPTP Freedom Park Life"/>
    <x v="145"/>
    <n v="8982"/>
    <n v="5"/>
    <x v="4"/>
    <x v="5"/>
    <s v=" Sector 57 Gurgaon"/>
    <n v="0"/>
    <n v="0"/>
    <n v="6"/>
    <n v="19"/>
    <n v="3"/>
    <x v="4"/>
    <n v="19"/>
    <n v="1"/>
    <n v="0"/>
    <n v="1"/>
    <n v="0"/>
    <n v="6123.3578267646408"/>
    <n v="5010"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0"/>
    <n v="0"/>
    <n v="14"/>
    <n v="1"/>
    <n v="5"/>
    <n v="1"/>
    <n v="1"/>
    <n v="1"/>
    <n v="0"/>
    <n v="0"/>
    <n v="1"/>
    <n v="1"/>
    <n v="1"/>
    <n v="0"/>
    <n v="0"/>
    <n v="1"/>
    <n v="5"/>
    <n v="1"/>
    <n v="0"/>
    <n v="0"/>
    <n v="0"/>
    <n v="0"/>
    <n v="0"/>
    <n v="0"/>
    <n v="2"/>
    <n v="6.1233578267646402E-2"/>
    <n v="55000000"/>
    <n v="8.9819999999999997E-2"/>
    <x v="4"/>
    <s v="Todo bien"/>
    <x v="1"/>
    <x v="5"/>
    <n v="2667.336205689156"/>
    <x v="2"/>
    <x v="3"/>
    <s v="Muy grande"/>
    <x v="0"/>
    <n v="6123.3578267646408"/>
  </r>
  <r>
    <s v="Sidhartha NCR One"/>
    <x v="57"/>
    <n v="4106"/>
    <n v="2"/>
    <x v="1"/>
    <x v="4"/>
    <s v=" Sector 95 Gurgaon"/>
    <n v="0"/>
    <n v="0"/>
    <n v="2"/>
    <n v="10"/>
    <n v="2"/>
    <x v="0"/>
    <n v="17"/>
    <n v="0"/>
    <n v="0"/>
    <n v="0"/>
    <n v="0"/>
    <n v="1200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8577691183601E-2"/>
    <n v="5600000"/>
    <n v="4.1059999999999999E-2"/>
    <x v="1"/>
    <s v="Todo bien"/>
    <x v="0"/>
    <x v="2"/>
    <n v="594.09678641987193"/>
    <x v="1"/>
    <x v="0"/>
    <s v="Mediana"/>
    <x v="0"/>
    <n v="1363.8577691183634"/>
  </r>
  <r>
    <s v="Sidhartha NCR One"/>
    <x v="389"/>
    <n v="4179"/>
    <n v="2"/>
    <x v="1"/>
    <x v="4"/>
    <s v=" Sector 95 Gurgaon"/>
    <n v="0"/>
    <n v="0"/>
    <n v="2"/>
    <n v="10"/>
    <n v="2"/>
    <x v="0"/>
    <n v="17"/>
    <n v="0"/>
    <n v="0"/>
    <n v="0"/>
    <n v="0"/>
    <n v="1232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9626704953301E-2"/>
    <n v="5700000"/>
    <n v="4.1790000000000001E-2"/>
    <x v="1"/>
    <s v="Todo bien"/>
    <x v="0"/>
    <x v="2"/>
    <n v="594.14248148599984"/>
    <x v="1"/>
    <x v="2"/>
    <s v="Mediana"/>
    <x v="0"/>
    <n v="1363.9626704953339"/>
  </r>
  <r>
    <s v="shyam apartment"/>
    <x v="123"/>
    <n v="5739"/>
    <n v="3"/>
    <x v="4"/>
    <x v="4"/>
    <s v=" New Colony, Sector 7"/>
    <n v="0"/>
    <n v="0"/>
    <n v="3"/>
    <n v="2"/>
    <n v="2"/>
    <x v="1"/>
    <n v="4"/>
    <n v="0"/>
    <n v="0"/>
    <n v="0"/>
    <n v="0"/>
    <n v="1135"/>
    <n v="115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6600000"/>
    <n v="5.7389999999999997E-2"/>
    <x v="1"/>
    <s v="Todo bien"/>
    <x v="0"/>
    <x v="2"/>
    <n v="500.95167380031018"/>
    <x v="1"/>
    <x v="0"/>
    <s v="Mediana"/>
    <x v="0"/>
    <n v="1150.0261369576583"/>
  </r>
  <r>
    <s v="ATS Triumph"/>
    <x v="133"/>
    <n v="10000"/>
    <n v="3"/>
    <x v="2"/>
    <x v="2"/>
    <s v=" Sector 104 Gurgaon"/>
    <n v="0"/>
    <n v="0"/>
    <n v="4"/>
    <n v="15"/>
    <n v="3"/>
    <x v="1"/>
    <n v="21"/>
    <n v="1"/>
    <n v="0"/>
    <n v="0"/>
    <n v="0"/>
    <n v="2290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99999999999899E-2"/>
    <n v="23000000"/>
    <n v="0.1"/>
    <x v="3"/>
    <s v="Todo bien"/>
    <x v="0"/>
    <x v="3"/>
    <n v="1001.8805770699956"/>
    <x v="1"/>
    <x v="2"/>
    <s v="Pequeña"/>
    <x v="0"/>
    <n v="2300"/>
  </r>
  <r>
    <s v="Shree Vardhman Victoria"/>
    <x v="68"/>
    <n v="8205"/>
    <n v="3"/>
    <x v="1"/>
    <x v="2"/>
    <s v=" Sector 70 Gurgaon"/>
    <n v="0"/>
    <n v="0"/>
    <n v="5"/>
    <n v="7"/>
    <n v="3"/>
    <x v="1"/>
    <n v="18"/>
    <n v="1"/>
    <n v="0"/>
    <n v="1"/>
    <n v="0"/>
    <n v="1161"/>
    <m/>
    <n v="19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28458257160201E-2"/>
    <n v="17500000"/>
    <n v="8.2049999999999998E-2"/>
    <x v="3"/>
    <s v="Todo bien"/>
    <x v="0"/>
    <x v="0"/>
    <n v="929.06817681291614"/>
    <x v="1"/>
    <x v="0"/>
    <s v="Pequeña"/>
    <x v="1"/>
    <n v="2132.8458257160269"/>
  </r>
  <r>
    <s v="Emaar Gurgaon Greens"/>
    <x v="26"/>
    <n v="9696"/>
    <n v="3"/>
    <x v="1"/>
    <x v="0"/>
    <s v=" Sector 102 Gurgaon"/>
    <n v="0"/>
    <n v="0"/>
    <n v="3"/>
    <n v="8"/>
    <n v="3"/>
    <x v="1"/>
    <n v="14"/>
    <n v="0"/>
    <n v="0"/>
    <n v="0"/>
    <n v="0"/>
    <n v="1022.58"/>
    <m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6000000"/>
    <n v="9.6960000000000005E-2"/>
    <x v="3"/>
    <s v="Todo bien"/>
    <x v="0"/>
    <x v="1"/>
    <n v="718.81229521452144"/>
    <x v="1"/>
    <x v="0"/>
    <s v="Pequeña"/>
    <x v="1"/>
    <n v="1650.1650165016501"/>
  </r>
  <r>
    <s v="Emaar Digihomes"/>
    <x v="14"/>
    <n v="15262"/>
    <n v="3"/>
    <x v="4"/>
    <x v="2"/>
    <s v=" Sector 62 Gurgaon"/>
    <n v="0"/>
    <n v="0"/>
    <n v="3"/>
    <n v="33"/>
    <n v="3"/>
    <x v="1"/>
    <n v="33"/>
    <n v="1"/>
    <n v="0"/>
    <n v="0"/>
    <n v="0"/>
    <n v="25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2"/>
    <n v="1"/>
    <n v="0"/>
    <n v="0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2.5881273751801801E-2"/>
    <n v="39500000"/>
    <n v="0.15262000000000001"/>
    <x v="5"/>
    <s v="Todo bien"/>
    <x v="1"/>
    <x v="1"/>
    <n v="1127.388933989645"/>
    <x v="1"/>
    <x v="3"/>
    <s v="Pequeña"/>
    <x v="0"/>
    <n v="2588.1273751801859"/>
  </r>
  <r>
    <s v="Apex Our Homes"/>
    <x v="94"/>
    <n v="4108"/>
    <n v="2"/>
    <x v="1"/>
    <x v="0"/>
    <s v=" Sector 37C Gurgaon"/>
    <n v="0"/>
    <n v="0"/>
    <n v="2"/>
    <n v="9"/>
    <n v="1"/>
    <x v="0"/>
    <n v="11"/>
    <n v="0"/>
    <n v="0"/>
    <n v="0"/>
    <n v="0"/>
    <n v="800"/>
    <n v="925"/>
    <m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2434274585998E-3"/>
    <n v="3800000"/>
    <n v="4.1079999999999998E-2"/>
    <x v="0"/>
    <s v="Todo bien"/>
    <x v="0"/>
    <x v="3"/>
    <n v="402.94083578870425"/>
    <x v="0"/>
    <x v="0"/>
    <s v="Mediana"/>
    <x v="0"/>
    <n v="925.02434274586176"/>
  </r>
  <r>
    <s v="Signature Global Solera "/>
    <x v="306"/>
    <n v="9"/>
    <n v="2"/>
    <x v="5"/>
    <x v="2"/>
    <s v=" Sector 107 Gurgaon"/>
    <n v="0"/>
    <n v="0"/>
    <n v="2"/>
    <n v="3"/>
    <n v="1"/>
    <x v="0"/>
    <n v="13"/>
    <n v="0"/>
    <n v="0"/>
    <n v="0"/>
    <n v="0"/>
    <n v="51439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66666666666667"/>
    <n v="5100000"/>
    <n v="9.0000000000000006E-5"/>
    <x v="1"/>
    <s v="Todo bien"/>
    <x v="0"/>
    <x v="1"/>
    <n v="246840.1421766667"/>
    <x v="2"/>
    <x v="3"/>
    <s v="Pequeña"/>
    <x v="0"/>
    <n v="566666.66666666663"/>
  </r>
  <r>
    <s v="Signature The Roselia"/>
    <x v="273"/>
    <n v="6194"/>
    <n v="2"/>
    <x v="5"/>
    <x v="2"/>
    <s v=" Sector 95A Gurgaon"/>
    <n v="0"/>
    <n v="0"/>
    <n v="2"/>
    <n v="12"/>
    <n v="2"/>
    <x v="0"/>
    <n v="14"/>
    <n v="0"/>
    <n v="1"/>
    <n v="0"/>
    <n v="0"/>
    <n v="569.25"/>
    <n v="670"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6.7000322893121999E-3"/>
    <n v="4150000"/>
    <n v="6.1940000000000002E-2"/>
    <x v="0"/>
    <s v="Todo bien"/>
    <x v="1"/>
    <x v="3"/>
    <n v="291.85357462624961"/>
    <x v="0"/>
    <x v="1"/>
    <s v="Pequeña"/>
    <x v="0"/>
    <n v="670.0032289312237"/>
  </r>
  <r>
    <s v="Sare Crescent Parc Royal Greens Phase "/>
    <x v="50"/>
    <n v="3713"/>
    <n v="4"/>
    <x v="1"/>
    <x v="2"/>
    <s v=" Sector 92 Gurgaon"/>
    <n v="0"/>
    <n v="0"/>
    <n v="4"/>
    <n v="15"/>
    <n v="3"/>
    <x v="2"/>
    <n v="23"/>
    <n v="0"/>
    <n v="0"/>
    <n v="0"/>
    <n v="0"/>
    <n v="2693.2399676811201"/>
    <m/>
    <n v="20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323996768112E-2"/>
    <n v="10000000"/>
    <n v="3.7130000000000003E-2"/>
    <x v="1"/>
    <s v="Todo bien"/>
    <x v="0"/>
    <x v="2"/>
    <n v="1173.1760056558039"/>
    <x v="1"/>
    <x v="3"/>
    <s v="Pequeña"/>
    <x v="2"/>
    <n v="2693.2399676811201"/>
  </r>
  <r>
    <s v="Signature Global The Millennia "/>
    <x v="1"/>
    <n v="7142"/>
    <n v="3"/>
    <x v="1"/>
    <x v="3"/>
    <s v=" Sector 37D Gurgaon"/>
    <n v="0"/>
    <n v="0"/>
    <n v="3"/>
    <n v="2"/>
    <n v="2"/>
    <x v="1"/>
    <n v="19"/>
    <n v="0"/>
    <n v="0"/>
    <n v="0"/>
    <n v="0"/>
    <n v="700"/>
    <m/>
    <m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8401008119997E-3"/>
    <n v="5000000"/>
    <n v="7.1419999999999997E-2"/>
    <x v="1"/>
    <s v="Todo bien"/>
    <x v="0"/>
    <x v="0"/>
    <n v="304.95677044244889"/>
    <x v="0"/>
    <x v="0"/>
    <s v="Pequeña"/>
    <x v="0"/>
    <n v="700.08401008120973"/>
  </r>
  <r>
    <s v="Sare Crescent Parc"/>
    <x v="42"/>
    <n v="6033"/>
    <n v="3"/>
    <x v="2"/>
    <x v="0"/>
    <s v=" Sector 92 Gurgaon"/>
    <n v="0"/>
    <n v="0"/>
    <n v="2"/>
    <n v="3"/>
    <n v="2"/>
    <x v="1"/>
    <n v="15"/>
    <n v="0"/>
    <n v="0"/>
    <n v="0"/>
    <n v="0"/>
    <n v="132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260401127133999E-2"/>
    <n v="8000000"/>
    <n v="6.0330000000000002E-2"/>
    <x v="1"/>
    <s v="Todo bien"/>
    <x v="1"/>
    <x v="2"/>
    <n v="577.62340580142131"/>
    <x v="1"/>
    <x v="2"/>
    <s v="Pequeña"/>
    <x v="0"/>
    <n v="1326.0401127134096"/>
  </r>
  <r>
    <s v="Imperia The Esfera"/>
    <x v="21"/>
    <n v="4886"/>
    <n v="3"/>
    <x v="1"/>
    <x v="2"/>
    <s v=" Sector 37C Gurgaon"/>
    <n v="0"/>
    <n v="0"/>
    <n v="3"/>
    <n v="0"/>
    <n v="2"/>
    <x v="1"/>
    <n v="14"/>
    <n v="0"/>
    <n v="0"/>
    <n v="0"/>
    <n v="0"/>
    <n v="1760.1309864920179"/>
    <m/>
    <n v="176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3098649201E-2"/>
    <n v="8600000"/>
    <n v="4.8860000000000001E-2"/>
    <x v="1"/>
    <s v="Todo bien"/>
    <x v="0"/>
    <x v="0"/>
    <n v="766.71349933278407"/>
    <x v="1"/>
    <x v="2"/>
    <s v="Pequeña"/>
    <x v="1"/>
    <n v="1760.1309864920179"/>
  </r>
  <r>
    <s v="Ansal Heights "/>
    <x v="43"/>
    <n v="7396"/>
    <n v="3"/>
    <x v="1"/>
    <x v="2"/>
    <s v=" Sector 86 Gurgaon"/>
    <n v="0"/>
    <n v="0"/>
    <n v="2"/>
    <n v="2"/>
    <n v="1"/>
    <x v="1"/>
    <n v="13"/>
    <n v="0"/>
    <n v="0"/>
    <n v="0"/>
    <n v="0"/>
    <n v="1690.1027582477016"/>
    <m/>
    <n v="16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x v="2"/>
    <s v="Todo bien"/>
    <x v="0"/>
    <x v="5"/>
    <n v="736.20918553948025"/>
    <x v="1"/>
    <x v="2"/>
    <s v="Pequeña"/>
    <x v="1"/>
    <n v="1690.1027582477016"/>
  </r>
  <r>
    <s v="MM Golfestate"/>
    <x v="159"/>
    <n v="17543"/>
    <n v="3"/>
    <x v="1"/>
    <x v="5"/>
    <s v=" Sector 65 Gurgaon"/>
    <n v="0"/>
    <n v="0"/>
    <n v="3"/>
    <n v="9"/>
    <n v="3"/>
    <x v="1"/>
    <n v="40"/>
    <n v="0"/>
    <n v="1"/>
    <n v="0"/>
    <n v="0"/>
    <n v="3363.1647950749584"/>
    <m/>
    <n v="3363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6"/>
    <n v="1"/>
    <n v="4"/>
    <n v="1"/>
    <n v="1"/>
    <n v="1"/>
    <n v="1"/>
    <n v="1"/>
    <n v="7"/>
    <n v="1"/>
    <n v="1"/>
    <n v="3"/>
    <n v="1"/>
    <n v="1"/>
    <n v="3"/>
    <n v="1"/>
    <n v="1"/>
    <n v="0"/>
    <n v="0"/>
    <n v="0"/>
    <n v="0"/>
    <n v="0"/>
    <n v="1"/>
    <n v="3.3631647950749501E-2"/>
    <n v="59000000"/>
    <n v="0.17543"/>
    <x v="4"/>
    <s v="Todo bien"/>
    <x v="2"/>
    <x v="0"/>
    <n v="1464.9954285526953"/>
    <x v="1"/>
    <x v="3"/>
    <s v="Pequeña"/>
    <x v="3"/>
    <n v="3363.1647950749584"/>
  </r>
  <r>
    <s v="Raheja Teachers Apartments"/>
    <x v="56"/>
    <n v="7272"/>
    <n v="3"/>
    <x v="4"/>
    <x v="5"/>
    <s v=" Sector 31 Gurgaon"/>
    <n v="0"/>
    <n v="0"/>
    <n v="2"/>
    <n v="1"/>
    <n v="2"/>
    <x v="1"/>
    <n v="6"/>
    <n v="0"/>
    <n v="0"/>
    <n v="0"/>
    <n v="0"/>
    <n v="1150"/>
    <n v="1450"/>
    <n v="1650"/>
    <n v="1"/>
    <n v="1"/>
    <n v="0"/>
    <n v="1"/>
    <n v="0"/>
    <n v="1"/>
    <n v="1"/>
    <n v="1"/>
    <n v="1"/>
    <n v="1"/>
    <n v="1"/>
    <n v="1"/>
    <n v="1"/>
    <n v="1"/>
    <n v="1"/>
    <n v="0"/>
    <n v="0"/>
    <n v="43"/>
    <x v="0"/>
    <x v="0"/>
    <x v="0"/>
    <x v="0"/>
    <x v="0"/>
    <x v="0"/>
    <x v="1"/>
    <x v="0"/>
    <x v="0"/>
    <n v="1"/>
    <n v="4"/>
    <n v="1"/>
    <n v="13"/>
    <n v="1"/>
    <n v="1"/>
    <n v="1"/>
    <n v="0"/>
    <n v="1"/>
    <n v="7"/>
    <n v="1"/>
    <n v="1"/>
    <n v="0"/>
    <n v="0"/>
    <n v="1"/>
    <n v="2"/>
    <n v="1"/>
    <n v="1"/>
    <n v="0"/>
    <n v="0"/>
    <n v="0"/>
    <n v="0"/>
    <n v="0"/>
    <n v="1"/>
    <n v="1.65016501650165E-2"/>
    <n v="12000000"/>
    <n v="7.2720000000000007E-2"/>
    <x v="2"/>
    <s v="Todo bien"/>
    <x v="2"/>
    <x v="4"/>
    <n v="718.81229521452144"/>
    <x v="1"/>
    <x v="0"/>
    <s v="Mediana"/>
    <x v="1"/>
    <n v="1650.1650165016499"/>
  </r>
  <r>
    <s v="Eldeco Accolade"/>
    <x v="390"/>
    <n v="6554"/>
    <n v="2"/>
    <x v="2"/>
    <x v="3"/>
    <s v=" Sohna"/>
    <n v="0"/>
    <n v="0"/>
    <n v="2"/>
    <n v="8"/>
    <n v="3"/>
    <x v="0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2541959108E-2"/>
    <n v="9550000"/>
    <n v="6.5540000000000001E-2"/>
    <x v="1"/>
    <s v="Todo bien"/>
    <x v="0"/>
    <x v="1"/>
    <n v="634.72419836664233"/>
    <x v="1"/>
    <x v="0"/>
    <s v="Pequeña"/>
    <x v="1"/>
    <n v="1457.1254195910894"/>
  </r>
  <r>
    <s v="Emaar MGF The Palm Drive"/>
    <x v="40"/>
    <n v="14358"/>
    <n v="3"/>
    <x v="4"/>
    <x v="2"/>
    <s v=" Sector 66 Gurgaon"/>
    <n v="0"/>
    <n v="0"/>
    <n v="3"/>
    <n v="12"/>
    <n v="2"/>
    <x v="1"/>
    <n v="17"/>
    <n v="1"/>
    <n v="1"/>
    <n v="1"/>
    <n v="0"/>
    <n v="1600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5"/>
    <n v="1"/>
    <n v="0"/>
    <n v="0"/>
    <n v="1"/>
    <n v="1"/>
    <n v="1"/>
    <n v="1"/>
    <n v="0"/>
    <n v="3"/>
    <n v="1"/>
    <n v="1"/>
    <n v="5"/>
    <n v="1"/>
    <n v="1"/>
    <n v="0"/>
    <n v="0"/>
    <n v="0"/>
    <n v="0"/>
    <n v="0"/>
    <n v="1"/>
    <n v="1.9501323304081299E-2"/>
    <n v="28000000"/>
    <n v="0.14358000000000001"/>
    <x v="5"/>
    <s v="Todo bien"/>
    <x v="2"/>
    <x v="4"/>
    <n v="849.47813241398319"/>
    <x v="1"/>
    <x v="2"/>
    <s v="Grande"/>
    <x v="1"/>
    <n v="1950.1323304081347"/>
  </r>
  <r>
    <s v="GLS Arawali Homes"/>
    <x v="63"/>
    <n v="4307"/>
    <n v="2"/>
    <x v="1"/>
    <x v="2"/>
    <s v=" Sohna"/>
    <n v="0"/>
    <n v="0"/>
    <n v="2"/>
    <n v="12"/>
    <n v="2"/>
    <x v="0"/>
    <n v="13"/>
    <n v="0"/>
    <n v="0"/>
    <n v="0"/>
    <n v="0"/>
    <n v="650.104481077316"/>
    <m/>
    <n v="6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x v="0"/>
    <s v="Todo bien"/>
    <x v="0"/>
    <x v="2"/>
    <n v="283.18567506849053"/>
    <x v="0"/>
    <x v="0"/>
    <s v="Pequeña"/>
    <x v="0"/>
    <n v="650.104481077316"/>
  </r>
  <r>
    <s v="Shapoorji Pallonji Joyville Gurugram"/>
    <x v="209"/>
    <n v="12000"/>
    <n v="3"/>
    <x v="1"/>
    <x v="2"/>
    <s v=" Sector 102 Gurgaon"/>
    <n v="0"/>
    <n v="0"/>
    <n v="3"/>
    <n v="1"/>
    <n v="2"/>
    <x v="1"/>
    <n v="26"/>
    <n v="0"/>
    <n v="0"/>
    <n v="0"/>
    <n v="0"/>
    <n v="1027.68"/>
    <m/>
    <n v="1692"/>
    <n v="0"/>
    <n v="0"/>
    <n v="0"/>
    <n v="1"/>
    <n v="0"/>
    <n v="1"/>
    <n v="0"/>
    <n v="1"/>
    <n v="0"/>
    <n v="1"/>
    <n v="1"/>
    <n v="1"/>
    <n v="1"/>
    <n v="0"/>
    <n v="1"/>
    <n v="0"/>
    <n v="0"/>
    <n v="3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16666666666601E-2"/>
    <n v="20300000"/>
    <n v="0.12"/>
    <x v="3"/>
    <s v="Todo bien"/>
    <x v="0"/>
    <x v="3"/>
    <n v="736.89042443916389"/>
    <x v="1"/>
    <x v="0"/>
    <s v="Pequeña"/>
    <x v="1"/>
    <n v="1691.6666666666667"/>
  </r>
  <r>
    <s v="Laxmi pareena"/>
    <x v="45"/>
    <n v="6666"/>
    <n v="2"/>
    <x v="5"/>
    <x v="4"/>
    <s v=" Sector 99A Gurgaon"/>
    <n v="0"/>
    <n v="0"/>
    <n v="1"/>
    <n v="12"/>
    <n v="0"/>
    <x v="0"/>
    <n v="12"/>
    <n v="0"/>
    <n v="0"/>
    <n v="0"/>
    <n v="0"/>
    <n v="45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4500450044997E-3"/>
    <n v="3000000"/>
    <n v="6.6659999999999997E-2"/>
    <x v="0"/>
    <s v="Todo bien"/>
    <x v="0"/>
    <x v="2"/>
    <n v="196.03971687668766"/>
    <x v="0"/>
    <x v="1"/>
    <s v="Pequeña"/>
    <x v="0"/>
    <n v="450.04500450045009"/>
  </r>
  <r>
    <s v="The New CRPF Apartments"/>
    <x v="29"/>
    <n v="5813"/>
    <n v="3"/>
    <x v="4"/>
    <x v="1"/>
    <s v=" Sector 9A Gurgaon"/>
    <n v="0"/>
    <n v="0"/>
    <n v="3"/>
    <n v="6"/>
    <n v="3"/>
    <x v="1"/>
    <n v="10"/>
    <n v="0"/>
    <n v="0"/>
    <n v="1"/>
    <n v="0"/>
    <n v="1290"/>
    <m/>
    <m/>
    <n v="0"/>
    <n v="1"/>
    <n v="0"/>
    <n v="0"/>
    <n v="0"/>
    <n v="0"/>
    <n v="0"/>
    <n v="1"/>
    <n v="0"/>
    <n v="0"/>
    <n v="1"/>
    <n v="1"/>
    <n v="0"/>
    <n v="0"/>
    <n v="1"/>
    <n v="0"/>
    <n v="0"/>
    <n v="19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021159470153E-2"/>
    <n v="7500000"/>
    <n v="5.8130000000000001E-2"/>
    <x v="1"/>
    <s v="Todo bien"/>
    <x v="0"/>
    <x v="0"/>
    <n v="562.01649436607556"/>
    <x v="1"/>
    <x v="2"/>
    <s v="Pequeña"/>
    <x v="0"/>
    <n v="1290.2115947015311"/>
  </r>
  <r>
    <s v="BPTP Astaire Gardens"/>
    <x v="74"/>
    <n v="8947"/>
    <n v="4"/>
    <x v="2"/>
    <x v="0"/>
    <s v=" Sector 70A Gurgaon"/>
    <n v="0"/>
    <n v="0"/>
    <n v="3"/>
    <n v="1"/>
    <n v="3"/>
    <x v="2"/>
    <n v="2"/>
    <n v="0"/>
    <n v="0"/>
    <n v="0"/>
    <n v="0"/>
    <n v="190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782385157001E-2"/>
    <n v="17000000"/>
    <n v="8.9469999999999994E-2"/>
    <x v="3"/>
    <s v="Todo bien"/>
    <x v="1"/>
    <x v="1"/>
    <n v="827.67455742706909"/>
    <x v="1"/>
    <x v="2"/>
    <s v="Pequeña"/>
    <x v="0"/>
    <n v="1900.0782385157038"/>
  </r>
  <r>
    <s v="Experion Windchants"/>
    <x v="293"/>
    <n v="20666"/>
    <n v="2"/>
    <x v="1"/>
    <x v="0"/>
    <s v=" Sector 112 Gurgaon"/>
    <n v="0"/>
    <n v="0"/>
    <n v="2"/>
    <n v="9"/>
    <n v="3"/>
    <x v="0"/>
    <n v="28"/>
    <n v="1"/>
    <n v="1"/>
    <n v="0"/>
    <n v="1"/>
    <n v="1500"/>
    <m/>
    <m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5000483886576901E-2"/>
    <n v="31000000"/>
    <n v="0.20666000000000001"/>
    <x v="5"/>
    <s v="Todo bien"/>
    <x v="1"/>
    <x v="3"/>
    <n v="653.42145446143059"/>
    <x v="1"/>
    <x v="2"/>
    <s v="Pequeña"/>
    <x v="0"/>
    <n v="1500.0483886576985"/>
  </r>
  <r>
    <s v="Pivotal Riddhi Siddhi"/>
    <x v="2"/>
    <n v="4444"/>
    <n v="2"/>
    <x v="1"/>
    <x v="2"/>
    <s v=" Sector 99 Gurgaon"/>
    <n v="0"/>
    <n v="0"/>
    <n v="2"/>
    <n v="9"/>
    <n v="2"/>
    <x v="0"/>
    <n v="14"/>
    <n v="0"/>
    <n v="0"/>
    <n v="0"/>
    <n v="0"/>
    <n v="587"/>
    <m/>
    <n v="9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3"/>
    <n v="392.07943375337533"/>
    <x v="0"/>
    <x v="1"/>
    <s v="Pequeña"/>
    <x v="0"/>
    <n v="900.09000900090007"/>
  </r>
  <r>
    <s v="Godrej Habitat"/>
    <x v="35"/>
    <n v="9002"/>
    <n v="2"/>
    <x v="1"/>
    <x v="3"/>
    <s v=" Sector 3 Gurgaon"/>
    <n v="0"/>
    <n v="0"/>
    <n v="2"/>
    <n v="6"/>
    <n v="2"/>
    <x v="0"/>
    <n v="17"/>
    <n v="0"/>
    <n v="0"/>
    <n v="0"/>
    <n v="0"/>
    <n v="1444"/>
    <m/>
    <m/>
    <n v="1"/>
    <n v="0"/>
    <n v="0"/>
    <n v="1"/>
    <n v="1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4412352810486E-2"/>
    <n v="13000000"/>
    <n v="9.0020000000000003E-2"/>
    <x v="2"/>
    <s v="Todo bien"/>
    <x v="1"/>
    <x v="0"/>
    <n v="629.06057117307023"/>
    <x v="1"/>
    <x v="2"/>
    <s v="Pequeña"/>
    <x v="0"/>
    <n v="1444.1235281048655"/>
  </r>
  <r>
    <s v="GLS Arawali Homes"/>
    <x v="79"/>
    <n v="4513"/>
    <n v="2"/>
    <x v="4"/>
    <x v="2"/>
    <s v=" Sohna"/>
    <n v="0"/>
    <n v="0"/>
    <n v="2"/>
    <n v="5"/>
    <n v="2"/>
    <x v="0"/>
    <n v="14"/>
    <n v="0"/>
    <n v="0"/>
    <n v="0"/>
    <n v="0"/>
    <n v="576"/>
    <m/>
    <m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4"/>
    <n v="250.95516338133962"/>
    <x v="0"/>
    <x v="1"/>
    <s v="Pequeña"/>
    <x v="0"/>
    <n v="576.11345003323731"/>
  </r>
  <r>
    <s v="MVN Athens"/>
    <x v="72"/>
    <n v="4210"/>
    <n v="2"/>
    <x v="1"/>
    <x v="0"/>
    <s v=" Sohna"/>
    <n v="0"/>
    <n v="0"/>
    <n v="2"/>
    <n v="12"/>
    <n v="1"/>
    <x v="0"/>
    <n v="14"/>
    <n v="0"/>
    <n v="0"/>
    <n v="0"/>
    <n v="0"/>
    <n v="570.07125890736347"/>
    <m/>
    <n v="570"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007125890735999E-3"/>
    <n v="2400000"/>
    <n v="4.2099999999999999E-2"/>
    <x v="0"/>
    <s v="Todo bien"/>
    <x v="0"/>
    <x v="0"/>
    <n v="248.32318341092488"/>
    <x v="0"/>
    <x v="1"/>
    <s v="Pequeña"/>
    <x v="0"/>
    <n v="570.07125890736347"/>
  </r>
  <r>
    <s v="Shree Vardhman Mantra"/>
    <x v="57"/>
    <n v="7000"/>
    <n v="2"/>
    <x v="1"/>
    <x v="2"/>
    <s v=" Sector 67 Gurgaon"/>
    <n v="0"/>
    <n v="0"/>
    <n v="2"/>
    <n v="8"/>
    <n v="1"/>
    <x v="0"/>
    <n v="13"/>
    <n v="0"/>
    <n v="0"/>
    <n v="0"/>
    <n v="0"/>
    <n v="800"/>
    <m/>
    <m/>
    <n v="1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600000"/>
    <n v="7.0000000000000007E-2"/>
    <x v="1"/>
    <s v="Todo bien"/>
    <x v="0"/>
    <x v="3"/>
    <n v="348.48020072000003"/>
    <x v="0"/>
    <x v="0"/>
    <s v="Pequeña"/>
    <x v="0"/>
    <n v="799.99999999999989"/>
  </r>
  <r>
    <s v="Raheja Atlantis"/>
    <x v="145"/>
    <n v="18688"/>
    <n v="4"/>
    <x v="5"/>
    <x v="0"/>
    <s v=" Sector 31 Gurgaon"/>
    <n v="0"/>
    <n v="0"/>
    <n v="5"/>
    <n v="1"/>
    <n v="3"/>
    <x v="2"/>
    <n v="1"/>
    <n v="1"/>
    <n v="1"/>
    <n v="1"/>
    <n v="0"/>
    <n v="2943.0650684931506"/>
    <m/>
    <n v="294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4306506849315E-2"/>
    <n v="55000000"/>
    <n v="0.18687999999999999"/>
    <x v="4"/>
    <s v="Todo bien"/>
    <x v="0"/>
    <x v="4"/>
    <n v="1281.9998822506418"/>
    <x v="1"/>
    <x v="3"/>
    <s v="Pequeña"/>
    <x v="2"/>
    <n v="2943.0650684931506"/>
  </r>
  <r>
    <s v="DLF New Town Heights"/>
    <x v="7"/>
    <n v="7679"/>
    <n v="4"/>
    <x v="1"/>
    <x v="5"/>
    <s v=" Sector 91 Gurgaon"/>
    <n v="0"/>
    <n v="0"/>
    <n v="4"/>
    <n v="6"/>
    <n v="3"/>
    <x v="2"/>
    <n v="21"/>
    <n v="1"/>
    <n v="0"/>
    <n v="1"/>
    <n v="0"/>
    <n v="2344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405521552285E-2"/>
    <n v="18000000"/>
    <n v="7.6789999999999997E-2"/>
    <x v="3"/>
    <s v="Todo bien"/>
    <x v="0"/>
    <x v="3"/>
    <n v="1021.0710400052071"/>
    <x v="1"/>
    <x v="2"/>
    <s v="Pequeña"/>
    <x v="0"/>
    <n v="2344.0552155228547"/>
  </r>
  <r>
    <s v="DLF The Skycourt"/>
    <x v="26"/>
    <n v="8294"/>
    <n v="3"/>
    <x v="2"/>
    <x v="0"/>
    <s v=" Sector 86 Gurgaon"/>
    <n v="0"/>
    <n v="0"/>
    <n v="3"/>
    <n v="14"/>
    <n v="1"/>
    <x v="1"/>
    <n v="19"/>
    <n v="0"/>
    <n v="0"/>
    <n v="1"/>
    <n v="0"/>
    <n v="1929.1053773812394"/>
    <m/>
    <n v="1929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053773812301E-2"/>
    <n v="16000000"/>
    <n v="8.294E-2"/>
    <x v="3"/>
    <s v="Todo bien"/>
    <x v="0"/>
    <x v="4"/>
    <n v="840.31878639980312"/>
    <x v="1"/>
    <x v="2"/>
    <s v="Pequeña"/>
    <x v="1"/>
    <n v="1929.1053773812394"/>
  </r>
  <r>
    <s v="Tashee Capital Gateway"/>
    <x v="391"/>
    <n v="6500"/>
    <n v="2"/>
    <x v="5"/>
    <x v="3"/>
    <s v=" Sector 111 Gurgaon"/>
    <n v="0"/>
    <n v="0"/>
    <n v="2"/>
    <n v="4"/>
    <n v="1"/>
    <x v="0"/>
    <n v="18"/>
    <n v="0"/>
    <n v="1"/>
    <n v="0"/>
    <n v="0"/>
    <n v="1477.9999999999998"/>
    <m/>
    <n v="1478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8E-2"/>
    <n v="9607000"/>
    <n v="6.5000000000000002E-2"/>
    <x v="1"/>
    <s v="Todo bien"/>
    <x v="0"/>
    <x v="3"/>
    <n v="643.81717083019998"/>
    <x v="1"/>
    <x v="2"/>
    <s v="Pequeña"/>
    <x v="1"/>
    <n v="1477.9999999999998"/>
  </r>
  <r>
    <s v="Raheja Atharva"/>
    <x v="47"/>
    <n v="7931"/>
    <n v="3"/>
    <x v="1"/>
    <x v="0"/>
    <s v=" Sector 109 Gurgaon"/>
    <n v="0"/>
    <n v="0"/>
    <n v="2"/>
    <n v="3"/>
    <n v="2"/>
    <x v="1"/>
    <n v="14"/>
    <n v="0"/>
    <n v="0"/>
    <n v="0"/>
    <n v="0"/>
    <n v="996"/>
    <m/>
    <n v="1457"/>
    <n v="1"/>
    <n v="0"/>
    <n v="1"/>
    <n v="0"/>
    <n v="0"/>
    <n v="0"/>
    <n v="0"/>
    <n v="1"/>
    <n v="1"/>
    <n v="1"/>
    <n v="0"/>
    <n v="1"/>
    <n v="1"/>
    <n v="0"/>
    <n v="0"/>
    <n v="1"/>
    <n v="1"/>
    <n v="33"/>
    <x v="0"/>
    <x v="0"/>
    <x v="1"/>
    <x v="1"/>
    <x v="1"/>
    <x v="0"/>
    <x v="0"/>
    <x v="0"/>
    <x v="0"/>
    <n v="0"/>
    <n v="0"/>
    <n v="0"/>
    <n v="6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9.9609128735342004E-3"/>
    <n v="7900000"/>
    <n v="7.9310000000000005E-2"/>
    <x v="1"/>
    <s v="Todo bien"/>
    <x v="2"/>
    <x v="3"/>
    <n v="433.89761469045379"/>
    <x v="0"/>
    <x v="0"/>
    <s v="Pequeña"/>
    <x v="1"/>
    <n v="996.09128735342324"/>
  </r>
  <r>
    <s v="Builder Floor"/>
    <x v="91"/>
    <n v="6000"/>
    <n v="3"/>
    <x v="4"/>
    <x v="2"/>
    <s v=" Lajpat Nagar"/>
    <n v="0"/>
    <n v="0"/>
    <n v="2"/>
    <n v="3"/>
    <n v="1"/>
    <x v="1"/>
    <n v="4"/>
    <n v="0"/>
    <n v="0"/>
    <n v="0"/>
    <n v="0"/>
    <n v="900"/>
    <n v="950"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6000000"/>
    <n v="0.06"/>
    <x v="1"/>
    <s v="Todo bien"/>
    <x v="0"/>
    <x v="2"/>
    <n v="435.60025090000005"/>
    <x v="0"/>
    <x v="0"/>
    <s v="Mediana"/>
    <x v="0"/>
    <n v="1000"/>
  </r>
  <r>
    <s v="Breez Global Heights"/>
    <x v="23"/>
    <n v="6420"/>
    <n v="2"/>
    <x v="1"/>
    <x v="2"/>
    <s v=" Sohna"/>
    <n v="0"/>
    <n v="0"/>
    <n v="2"/>
    <n v="2"/>
    <n v="2"/>
    <x v="0"/>
    <n v="10"/>
    <n v="0"/>
    <n v="0"/>
    <n v="0"/>
    <n v="0"/>
    <n v="654.20560747663558"/>
    <m/>
    <n v="623"/>
    <n v="0"/>
    <n v="0"/>
    <n v="1"/>
    <n v="0"/>
    <n v="0"/>
    <n v="0"/>
    <n v="0"/>
    <n v="1"/>
    <n v="1"/>
    <n v="1"/>
    <n v="1"/>
    <n v="1"/>
    <n v="1"/>
    <n v="1"/>
    <n v="1"/>
    <n v="0"/>
    <n v="1"/>
    <n v="3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20560747663E-3"/>
    <n v="4200000"/>
    <n v="6.4199999999999993E-2"/>
    <x v="0"/>
    <s v="Todo bien"/>
    <x v="0"/>
    <x v="1"/>
    <n v="284.97212675700695"/>
    <x v="0"/>
    <x v="0"/>
    <s v="Pequeña"/>
    <x v="0"/>
    <n v="654.20560747663558"/>
  </r>
  <r>
    <s v="Adani Brahma Samsara Vilasa"/>
    <x v="84"/>
    <n v="16470"/>
    <n v="3"/>
    <x v="1"/>
    <x v="2"/>
    <s v=" Sector 63 Gurgaon"/>
    <n v="0"/>
    <n v="0"/>
    <n v="3"/>
    <n v="3"/>
    <n v="3"/>
    <x v="1"/>
    <n v="4"/>
    <n v="0"/>
    <n v="0"/>
    <n v="0"/>
    <n v="0"/>
    <n v="2034.001214329083"/>
    <m/>
    <n v="2034"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3400121432908E-2"/>
    <n v="33500000"/>
    <n v="0.16470000000000001"/>
    <x v="5"/>
    <s v="Todo bien"/>
    <x v="1"/>
    <x v="2"/>
    <n v="886.01143929265197"/>
    <x v="1"/>
    <x v="2"/>
    <s v="Pequeña"/>
    <x v="2"/>
    <n v="2034.001214329083"/>
  </r>
  <r>
    <s v="Central Park  Bellevue"/>
    <x v="227"/>
    <n v="11627"/>
    <n v="3"/>
    <x v="2"/>
    <x v="5"/>
    <s v=" Sector 48 Gurgaon"/>
    <n v="0"/>
    <n v="0"/>
    <n v="4"/>
    <n v="14"/>
    <n v="3"/>
    <x v="1"/>
    <n v="16"/>
    <n v="0"/>
    <n v="0"/>
    <n v="0"/>
    <n v="0"/>
    <n v="430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003354261632397E-2"/>
    <n v="50000000"/>
    <n v="0.11627"/>
    <x v="4"/>
    <s v="Todo bien"/>
    <x v="1"/>
    <x v="4"/>
    <n v="1873.2271905908658"/>
    <x v="3"/>
    <x v="3"/>
    <s v="Pequeña"/>
    <x v="0"/>
    <n v="4300.3354261632412"/>
  </r>
  <r>
    <s v="Tulip Orange"/>
    <x v="50"/>
    <n v="10309"/>
    <n v="3"/>
    <x v="1"/>
    <x v="5"/>
    <s v=" Sector 70 Gurgaon"/>
    <n v="0"/>
    <n v="0"/>
    <n v="2"/>
    <n v="3"/>
    <n v="2"/>
    <x v="1"/>
    <n v="11"/>
    <n v="0"/>
    <n v="0"/>
    <n v="0"/>
    <n v="0"/>
    <n v="970"/>
    <m/>
    <m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7002619070714006E-3"/>
    <n v="10000000"/>
    <n v="0.10309"/>
    <x v="1"/>
    <s v="Todo bien"/>
    <x v="1"/>
    <x v="1"/>
    <n v="422.5436520516015"/>
    <x v="0"/>
    <x v="0"/>
    <s v="Pequeña"/>
    <x v="0"/>
    <n v="970.02619070714911"/>
  </r>
  <r>
    <s v="Central Park  Bellevue"/>
    <x v="76"/>
    <n v="10754"/>
    <n v="3"/>
    <x v="1"/>
    <x v="5"/>
    <s v=" Sector 48 Gurgaon"/>
    <n v="0"/>
    <n v="0"/>
    <n v="4"/>
    <n v="3"/>
    <n v="3"/>
    <x v="1"/>
    <n v="16"/>
    <n v="0"/>
    <n v="0"/>
    <n v="0"/>
    <n v="0"/>
    <n v="2550"/>
    <m/>
    <n v="2557"/>
    <n v="0"/>
    <n v="0"/>
    <n v="0"/>
    <n v="0"/>
    <n v="0"/>
    <n v="0"/>
    <n v="0"/>
    <n v="1"/>
    <n v="0"/>
    <n v="0"/>
    <n v="1"/>
    <n v="0"/>
    <n v="1"/>
    <n v="0"/>
    <n v="1"/>
    <n v="1"/>
    <n v="0"/>
    <n v="1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571880230611799E-2"/>
    <n v="27500000"/>
    <n v="0.10754"/>
    <x v="5"/>
    <s v="Todo bien"/>
    <x v="0"/>
    <x v="0"/>
    <n v="1113.911744443925"/>
    <x v="1"/>
    <x v="3"/>
    <s v="Pequeña"/>
    <x v="2"/>
    <n v="2557.1880230611864"/>
  </r>
  <r>
    <s v="Sobha City"/>
    <x v="92"/>
    <n v="17378"/>
    <n v="2"/>
    <x v="1"/>
    <x v="2"/>
    <s v=" Sector 108 Gurgaon"/>
    <n v="0"/>
    <n v="0"/>
    <n v="2"/>
    <n v="14"/>
    <n v="2"/>
    <x v="0"/>
    <n v="24"/>
    <n v="0"/>
    <n v="0"/>
    <n v="0"/>
    <n v="0"/>
    <n v="1381.0565082287951"/>
    <m/>
    <n v="1381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1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810565082287901E-2"/>
    <n v="24000000"/>
    <n v="0.17377999999999999"/>
    <x v="3"/>
    <s v="Todo bien"/>
    <x v="1"/>
    <x v="3"/>
    <n v="601.58856149153894"/>
    <x v="1"/>
    <x v="2"/>
    <s v="Pequeña"/>
    <x v="1"/>
    <n v="1381.0565082287951"/>
  </r>
  <r>
    <s v="Birla Navya"/>
    <x v="250"/>
    <n v="14632"/>
    <n v="3"/>
    <x v="4"/>
    <x v="3"/>
    <s v=" Sector 63A Gurgaon"/>
    <n v="0"/>
    <n v="0"/>
    <n v="3"/>
    <n v="4"/>
    <n v="3"/>
    <x v="1"/>
    <n v="4"/>
    <n v="0"/>
    <n v="0"/>
    <n v="0"/>
    <n v="0"/>
    <n v="20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0"/>
    <x v="1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8157463094499E-2"/>
    <n v="31500000"/>
    <n v="0.14632000000000001"/>
    <x v="5"/>
    <s v="Todo bien"/>
    <x v="0"/>
    <x v="1"/>
    <n v="937.76707923386721"/>
    <x v="1"/>
    <x v="1"/>
    <s v="Pequeña"/>
    <x v="0"/>
    <n v="2152.8157463094585"/>
  </r>
  <r>
    <s v="Ashiana Mulberry"/>
    <x v="13"/>
    <n v="6485"/>
    <n v="2"/>
    <x v="1"/>
    <x v="2"/>
    <s v=" Sohna"/>
    <n v="0"/>
    <n v="0"/>
    <n v="2"/>
    <n v="3"/>
    <n v="3"/>
    <x v="0"/>
    <n v="17"/>
    <n v="0"/>
    <n v="1"/>
    <n v="0"/>
    <n v="0"/>
    <n v="834.96"/>
    <n v="1175.97"/>
    <n v="14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491904394757E-2"/>
    <n v="9500000"/>
    <n v="6.4850000000000005E-2"/>
    <x v="1"/>
    <s v="Todo bien"/>
    <x v="0"/>
    <x v="4"/>
    <n v="638.11910309174971"/>
    <x v="1"/>
    <x v="0"/>
    <s v="Mediana"/>
    <x v="1"/>
    <n v="1464.9190439475713"/>
  </r>
  <r>
    <s v="Godrej Nature Plus"/>
    <x v="100"/>
    <n v="15124"/>
    <n v="3"/>
    <x v="1"/>
    <x v="2"/>
    <s v=" Sector-33 Sohna"/>
    <n v="0"/>
    <n v="0"/>
    <n v="2"/>
    <n v="20"/>
    <n v="3"/>
    <x v="1"/>
    <n v="24"/>
    <n v="0"/>
    <n v="0"/>
    <n v="0"/>
    <n v="0"/>
    <n v="86"/>
    <m/>
    <n v="145"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103676275992E-3"/>
    <n v="14000000"/>
    <n v="0.15124000000000001"/>
    <x v="2"/>
    <s v="Todo bien"/>
    <x v="0"/>
    <x v="3"/>
    <n v="403.22689186723039"/>
    <x v="0"/>
    <x v="1"/>
    <s v="Pequeña"/>
    <x v="0"/>
    <n v="925.6810367627611"/>
  </r>
  <r>
    <s v="Central Park Flower Valley"/>
    <x v="86"/>
    <n v="13522"/>
    <n v="3"/>
    <x v="1"/>
    <x v="2"/>
    <s v=" Sector-33 Sohna"/>
    <n v="0"/>
    <n v="0"/>
    <n v="3"/>
    <n v="1"/>
    <n v="3"/>
    <x v="1"/>
    <n v="13"/>
    <n v="0"/>
    <n v="0"/>
    <n v="0"/>
    <n v="0"/>
    <n v="1590.0014790711432"/>
    <m/>
    <n v="159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0"/>
    <x v="0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00147907114E-2"/>
    <n v="21500000"/>
    <n v="0.13522000000000001"/>
    <x v="3"/>
    <s v="Todo bien"/>
    <x v="0"/>
    <x v="0"/>
    <n v="692.60504321475969"/>
    <x v="1"/>
    <x v="2"/>
    <s v="Pequeña"/>
    <x v="1"/>
    <n v="1590.0014790711432"/>
  </r>
  <r>
    <s v="TARC Maceo"/>
    <x v="7"/>
    <n v="7758"/>
    <n v="3"/>
    <x v="5"/>
    <x v="0"/>
    <s v=" Sector 91 Gurgaon"/>
    <n v="0"/>
    <n v="0"/>
    <n v="3"/>
    <n v="0"/>
    <n v="3"/>
    <x v="1"/>
    <n v="13"/>
    <n v="0"/>
    <n v="0"/>
    <n v="1"/>
    <n v="0"/>
    <n v="2320"/>
    <m/>
    <m/>
    <n v="0"/>
    <n v="0"/>
    <n v="0"/>
    <n v="1"/>
    <n v="1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x v="3"/>
    <s v="Todo bien"/>
    <x v="2"/>
    <x v="1"/>
    <n v="1010.6734359628736"/>
    <x v="1"/>
    <x v="2"/>
    <s v="Pequeña"/>
    <x v="0"/>
    <n v="2320.1856148491879"/>
  </r>
  <r>
    <s v="Pareena Laxmi Apartments"/>
    <x v="302"/>
    <n v="5904"/>
    <n v="2"/>
    <x v="4"/>
    <x v="2"/>
    <s v=" Sector 99A Gurgaon"/>
    <n v="0"/>
    <n v="0"/>
    <n v="2"/>
    <n v="6"/>
    <n v="2"/>
    <x v="0"/>
    <n v="12"/>
    <n v="0"/>
    <n v="0"/>
    <n v="0"/>
    <n v="0"/>
    <n v="525"/>
    <m/>
    <m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0677506775E-3"/>
    <n v="3100000"/>
    <n v="5.9040000000000002E-2"/>
    <x v="0"/>
    <s v="Todo bien"/>
    <x v="0"/>
    <x v="1"/>
    <n v="228.71964393461766"/>
    <x v="0"/>
    <x v="1"/>
    <s v="Pequeña"/>
    <x v="0"/>
    <n v="525.06775067750675"/>
  </r>
  <r>
    <s v="Signature Global City D Ph "/>
    <x v="146"/>
    <n v="8237"/>
    <n v="3"/>
    <x v="2"/>
    <x v="3"/>
    <s v=" Sector 37D Gurgaon"/>
    <n v="0"/>
    <n v="0"/>
    <n v="3"/>
    <n v="2"/>
    <n v="2"/>
    <x v="1"/>
    <n v="4"/>
    <n v="0"/>
    <n v="0"/>
    <n v="0"/>
    <n v="0"/>
    <n v="1305"/>
    <m/>
    <m/>
    <n v="1"/>
    <n v="1"/>
    <n v="1"/>
    <n v="0"/>
    <n v="0"/>
    <n v="0"/>
    <n v="0"/>
    <n v="1"/>
    <n v="1"/>
    <n v="0"/>
    <n v="0"/>
    <n v="1"/>
    <n v="0"/>
    <n v="0"/>
    <n v="1"/>
    <n v="1"/>
    <n v="1"/>
    <n v="32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01663226902E-2"/>
    <n v="10700000"/>
    <n v="8.2369999999999999E-2"/>
    <x v="2"/>
    <s v="Todo bien"/>
    <x v="0"/>
    <x v="3"/>
    <n v="565.85197093965814"/>
    <x v="1"/>
    <x v="2"/>
    <s v="Pequeña"/>
    <x v="0"/>
    <n v="1299.01663226903"/>
  </r>
  <r>
    <s v="Raheja Vedaanta"/>
    <x v="4"/>
    <n v="4651"/>
    <n v="2"/>
    <x v="8"/>
    <x v="4"/>
    <s v=" Sector 108 Gurgaon"/>
    <n v="0"/>
    <n v="0"/>
    <n v="2"/>
    <n v="12"/>
    <n v="2"/>
    <x v="0"/>
    <n v="12"/>
    <n v="0"/>
    <n v="0"/>
    <n v="0"/>
    <n v="0"/>
    <n v="1505.0526768436894"/>
    <n v="150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05267684368E-2"/>
    <n v="7000000"/>
    <n v="4.6510000000000003E-2"/>
    <x v="1"/>
    <s v="Todo bien"/>
    <x v="0"/>
    <x v="2"/>
    <n v="655.6013236508237"/>
    <x v="1"/>
    <x v="2"/>
    <s v="Mediana"/>
    <x v="0"/>
    <n v="1505.0526768436894"/>
  </r>
  <r>
    <s v="Eldeco Accolade"/>
    <x v="8"/>
    <n v="7549"/>
    <n v="3"/>
    <x v="1"/>
    <x v="0"/>
    <s v=" Sohna"/>
    <n v="0"/>
    <n v="0"/>
    <n v="2"/>
    <n v="13"/>
    <n v="3"/>
    <x v="1"/>
    <n v="17"/>
    <n v="0"/>
    <n v="0"/>
    <n v="0"/>
    <n v="0"/>
    <n v="1457.1466419393296"/>
    <m/>
    <n v="1457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4664193933E-2"/>
    <n v="11000000"/>
    <n v="7.5490000000000002E-2"/>
    <x v="2"/>
    <s v="Todo bien"/>
    <x v="0"/>
    <x v="2"/>
    <n v="634.73344282686458"/>
    <x v="1"/>
    <x v="2"/>
    <s v="Pequeña"/>
    <x v="1"/>
    <n v="1457.1466419393296"/>
  </r>
  <r>
    <s v="Woodstock Floors"/>
    <x v="16"/>
    <n v="10627"/>
    <n v="2"/>
    <x v="5"/>
    <x v="5"/>
    <s v=" Nirvana Country"/>
    <n v="0"/>
    <n v="0"/>
    <n v="2"/>
    <n v="2"/>
    <n v="2"/>
    <x v="0"/>
    <n v="2"/>
    <n v="0"/>
    <n v="0"/>
    <n v="0"/>
    <n v="0"/>
    <n v="988"/>
    <m/>
    <m/>
    <n v="0"/>
    <n v="0"/>
    <n v="0"/>
    <n v="0"/>
    <n v="0"/>
    <n v="0"/>
    <n v="0"/>
    <n v="1"/>
    <n v="1"/>
    <n v="1"/>
    <n v="1"/>
    <n v="1"/>
    <n v="0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804930836548007E-3"/>
    <n v="10500000"/>
    <n v="0.10627"/>
    <x v="2"/>
    <s v="Todo bien"/>
    <x v="0"/>
    <x v="1"/>
    <n v="430.3945266255746"/>
    <x v="0"/>
    <x v="0"/>
    <s v="Pequeña"/>
    <x v="0"/>
    <n v="988.04930836548408"/>
  </r>
  <r>
    <s v="MVN Athens"/>
    <x v="36"/>
    <n v="3671"/>
    <n v="2"/>
    <x v="1"/>
    <x v="0"/>
    <s v=" Sohna"/>
    <n v="0"/>
    <n v="0"/>
    <n v="2"/>
    <n v="11"/>
    <n v="1"/>
    <x v="0"/>
    <n v="14"/>
    <n v="0"/>
    <n v="0"/>
    <n v="0"/>
    <n v="0"/>
    <n v="581"/>
    <n v="681"/>
    <m/>
    <n v="0"/>
    <n v="0"/>
    <n v="1"/>
    <n v="0"/>
    <n v="1"/>
    <n v="0"/>
    <n v="0"/>
    <n v="1"/>
    <n v="0"/>
    <n v="1"/>
    <n v="1"/>
    <n v="1"/>
    <n v="1"/>
    <n v="0"/>
    <n v="1"/>
    <n v="1"/>
    <n v="1"/>
    <n v="39"/>
    <x v="1"/>
    <x v="0"/>
    <x v="1"/>
    <x v="0"/>
    <x v="0"/>
    <x v="1"/>
    <x v="1"/>
    <x v="0"/>
    <x v="0"/>
    <n v="1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6.8101334786161002E-3"/>
    <n v="2500000"/>
    <n v="3.671E-2"/>
    <x v="0"/>
    <s v="Todo bien"/>
    <x v="1"/>
    <x v="3"/>
    <n v="296.6495851947663"/>
    <x v="0"/>
    <x v="1"/>
    <s v="Pequeña"/>
    <x v="0"/>
    <n v="681.01334786161806"/>
  </r>
  <r>
    <s v="Adani Aangan Galleria"/>
    <x v="23"/>
    <n v="4941"/>
    <n v="2"/>
    <x v="1"/>
    <x v="0"/>
    <s v=" Sector 89 A Gurgaon"/>
    <n v="0"/>
    <n v="0"/>
    <n v="2"/>
    <n v="3"/>
    <n v="2"/>
    <x v="0"/>
    <n v="11"/>
    <n v="0"/>
    <n v="0"/>
    <n v="0"/>
    <n v="0"/>
    <n v="850.03035822707955"/>
    <m/>
    <n v="8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3035822706994E-3"/>
    <n v="4200000"/>
    <n v="4.9410000000000003E-2"/>
    <x v="0"/>
    <s v="Todo bien"/>
    <x v="0"/>
    <x v="2"/>
    <n v="370.27343731632857"/>
    <x v="0"/>
    <x v="0"/>
    <s v="Pequeña"/>
    <x v="0"/>
    <n v="850.03035822707955"/>
  </r>
  <r>
    <s v="Birla Navya"/>
    <x v="69"/>
    <n v="16666"/>
    <n v="2"/>
    <x v="1"/>
    <x v="3"/>
    <s v=" Sector 63A Gurgaon"/>
    <n v="0"/>
    <n v="0"/>
    <n v="2"/>
    <n v="2"/>
    <n v="2"/>
    <x v="0"/>
    <n v="4"/>
    <n v="0"/>
    <n v="0"/>
    <n v="0"/>
    <n v="0"/>
    <n v="126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0"/>
    <n v="1.26005040201608E-2"/>
    <n v="21000000"/>
    <n v="0.16666"/>
    <x v="3"/>
    <s v="Todo bien"/>
    <x v="0"/>
    <x v="0"/>
    <n v="548.87827126485035"/>
    <x v="1"/>
    <x v="2"/>
    <s v="Pequeña"/>
    <x v="0"/>
    <n v="1260.0504020160806"/>
  </r>
  <r>
    <s v="Ramsons Kshitij"/>
    <x v="392"/>
    <n v="591"/>
    <n v="1"/>
    <x v="4"/>
    <x v="0"/>
    <s v=" Sector 95 Gurgaon"/>
    <n v="0"/>
    <n v="0"/>
    <n v="1"/>
    <n v="14"/>
    <n v="1"/>
    <x v="3"/>
    <n v="14"/>
    <n v="0"/>
    <n v="0"/>
    <n v="0"/>
    <n v="0"/>
    <n v="32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0"/>
    <n v="0"/>
    <n v="0"/>
    <n v="1"/>
    <n v="0"/>
    <n v="0"/>
    <n v="0"/>
    <n v="0"/>
    <n v="0"/>
    <n v="0"/>
    <n v="0"/>
    <n v="0"/>
    <n v="2"/>
    <n v="3.21489001692047E-2"/>
    <n v="1900000"/>
    <n v="5.9100000000000003E-3"/>
    <x v="0"/>
    <s v="Todo bien"/>
    <x v="1"/>
    <x v="1"/>
    <n v="1400.4068979864621"/>
    <x v="1"/>
    <x v="3"/>
    <s v="Pequeña"/>
    <x v="0"/>
    <n v="3214.8900169204735"/>
  </r>
  <r>
    <s v="The Arzoo CGHS"/>
    <x v="69"/>
    <n v="9130"/>
    <n v="4"/>
    <x v="1"/>
    <x v="0"/>
    <s v=" Sector 51 Gurgaon"/>
    <n v="0"/>
    <n v="0"/>
    <n v="4"/>
    <n v="1"/>
    <n v="3"/>
    <x v="2"/>
    <n v="13"/>
    <n v="0"/>
    <n v="0"/>
    <n v="0"/>
    <n v="0"/>
    <n v="2300.1095290251915"/>
    <n v="2300"/>
    <m/>
    <n v="0"/>
    <n v="0"/>
    <n v="0"/>
    <n v="1"/>
    <n v="1"/>
    <n v="0"/>
    <n v="0"/>
    <n v="1"/>
    <n v="1"/>
    <n v="1"/>
    <n v="0"/>
    <n v="0"/>
    <n v="1"/>
    <n v="1"/>
    <n v="1"/>
    <n v="1"/>
    <n v="1"/>
    <n v="24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095290251902E-2"/>
    <n v="21000000"/>
    <n v="9.1300000000000006E-2"/>
    <x v="3"/>
    <s v="Todo bien"/>
    <x v="0"/>
    <x v="1"/>
    <n v="1001.9282879408537"/>
    <x v="1"/>
    <x v="2"/>
    <s v="Grande"/>
    <x v="0"/>
    <n v="2300.1095290251915"/>
  </r>
  <r>
    <s v="Sare Crescent Parc"/>
    <x v="276"/>
    <n v="7068"/>
    <n v="4"/>
    <x v="1"/>
    <x v="0"/>
    <s v=" Sector 92 Gurgaon"/>
    <n v="0"/>
    <n v="0"/>
    <n v="4"/>
    <n v="8"/>
    <n v="3"/>
    <x v="2"/>
    <n v="23"/>
    <n v="0"/>
    <n v="0"/>
    <n v="0"/>
    <n v="0"/>
    <n v="2040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735144312393E-2"/>
    <n v="14400000"/>
    <n v="7.0680000000000007E-2"/>
    <x v="2"/>
    <s v="Todo bien"/>
    <x v="0"/>
    <x v="0"/>
    <n v="887.47079979626108"/>
    <x v="1"/>
    <x v="2"/>
    <s v="Pequeña"/>
    <x v="0"/>
    <n v="2037.3514431239387"/>
  </r>
  <r>
    <s v="Sare Crescent Parc"/>
    <x v="393"/>
    <n v="4933"/>
    <n v="3"/>
    <x v="1"/>
    <x v="0"/>
    <s v=" Sector 92 Gurgaon"/>
    <n v="0"/>
    <n v="0"/>
    <n v="3"/>
    <n v="6"/>
    <n v="2"/>
    <x v="1"/>
    <n v="23"/>
    <n v="0"/>
    <n v="0"/>
    <n v="0"/>
    <n v="0"/>
    <n v="1436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62456922765001E-2"/>
    <n v="7084999.9999999991"/>
    <n v="4.9329999999999999E-2"/>
    <x v="1"/>
    <s v="Todo bien"/>
    <x v="0"/>
    <x v="0"/>
    <n v="625.62898390968769"/>
    <x v="1"/>
    <x v="2"/>
    <s v="Pequeña"/>
    <x v="0"/>
    <n v="1436.245692276505"/>
  </r>
  <r>
    <s v="Breez Global Heights"/>
    <x v="240"/>
    <n v="5329"/>
    <n v="1"/>
    <x v="1"/>
    <x v="0"/>
    <s v=" Sohna"/>
    <n v="0"/>
    <n v="0"/>
    <n v="1"/>
    <n v="2"/>
    <n v="1"/>
    <x v="3"/>
    <n v="10"/>
    <n v="0"/>
    <n v="0"/>
    <n v="0"/>
    <n v="0"/>
    <n v="39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7018202289E-3"/>
    <n v="2100000"/>
    <n v="5.3289999999999997E-2"/>
    <x v="0"/>
    <s v="Todo bien"/>
    <x v="0"/>
    <x v="0"/>
    <n v="171.65707016137955"/>
    <x v="0"/>
    <x v="1"/>
    <s v="Pequeña"/>
    <x v="0"/>
    <n v="394.07018202289362"/>
  </r>
  <r>
    <s v="Shapoorji Pallonji Joyville Gurugram"/>
    <x v="51"/>
    <n v="14000"/>
    <n v="3"/>
    <x v="1"/>
    <x v="3"/>
    <s v=" Sector 102 Gurgaon"/>
    <n v="0"/>
    <n v="0"/>
    <n v="3"/>
    <n v="15"/>
    <n v="3"/>
    <x v="1"/>
    <n v="18"/>
    <n v="0"/>
    <n v="0"/>
    <n v="0"/>
    <n v="0"/>
    <n v="1785.7142857142856"/>
    <m/>
    <n v="18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57142857142801E-2"/>
    <n v="25000000"/>
    <n v="0.14000000000000001"/>
    <x v="3"/>
    <s v="Todo bien"/>
    <x v="0"/>
    <x v="5"/>
    <n v="777.85759089285477"/>
    <x v="1"/>
    <x v="2"/>
    <s v="Pequeña"/>
    <x v="1"/>
    <n v="1785.7142857142856"/>
  </r>
  <r>
    <s v="Signature The Roselia"/>
    <x v="273"/>
    <n v="7293"/>
    <n v="2"/>
    <x v="8"/>
    <x v="2"/>
    <s v=" Sector 95A Gurgaon"/>
    <n v="0"/>
    <n v="0"/>
    <n v="2"/>
    <n v="12"/>
    <n v="2"/>
    <x v="0"/>
    <n v="14"/>
    <n v="0"/>
    <n v="0"/>
    <n v="0"/>
    <n v="0"/>
    <n v="569"/>
    <n v="670"/>
    <m/>
    <n v="0"/>
    <n v="1"/>
    <n v="0"/>
    <n v="0"/>
    <n v="0"/>
    <n v="0"/>
    <n v="1"/>
    <n v="1"/>
    <n v="1"/>
    <n v="1"/>
    <n v="1"/>
    <n v="1"/>
    <n v="1"/>
    <n v="0"/>
    <n v="1"/>
    <n v="0"/>
    <n v="0"/>
    <n v="2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5.6903880433291998E-3"/>
    <n v="4150000"/>
    <n v="7.2929999999999995E-2"/>
    <x v="0"/>
    <s v="Todo bien"/>
    <x v="1"/>
    <x v="1"/>
    <n v="247.87344593925596"/>
    <x v="0"/>
    <x v="1"/>
    <s v="Pequeña"/>
    <x v="0"/>
    <n v="569.03880433292204"/>
  </r>
  <r>
    <s v="Sare Homes"/>
    <x v="57"/>
    <n v="4729"/>
    <n v="3"/>
    <x v="4"/>
    <x v="5"/>
    <s v=" Sector 92 Gurgaon"/>
    <n v="0"/>
    <n v="0"/>
    <n v="1"/>
    <n v="1"/>
    <n v="3"/>
    <x v="1"/>
    <n v="4"/>
    <n v="0"/>
    <n v="0"/>
    <n v="0"/>
    <n v="0"/>
    <n v="1184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8418270247409E-2"/>
    <n v="5600000"/>
    <n v="4.7289999999999999E-2"/>
    <x v="1"/>
    <s v="Todo bien"/>
    <x v="1"/>
    <x v="4"/>
    <n v="515.83028230915363"/>
    <x v="1"/>
    <x v="0"/>
    <s v="Pequeña"/>
    <x v="0"/>
    <n v="1184.182702474096"/>
  </r>
  <r>
    <s v="HCBS Sports Ville"/>
    <x v="290"/>
    <n v="4375"/>
    <n v="2"/>
    <x v="4"/>
    <x v="0"/>
    <s v=" Sector 2 Gurgaon"/>
    <n v="0"/>
    <n v="0"/>
    <n v="2"/>
    <n v="8"/>
    <n v="2"/>
    <x v="0"/>
    <n v="8"/>
    <n v="0"/>
    <n v="0"/>
    <n v="0"/>
    <n v="0"/>
    <n v="600"/>
    <n v="800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3500000"/>
    <n v="4.3749999999999997E-2"/>
    <x v="0"/>
    <s v="Todo bien"/>
    <x v="0"/>
    <x v="0"/>
    <n v="348.48020072000003"/>
    <x v="0"/>
    <x v="1"/>
    <s v="Pequeña"/>
    <x v="0"/>
    <n v="800"/>
  </r>
  <r>
    <s v="HSIIDC Sidco Aravali"/>
    <x v="15"/>
    <n v="3477"/>
    <n v="3"/>
    <x v="1"/>
    <x v="1"/>
    <s v=" Sector 1 Imt Manesar"/>
    <n v="0"/>
    <n v="0"/>
    <n v="3"/>
    <n v="2"/>
    <n v="3"/>
    <x v="1"/>
    <n v="9"/>
    <n v="1"/>
    <n v="0"/>
    <n v="0"/>
    <n v="0"/>
    <n v="2588.4383088869713"/>
    <n v="1900"/>
    <n v="2588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3"/>
    <n v="1"/>
    <n v="3"/>
    <n v="1"/>
    <n v="0"/>
    <n v="0"/>
    <n v="1"/>
    <n v="1"/>
    <n v="10"/>
    <n v="1"/>
    <n v="1"/>
    <n v="1"/>
    <n v="1"/>
    <n v="0"/>
    <n v="3"/>
    <n v="1"/>
    <n v="1"/>
    <n v="0"/>
    <n v="0"/>
    <n v="0"/>
    <n v="0"/>
    <n v="0"/>
    <n v="1"/>
    <n v="2.58843830888697E-2"/>
    <n v="9000000"/>
    <n v="3.4770000000000002E-2"/>
    <x v="1"/>
    <s v="Todo bien"/>
    <x v="2"/>
    <x v="0"/>
    <n v="1127.524376790336"/>
    <x v="1"/>
    <x v="3"/>
    <s v="Grande"/>
    <x v="2"/>
    <n v="2588.4383088869713"/>
  </r>
  <r>
    <s v="Bestech Park View Ananda"/>
    <x v="12"/>
    <n v="7541"/>
    <n v="3"/>
    <x v="5"/>
    <x v="1"/>
    <s v=" Sector 81 Gurgaon"/>
    <n v="0"/>
    <n v="0"/>
    <n v="3"/>
    <n v="8"/>
    <n v="3"/>
    <x v="1"/>
    <n v="15"/>
    <n v="0"/>
    <n v="0"/>
    <n v="0"/>
    <n v="0"/>
    <n v="179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902134995358698E-2"/>
    <n v="13500000"/>
    <n v="7.5410000000000005E-2"/>
    <x v="2"/>
    <s v="Todo bien"/>
    <x v="0"/>
    <x v="4"/>
    <n v="779.81744956239197"/>
    <x v="1"/>
    <x v="2"/>
    <s v="Pequeña"/>
    <x v="0"/>
    <n v="1790.2134995358704"/>
  </r>
  <r>
    <s v="Smartworld One DXP"/>
    <x v="6"/>
    <n v="11074"/>
    <n v="3"/>
    <x v="5"/>
    <x v="4"/>
    <s v=" Sector 113 Gurgaon"/>
    <n v="0"/>
    <n v="0"/>
    <n v="3"/>
    <n v="12"/>
    <n v="3"/>
    <x v="1"/>
    <n v="12"/>
    <n v="0"/>
    <n v="0"/>
    <n v="0"/>
    <n v="0"/>
    <n v="1350"/>
    <n v="1806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60321473722201E-2"/>
    <n v="20000000"/>
    <n v="0.11074000000000001"/>
    <x v="3"/>
    <s v="Todo bien"/>
    <x v="0"/>
    <x v="2"/>
    <n v="786.70805652880495"/>
    <x v="1"/>
    <x v="2"/>
    <s v="Grande"/>
    <x v="0"/>
    <n v="1806.0321473722231"/>
  </r>
  <r>
    <s v="Tulip Lemon"/>
    <x v="91"/>
    <n v="11407"/>
    <n v="2"/>
    <x v="1"/>
    <x v="4"/>
    <s v=" Sector 69 Gurgaon"/>
    <n v="0"/>
    <n v="0"/>
    <n v="1"/>
    <n v="11"/>
    <n v="1"/>
    <x v="0"/>
    <n v="11"/>
    <n v="0"/>
    <n v="0"/>
    <n v="0"/>
    <n v="0"/>
    <n v="526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99281143156998E-3"/>
    <n v="6000000"/>
    <n v="0.11407"/>
    <x v="1"/>
    <s v="Todo bien"/>
    <x v="0"/>
    <x v="2"/>
    <n v="229.12260063118828"/>
    <x v="0"/>
    <x v="1"/>
    <s v="Pequeña"/>
    <x v="0"/>
    <n v="525.99281143157702"/>
  </r>
  <r>
    <s v="Raheja Vedaanta"/>
    <x v="50"/>
    <n v="4854"/>
    <n v="2"/>
    <x v="5"/>
    <x v="4"/>
    <s v=" Sector 108 Gurgaon"/>
    <n v="0"/>
    <n v="0"/>
    <n v="2"/>
    <n v="0"/>
    <n v="2"/>
    <x v="0"/>
    <n v="6"/>
    <n v="0"/>
    <n v="0"/>
    <n v="0"/>
    <n v="0"/>
    <n v="1890"/>
    <n v="206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1565718994599E-2"/>
    <n v="10000000"/>
    <n v="4.854E-2"/>
    <x v="1"/>
    <s v="Todo bien"/>
    <x v="0"/>
    <x v="2"/>
    <n v="897.40471961268872"/>
    <x v="1"/>
    <x v="2"/>
    <s v="Grande"/>
    <x v="0"/>
    <n v="2060.1565718994643"/>
  </r>
  <r>
    <s v="Sare Crescent Parc"/>
    <x v="147"/>
    <n v="4971"/>
    <n v="4"/>
    <x v="4"/>
    <x v="5"/>
    <s v=" Sector 92 Gurgaon"/>
    <n v="0"/>
    <n v="0"/>
    <n v="4"/>
    <n v="2"/>
    <n v="2"/>
    <x v="2"/>
    <n v="4"/>
    <n v="0"/>
    <n v="0"/>
    <n v="0"/>
    <n v="1"/>
    <n v="1750.1508750754376"/>
    <m/>
    <n v="17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2"/>
    <n v="1"/>
    <n v="4"/>
    <n v="1"/>
    <n v="1"/>
    <n v="1"/>
    <n v="1"/>
    <n v="1"/>
    <n v="0"/>
    <n v="0"/>
    <n v="1"/>
    <n v="0"/>
    <n v="0"/>
    <n v="1"/>
    <n v="2"/>
    <n v="1"/>
    <n v="1"/>
    <n v="0"/>
    <n v="0"/>
    <n v="0"/>
    <n v="0"/>
    <n v="0"/>
    <n v="1"/>
    <n v="1.7501508750754301E-2"/>
    <n v="8700000"/>
    <n v="4.9709999999999997E-2"/>
    <x v="1"/>
    <s v="Todo bien"/>
    <x v="2"/>
    <x v="4"/>
    <n v="762.36616029571201"/>
    <x v="1"/>
    <x v="2"/>
    <s v="Pequeña"/>
    <x v="1"/>
    <n v="1750.1508750754376"/>
  </r>
  <r>
    <s v="Paras Irene"/>
    <x v="35"/>
    <n v="9219"/>
    <n v="2"/>
    <x v="1"/>
    <x v="5"/>
    <s v=" Sector 70A Gurgaon"/>
    <n v="0"/>
    <n v="0"/>
    <n v="2"/>
    <n v="19"/>
    <n v="3"/>
    <x v="0"/>
    <n v="20"/>
    <n v="0"/>
    <n v="0"/>
    <n v="0"/>
    <n v="0"/>
    <n v="1410"/>
    <m/>
    <n v="14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4101312506779399E-2"/>
    <n v="13000000"/>
    <n v="9.2189999999999994E-2"/>
    <x v="2"/>
    <s v="Todo bien"/>
    <x v="1"/>
    <x v="1"/>
    <n v="614.25352659724149"/>
    <x v="1"/>
    <x v="2"/>
    <s v="Pequeña"/>
    <x v="1"/>
    <n v="1410.1312506779477"/>
  </r>
  <r>
    <s v="Signature The Roselia"/>
    <x v="314"/>
    <n v="7164"/>
    <n v="2"/>
    <x v="1"/>
    <x v="0"/>
    <s v=" Sector 95A Gurgaon"/>
    <n v="0"/>
    <n v="0"/>
    <n v="2"/>
    <n v="6"/>
    <n v="2"/>
    <x v="0"/>
    <n v="13"/>
    <n v="0"/>
    <n v="0"/>
    <n v="0"/>
    <n v="0"/>
    <n v="670"/>
    <m/>
    <m/>
    <n v="0"/>
    <n v="0"/>
    <n v="0"/>
    <n v="0"/>
    <n v="0"/>
    <n v="0"/>
    <n v="0"/>
    <n v="1"/>
    <n v="0"/>
    <n v="0"/>
    <n v="0"/>
    <n v="0"/>
    <n v="1"/>
    <n v="0"/>
    <n v="0"/>
    <n v="1"/>
    <n v="0"/>
    <n v="9"/>
    <x v="1"/>
    <x v="1"/>
    <x v="1"/>
    <x v="1"/>
    <x v="1"/>
    <x v="1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7001675041875996E-3"/>
    <n v="4800000"/>
    <n v="7.1639999999999995E-2"/>
    <x v="0"/>
    <s v="Todo bien"/>
    <x v="0"/>
    <x v="2"/>
    <n v="291.85946458961456"/>
    <x v="0"/>
    <x v="0"/>
    <s v="Pequeña"/>
    <x v="0"/>
    <n v="670.01675041876047"/>
  </r>
  <r>
    <s v="MM Woodshire"/>
    <x v="394"/>
    <n v="6881"/>
    <n v="2"/>
    <x v="4"/>
    <x v="5"/>
    <s v=" Sector 107 Gurgaon"/>
    <n v="0"/>
    <n v="0"/>
    <n v="2"/>
    <n v="1"/>
    <n v="3"/>
    <x v="0"/>
    <n v="14"/>
    <n v="0"/>
    <n v="0"/>
    <n v="0"/>
    <n v="0"/>
    <n v="1366.0805115535534"/>
    <m/>
    <n v="1366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3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660805115535499E-2"/>
    <n v="9400000"/>
    <n v="6.8809999999999996E-2"/>
    <x v="1"/>
    <s v="Todo bien"/>
    <x v="0"/>
    <x v="4"/>
    <n v="595.06501358232674"/>
    <x v="1"/>
    <x v="2"/>
    <s v="Pequeña"/>
    <x v="1"/>
    <n v="1366.0805115535534"/>
  </r>
  <r>
    <s v="Unitech Sunbreeze"/>
    <x v="29"/>
    <n v="6849"/>
    <n v="2"/>
    <x v="1"/>
    <x v="3"/>
    <s v=" Sector 69 Gurgaon"/>
    <n v="0"/>
    <n v="0"/>
    <n v="2"/>
    <n v="4"/>
    <n v="2"/>
    <x v="0"/>
    <n v="12"/>
    <n v="0"/>
    <n v="0"/>
    <n v="0"/>
    <n v="0"/>
    <n v="1095.0503723171266"/>
    <m/>
    <n v="109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05037231712E-2"/>
    <n v="7500000"/>
    <n v="6.8489999999999995E-2"/>
    <x v="1"/>
    <s v="Todo bien"/>
    <x v="0"/>
    <x v="2"/>
    <n v="477.00421692947594"/>
    <x v="0"/>
    <x v="0"/>
    <s v="Pequeña"/>
    <x v="1"/>
    <n v="1095.0503723171266"/>
  </r>
  <r>
    <s v="Signature Andour Heights"/>
    <x v="53"/>
    <n v="10172"/>
    <n v="2"/>
    <x v="6"/>
    <x v="0"/>
    <s v=" Sector 71 Gurgaon"/>
    <n v="0"/>
    <n v="0"/>
    <n v="2"/>
    <n v="10"/>
    <n v="1"/>
    <x v="0"/>
    <n v="13"/>
    <n v="0"/>
    <n v="0"/>
    <n v="0"/>
    <n v="0"/>
    <n v="542"/>
    <m/>
    <n v="639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0904443570002E-3"/>
    <n v="6500000"/>
    <n v="0.10172"/>
    <x v="1"/>
    <s v="Todo bien"/>
    <x v="1"/>
    <x v="2"/>
    <n v="278.35250008356019"/>
    <x v="0"/>
    <x v="1"/>
    <s v="Pequeña"/>
    <x v="0"/>
    <n v="639.00904443570585"/>
  </r>
  <r>
    <s v="Central Park Flower Valley Aqua Front Towers"/>
    <x v="74"/>
    <n v="9449"/>
    <n v="3"/>
    <x v="4"/>
    <x v="2"/>
    <s v=" Sector-33 Sohna"/>
    <n v="0"/>
    <n v="0"/>
    <n v="3"/>
    <n v="5"/>
    <n v="3"/>
    <x v="1"/>
    <n v="13"/>
    <n v="0"/>
    <n v="0"/>
    <n v="0"/>
    <n v="0"/>
    <n v="1590"/>
    <m/>
    <n v="1799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0"/>
    <x v="1"/>
    <x v="0"/>
    <x v="0"/>
    <x v="0"/>
    <x v="0"/>
    <x v="0"/>
    <x v="0"/>
    <n v="1"/>
    <n v="3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91321832998199E-2"/>
    <n v="17000000"/>
    <n v="9.4490000000000005E-2"/>
    <x v="3"/>
    <s v="Todo bien"/>
    <x v="1"/>
    <x v="1"/>
    <n v="783.70243044766642"/>
    <x v="1"/>
    <x v="2"/>
    <s v="Pequeña"/>
    <x v="1"/>
    <n v="1799.1321832998201"/>
  </r>
  <r>
    <s v="RWA"/>
    <x v="314"/>
    <n v="6000"/>
    <n v="3"/>
    <x v="2"/>
    <x v="2"/>
    <s v=" Sector 7 Gurgaon"/>
    <n v="0"/>
    <n v="0"/>
    <n v="2"/>
    <n v="1"/>
    <n v="1"/>
    <x v="1"/>
    <n v="4"/>
    <n v="0"/>
    <n v="0"/>
    <n v="0"/>
    <n v="0"/>
    <n v="800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0000000000000002E-3"/>
    <n v="4800000"/>
    <n v="0.06"/>
    <x v="0"/>
    <s v="Todo bien"/>
    <x v="0"/>
    <x v="0"/>
    <n v="348.48020072000003"/>
    <x v="0"/>
    <x v="0"/>
    <s v="Pequeña"/>
    <x v="0"/>
    <n v="800"/>
  </r>
  <r>
    <s v="Radhakrishna society"/>
    <x v="52"/>
    <n v="5000"/>
    <n v="2"/>
    <x v="0"/>
    <x v="5"/>
    <s v=" Sector 23A Gurgaon"/>
    <n v="0"/>
    <n v="0"/>
    <n v="2"/>
    <n v="1"/>
    <n v="1"/>
    <x v="0"/>
    <n v="4"/>
    <n v="0"/>
    <n v="0"/>
    <n v="0"/>
    <n v="0"/>
    <n v="1100"/>
    <m/>
    <n v="1100"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0999999999999999E-2"/>
    <n v="5500000"/>
    <n v="0.05"/>
    <x v="1"/>
    <s v="Todo bien"/>
    <x v="0"/>
    <x v="0"/>
    <n v="479.16027599"/>
    <x v="0"/>
    <x v="0"/>
    <s v="Pequeña"/>
    <x v="1"/>
    <n v="1100"/>
  </r>
  <r>
    <s v="AIPL Joy Square"/>
    <x v="4"/>
    <n v="10101"/>
    <n v="1"/>
    <x v="1"/>
    <x v="4"/>
    <s v=" Sector 63A Gurgaon"/>
    <n v="0"/>
    <n v="0"/>
    <n v="1"/>
    <n v="7"/>
    <n v="0"/>
    <x v="3"/>
    <n v="7"/>
    <n v="0"/>
    <n v="0"/>
    <n v="0"/>
    <n v="0"/>
    <n v="350"/>
    <n v="693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300069300069003E-3"/>
    <n v="7000000"/>
    <n v="0.10101"/>
    <x v="1"/>
    <s v="Todo bien"/>
    <x v="0"/>
    <x v="2"/>
    <n v="301.87127574497447"/>
    <x v="0"/>
    <x v="1"/>
    <s v="Pequeña"/>
    <x v="0"/>
    <n v="693.00069300069299"/>
  </r>
  <r>
    <s v="Signature Global City A"/>
    <x v="46"/>
    <n v="14783"/>
    <n v="2"/>
    <x v="1"/>
    <x v="3"/>
    <s v=" Sector 63A Gurgaon"/>
    <n v="0"/>
    <n v="0"/>
    <n v="2"/>
    <n v="2"/>
    <n v="2"/>
    <x v="0"/>
    <n v="4"/>
    <n v="0"/>
    <n v="0"/>
    <n v="0"/>
    <n v="0"/>
    <n v="1050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4850165730907E-2"/>
    <n v="15500000"/>
    <n v="0.14782999999999999"/>
    <x v="3"/>
    <s v="Todo bien"/>
    <x v="0"/>
    <x v="2"/>
    <n v="456.72758499289671"/>
    <x v="0"/>
    <x v="0"/>
    <s v="Pequeña"/>
    <x v="0"/>
    <n v="1048.5016573090713"/>
  </r>
  <r>
    <s v="Housing Board Colony"/>
    <x v="45"/>
    <n v="7317"/>
    <n v="1"/>
    <x v="8"/>
    <x v="1"/>
    <s v=" Sector 51 Gurgaon"/>
    <n v="0"/>
    <n v="0"/>
    <n v="1"/>
    <n v="0"/>
    <n v="2"/>
    <x v="3"/>
    <n v="1"/>
    <n v="0"/>
    <n v="0"/>
    <n v="0"/>
    <n v="0"/>
    <n v="410"/>
    <m/>
    <n v="51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000410004099997E-3"/>
    <n v="3000000"/>
    <n v="7.3169999999999999E-2"/>
    <x v="0"/>
    <s v="Todo bien"/>
    <x v="0"/>
    <x v="2"/>
    <n v="178.5978888478883"/>
    <x v="0"/>
    <x v="1"/>
    <s v="Pequeña"/>
    <x v="0"/>
    <n v="410.00410004100041"/>
  </r>
  <r>
    <s v="Vatika Gurgaon "/>
    <x v="147"/>
    <n v="6987"/>
    <n v="2"/>
    <x v="4"/>
    <x v="5"/>
    <s v=" Sector 83 Gurgaon"/>
    <n v="0"/>
    <n v="0"/>
    <n v="2"/>
    <n v="3"/>
    <n v="2"/>
    <x v="0"/>
    <n v="18"/>
    <n v="0"/>
    <n v="0"/>
    <n v="0"/>
    <n v="0"/>
    <n v="1245.1696006869902"/>
    <m/>
    <n v="1245"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5"/>
    <n v="1"/>
    <n v="0"/>
    <n v="0"/>
    <n v="0"/>
    <n v="0"/>
    <n v="1"/>
    <n v="1"/>
    <n v="0"/>
    <n v="0"/>
    <n v="0"/>
    <n v="0"/>
    <n v="0"/>
    <n v="0"/>
    <n v="0"/>
    <n v="1.24516960068699E-2"/>
    <n v="8700000"/>
    <n v="6.9870000000000002E-2"/>
    <x v="1"/>
    <s v="Todo bien"/>
    <x v="0"/>
    <x v="0"/>
    <n v="542.39619047230576"/>
    <x v="1"/>
    <x v="2"/>
    <s v="Pequeña"/>
    <x v="1"/>
    <n v="1245.1696006869902"/>
  </r>
  <r>
    <s v="Today Callidora"/>
    <x v="50"/>
    <n v="7692"/>
    <n v="2"/>
    <x v="1"/>
    <x v="2"/>
    <s v=" Sector 73 Gurgaon"/>
    <n v="0"/>
    <n v="0"/>
    <n v="2"/>
    <n v="13"/>
    <n v="2"/>
    <x v="0"/>
    <n v="13"/>
    <n v="0"/>
    <n v="0"/>
    <n v="0"/>
    <n v="0"/>
    <n v="130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10000000"/>
    <n v="7.6920000000000002E-2"/>
    <x v="1"/>
    <s v="Todo bien"/>
    <x v="0"/>
    <x v="2"/>
    <n v="566.30297828913024"/>
    <x v="1"/>
    <x v="2"/>
    <s v="Pequeña"/>
    <x v="0"/>
    <n v="1300.0520020800832"/>
  </r>
  <r>
    <s v="Ireo The Corridors"/>
    <x v="35"/>
    <n v="10031"/>
    <n v="2"/>
    <x v="1"/>
    <x v="4"/>
    <s v=" Sector 67A Gurgaon"/>
    <n v="0"/>
    <n v="0"/>
    <n v="2"/>
    <n v="0"/>
    <n v="2"/>
    <x v="0"/>
    <n v="13"/>
    <n v="0"/>
    <n v="0"/>
    <n v="0"/>
    <n v="0"/>
    <n v="1295.9824543913867"/>
    <n v="1296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9824543913799E-2"/>
    <n v="13000000"/>
    <n v="0.10031"/>
    <x v="2"/>
    <s v="Todo bien"/>
    <x v="0"/>
    <x v="2"/>
    <n v="564.53028229488291"/>
    <x v="1"/>
    <x v="2"/>
    <s v="Mediana"/>
    <x v="0"/>
    <n v="1295.9824543913867"/>
  </r>
  <r>
    <s v="Dlf "/>
    <x v="127"/>
    <n v="11428"/>
    <n v="4"/>
    <x v="1"/>
    <x v="3"/>
    <s v=" New Gurgaon"/>
    <n v="0"/>
    <n v="0"/>
    <n v="4"/>
    <n v="4"/>
    <n v="2"/>
    <x v="2"/>
    <n v="10"/>
    <n v="1"/>
    <n v="1"/>
    <n v="0"/>
    <n v="0"/>
    <n v="3500"/>
    <m/>
    <m/>
    <n v="1"/>
    <n v="0"/>
    <n v="0"/>
    <n v="0"/>
    <n v="0"/>
    <n v="1"/>
    <n v="0"/>
    <n v="1"/>
    <n v="1"/>
    <n v="1"/>
    <n v="1"/>
    <n v="1"/>
    <n v="0"/>
    <n v="1"/>
    <n v="1"/>
    <n v="1"/>
    <n v="1"/>
    <n v="38"/>
    <x v="0"/>
    <x v="0"/>
    <x v="1"/>
    <x v="1"/>
    <x v="1"/>
    <x v="1"/>
    <x v="1"/>
    <x v="0"/>
    <x v="0"/>
    <n v="0"/>
    <n v="0"/>
    <n v="0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3.5001750087504301E-2"/>
    <n v="40000000"/>
    <n v="0.11428000000000001"/>
    <x v="5"/>
    <s v="Todo bien"/>
    <x v="2"/>
    <x v="3"/>
    <n v="1524.6771120055971"/>
    <x v="3"/>
    <x v="3"/>
    <s v="Pequeña"/>
    <x v="0"/>
    <n v="3500.1750087504374"/>
  </r>
  <r>
    <s v="ATS Marigold"/>
    <x v="20"/>
    <n v="8604"/>
    <n v="3"/>
    <x v="6"/>
    <x v="2"/>
    <s v=" Sector 89 A Gurgaon"/>
    <n v="0"/>
    <n v="0"/>
    <n v="3"/>
    <n v="12"/>
    <n v="3"/>
    <x v="1"/>
    <n v="22"/>
    <n v="1"/>
    <n v="0"/>
    <n v="0"/>
    <n v="0"/>
    <n v="2150.1627150162712"/>
    <m/>
    <n v="21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627150162701E-2"/>
    <n v="18500000"/>
    <n v="8.6040000000000005E-2"/>
    <x v="3"/>
    <s v="Todo bien"/>
    <x v="0"/>
    <x v="0"/>
    <n v="936.61141813691245"/>
    <x v="1"/>
    <x v="2"/>
    <s v="Pequeña"/>
    <x v="2"/>
    <n v="2150.1627150162712"/>
  </r>
  <r>
    <s v="Shree Vardhman Victoria"/>
    <x v="68"/>
    <n v="8974"/>
    <n v="3"/>
    <x v="1"/>
    <x v="4"/>
    <s v=" Sector 70 Gurgaon"/>
    <n v="0"/>
    <n v="0"/>
    <n v="5"/>
    <n v="0"/>
    <n v="0"/>
    <x v="1"/>
    <n v="21"/>
    <n v="0"/>
    <n v="0"/>
    <n v="0"/>
    <n v="0"/>
    <n v="1950.0780031201248"/>
    <n v="1950"/>
    <m/>
    <m/>
    <m/>
    <m/>
    <m/>
    <m/>
    <m/>
    <m/>
    <m/>
    <m/>
    <m/>
    <m/>
    <m/>
    <m/>
    <m/>
    <m/>
    <m/>
    <m/>
    <n v="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x v="3"/>
    <s v="Todo bien"/>
    <x v="0"/>
    <x v="2"/>
    <n v="849.4544674336953"/>
    <x v="1"/>
    <x v="2"/>
    <s v="Grande"/>
    <x v="0"/>
    <n v="1950.0780031201248"/>
  </r>
  <r>
    <s v="Parsvnath Exotica"/>
    <x v="152"/>
    <n v="14680"/>
    <n v="3"/>
    <x v="7"/>
    <x v="2"/>
    <s v=" Sector 53 Gurgaon"/>
    <n v="0"/>
    <n v="0"/>
    <n v="4"/>
    <n v="12"/>
    <n v="3"/>
    <x v="1"/>
    <n v="15"/>
    <n v="0"/>
    <n v="0"/>
    <n v="0"/>
    <n v="0"/>
    <n v="3269.7547683923704"/>
    <n v="289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697547683923703E-2"/>
    <n v="48000000"/>
    <n v="0.14680000000000001"/>
    <x v="4"/>
    <s v="Todo bien"/>
    <x v="0"/>
    <x v="2"/>
    <n v="1424.305997493188"/>
    <x v="1"/>
    <x v="3"/>
    <s v="Muy grande"/>
    <x v="0"/>
    <n v="3269.7547683923704"/>
  </r>
  <r>
    <s v="Godrej Nature Plus"/>
    <x v="35"/>
    <n v="8349"/>
    <n v="3"/>
    <x v="5"/>
    <x v="2"/>
    <s v=" Sector-33 Sohna"/>
    <n v="0"/>
    <n v="0"/>
    <n v="2"/>
    <n v="18"/>
    <n v="3"/>
    <x v="1"/>
    <n v="22"/>
    <n v="0"/>
    <n v="0"/>
    <n v="0"/>
    <n v="0"/>
    <n v="1557.0727033177627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727033177601E-2"/>
    <n v="13000000"/>
    <n v="8.3489999999999995E-2"/>
    <x v="2"/>
    <s v="Todo bien"/>
    <x v="0"/>
    <x v="1"/>
    <n v="678.26126023475763"/>
    <x v="1"/>
    <x v="2"/>
    <s v="Pequeña"/>
    <x v="1"/>
    <n v="1557.0727033177627"/>
  </r>
  <r>
    <s v="Imperia The Esfera"/>
    <x v="15"/>
    <n v="6272"/>
    <n v="3"/>
    <x v="4"/>
    <x v="4"/>
    <s v=" Sector 37C Gurgaon"/>
    <n v="0"/>
    <n v="0"/>
    <n v="3"/>
    <n v="9"/>
    <n v="3"/>
    <x v="1"/>
    <n v="9"/>
    <n v="0"/>
    <n v="0"/>
    <n v="0"/>
    <n v="0"/>
    <n v="1100"/>
    <n v="143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4897959183E-2"/>
    <n v="9000000"/>
    <n v="6.2719999999999998E-2"/>
    <x v="1"/>
    <s v="Todo bien"/>
    <x v="0"/>
    <x v="2"/>
    <n v="625.06413553890013"/>
    <x v="1"/>
    <x v="0"/>
    <s v="Mediana"/>
    <x v="0"/>
    <n v="1434.9489795918369"/>
  </r>
  <r>
    <s v="DLF Icon"/>
    <x v="329"/>
    <n v="20707"/>
    <n v="4"/>
    <x v="1"/>
    <x v="4"/>
    <s v=" DLF Phase 5"/>
    <n v="0"/>
    <n v="0"/>
    <n v="4"/>
    <n v="18"/>
    <n v="3"/>
    <x v="2"/>
    <n v="18"/>
    <n v="0"/>
    <n v="0"/>
    <n v="0"/>
    <n v="0"/>
    <n v="2800.9851740957165"/>
    <n v="2801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98517409571E-2"/>
    <n v="58000000"/>
    <n v="0.20707"/>
    <x v="4"/>
    <s v="Todo bien"/>
    <x v="0"/>
    <x v="2"/>
    <n v="1220.1098446032715"/>
    <x v="1"/>
    <x v="3"/>
    <s v="Muy grande"/>
    <x v="0"/>
    <n v="2800.9851740957165"/>
  </r>
  <r>
    <s v="AIPL Zen Residences"/>
    <x v="100"/>
    <n v="11094"/>
    <n v="2"/>
    <x v="2"/>
    <x v="4"/>
    <s v=" Sector 70A Gurgaon"/>
    <n v="0"/>
    <n v="0"/>
    <n v="2"/>
    <n v="16"/>
    <n v="2"/>
    <x v="0"/>
    <n v="16"/>
    <n v="0"/>
    <n v="0"/>
    <n v="0"/>
    <n v="0"/>
    <n v="800"/>
    <n v="1262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9433928249499E-2"/>
    <n v="14000000"/>
    <n v="0.11094"/>
    <x v="2"/>
    <s v="Todo bien"/>
    <x v="0"/>
    <x v="2"/>
    <n v="549.70285853614553"/>
    <x v="1"/>
    <x v="0"/>
    <s v="Mediana"/>
    <x v="0"/>
    <n v="1261.9433928249505"/>
  </r>
  <r>
    <s v="CHD Avenue "/>
    <x v="13"/>
    <n v="7917"/>
    <n v="2"/>
    <x v="8"/>
    <x v="4"/>
    <s v=" Sector 71 Gurgaon"/>
    <n v="0"/>
    <n v="0"/>
    <n v="2"/>
    <n v="5"/>
    <n v="0"/>
    <x v="0"/>
    <n v="5"/>
    <n v="0"/>
    <n v="0"/>
    <n v="0"/>
    <n v="0"/>
    <n v="1199.9494758115447"/>
    <n v="120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994947581154E-2"/>
    <n v="9500000"/>
    <n v="7.9170000000000004E-2"/>
    <x v="1"/>
    <s v="Todo bien"/>
    <x v="0"/>
    <x v="2"/>
    <n v="522.6982927308303"/>
    <x v="1"/>
    <x v="0"/>
    <s v="Mediana"/>
    <x v="0"/>
    <n v="1199.9494758115447"/>
  </r>
  <r>
    <s v="Godrej Nature Plus"/>
    <x v="12"/>
    <n v="8670"/>
    <n v="3"/>
    <x v="1"/>
    <x v="2"/>
    <s v=" Sector-33 Sohna"/>
    <n v="0"/>
    <n v="0"/>
    <n v="2"/>
    <n v="17"/>
    <n v="3"/>
    <x v="1"/>
    <n v="22"/>
    <n v="0"/>
    <n v="0"/>
    <n v="0"/>
    <n v="0"/>
    <n v="1557.0934256055364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9342560553E-2"/>
    <n v="13500000"/>
    <n v="8.6699999999999999E-2"/>
    <x v="2"/>
    <s v="Todo bien"/>
    <x v="0"/>
    <x v="1"/>
    <n v="678.2702868685094"/>
    <x v="1"/>
    <x v="2"/>
    <s v="Pequeña"/>
    <x v="1"/>
    <n v="1557.0934256055364"/>
  </r>
  <r>
    <s v="Ansal Heights "/>
    <x v="13"/>
    <n v="5621"/>
    <n v="3"/>
    <x v="1"/>
    <x v="2"/>
    <s v=" Sector 86 Gurgaon"/>
    <n v="0"/>
    <n v="0"/>
    <n v="2"/>
    <n v="6"/>
    <n v="1"/>
    <x v="1"/>
    <n v="14"/>
    <n v="0"/>
    <n v="0"/>
    <n v="0"/>
    <n v="0"/>
    <n v="169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0907311866199E-2"/>
    <n v="9500000"/>
    <n v="5.6210000000000003E-2"/>
    <x v="1"/>
    <s v="Todo bien"/>
    <x v="0"/>
    <x v="2"/>
    <n v="736.20394654865618"/>
    <x v="1"/>
    <x v="2"/>
    <s v="Pequeña"/>
    <x v="0"/>
    <n v="1690.0907311866215"/>
  </r>
  <r>
    <s v="Shree Vardhman Flora"/>
    <x v="4"/>
    <n v="4615"/>
    <n v="2"/>
    <x v="2"/>
    <x v="2"/>
    <s v=" Sector 90 Gurgaon"/>
    <n v="0"/>
    <n v="0"/>
    <n v="2"/>
    <n v="9"/>
    <n v="3"/>
    <x v="0"/>
    <n v="15"/>
    <n v="0"/>
    <n v="1"/>
    <n v="0"/>
    <n v="0"/>
    <n v="1516.7930660888408"/>
    <m/>
    <n v="1352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67930660888399E-2"/>
    <n v="7000000"/>
    <n v="4.6149999999999997E-2"/>
    <x v="1"/>
    <s v="Todo bien"/>
    <x v="0"/>
    <x v="1"/>
    <n v="660.71544015167899"/>
    <x v="1"/>
    <x v="2"/>
    <s v="Pequeña"/>
    <x v="1"/>
    <n v="1516.7930660888408"/>
  </r>
  <r>
    <s v="Experion The Heartsong"/>
    <x v="101"/>
    <n v="18392"/>
    <n v="4"/>
    <x v="6"/>
    <x v="0"/>
    <s v=" Sector 108 Gurgaon"/>
    <n v="0"/>
    <n v="0"/>
    <n v="5"/>
    <n v="2"/>
    <n v="3"/>
    <x v="2"/>
    <n v="14"/>
    <n v="1"/>
    <n v="0"/>
    <n v="0"/>
    <n v="0"/>
    <n v="1631.07"/>
    <n v="2204.25"/>
    <n v="277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7"/>
    <n v="1"/>
    <n v="5"/>
    <n v="1"/>
    <n v="1"/>
    <n v="1"/>
    <n v="1"/>
    <n v="1"/>
    <n v="1"/>
    <n v="1"/>
    <n v="1"/>
    <n v="2"/>
    <n v="1"/>
    <n v="1"/>
    <n v="4"/>
    <n v="1"/>
    <n v="1"/>
    <n v="0"/>
    <n v="0"/>
    <n v="0"/>
    <n v="0"/>
    <n v="0"/>
    <n v="1"/>
    <n v="1.6311439756415799E-2"/>
    <n v="30000000"/>
    <n v="0.18392"/>
    <x v="5"/>
    <s v="Todo bien"/>
    <x v="2"/>
    <x v="5"/>
    <n v="710.52672504349573"/>
    <x v="1"/>
    <x v="2"/>
    <s v="Grande"/>
    <x v="2"/>
    <n v="1631.1439756415832"/>
  </r>
  <r>
    <s v="HCBS Sports Ville"/>
    <x v="328"/>
    <n v="4219"/>
    <n v="1"/>
    <x v="4"/>
    <x v="2"/>
    <s v=" Sohna"/>
    <n v="0"/>
    <n v="0"/>
    <n v="1"/>
    <n v="3"/>
    <n v="1"/>
    <x v="3"/>
    <n v="13"/>
    <n v="0"/>
    <n v="0"/>
    <n v="0"/>
    <n v="0"/>
    <n v="474.04598246029866"/>
    <n v="473.99"/>
    <m/>
    <n v="0"/>
    <n v="0"/>
    <n v="1"/>
    <n v="1"/>
    <n v="1"/>
    <n v="0"/>
    <n v="0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404598246028997E-3"/>
    <n v="2000000"/>
    <n v="4.2189999999999998E-2"/>
    <x v="0"/>
    <s v="Todo bien"/>
    <x v="0"/>
    <x v="4"/>
    <n v="206.49454889783931"/>
    <x v="0"/>
    <x v="1"/>
    <s v="Pequeña"/>
    <x v="0"/>
    <n v="474.04598246029866"/>
  </r>
  <r>
    <s v="Sare Crescent Parc"/>
    <x v="1"/>
    <n v="5000"/>
    <n v="2"/>
    <x v="1"/>
    <x v="5"/>
    <s v=" Sector 92 Gurgaon"/>
    <n v="0"/>
    <n v="0"/>
    <n v="2"/>
    <n v="2"/>
    <n v="3"/>
    <x v="0"/>
    <n v="4"/>
    <n v="0"/>
    <n v="0"/>
    <n v="0"/>
    <n v="0"/>
    <n v="1000"/>
    <m/>
    <n v="1000"/>
    <n v="0"/>
    <n v="0"/>
    <n v="1"/>
    <n v="0"/>
    <n v="0"/>
    <n v="0"/>
    <n v="0"/>
    <n v="1"/>
    <n v="1"/>
    <n v="0"/>
    <n v="0"/>
    <n v="1"/>
    <n v="1"/>
    <n v="0"/>
    <n v="0"/>
    <n v="1"/>
    <n v="1"/>
    <n v="2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1"/>
    <n v="435.60025090000005"/>
    <x v="0"/>
    <x v="0"/>
    <s v="Pequeña"/>
    <x v="0"/>
    <n v="1000"/>
  </r>
  <r>
    <s v="MM Capital"/>
    <x v="6"/>
    <n v="12012"/>
    <n v="3"/>
    <x v="1"/>
    <x v="3"/>
    <s v=" Sector 113 Gurgaon"/>
    <n v="0"/>
    <n v="0"/>
    <n v="3"/>
    <n v="24"/>
    <n v="2"/>
    <x v="1"/>
    <n v="36"/>
    <n v="0"/>
    <n v="0"/>
    <n v="0"/>
    <n v="0"/>
    <n v="1665.0016650016648"/>
    <m/>
    <n v="1665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00166500166E-2"/>
    <n v="20000000"/>
    <n v="0.12012"/>
    <x v="3"/>
    <s v="Todo bien"/>
    <x v="0"/>
    <x v="1"/>
    <n v="725.27514302364091"/>
    <x v="1"/>
    <x v="2"/>
    <s v="Pequeña"/>
    <x v="1"/>
    <n v="1665.0016650016648"/>
  </r>
  <r>
    <s v="ATS Marigold"/>
    <x v="74"/>
    <n v="9714"/>
    <n v="3"/>
    <x v="5"/>
    <x v="3"/>
    <s v=" Sector 89 A Gurgaon"/>
    <n v="0"/>
    <n v="0"/>
    <n v="3"/>
    <n v="8"/>
    <n v="3"/>
    <x v="1"/>
    <n v="22"/>
    <n v="0"/>
    <n v="1"/>
    <n v="0"/>
    <n v="0"/>
    <n v="1750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514721021199E-2"/>
    <n v="17000000"/>
    <n v="9.7140000000000004E-2"/>
    <x v="3"/>
    <s v="Todo bien"/>
    <x v="0"/>
    <x v="3"/>
    <n v="762.32286033559785"/>
    <x v="1"/>
    <x v="2"/>
    <s v="Pequeña"/>
    <x v="0"/>
    <n v="1750.0514721021207"/>
  </r>
  <r>
    <s v="AVL  Gurgaon"/>
    <x v="53"/>
    <n v="8953"/>
    <n v="2"/>
    <x v="1"/>
    <x v="0"/>
    <s v=" Sector 36A Gurgaon"/>
    <n v="0"/>
    <n v="0"/>
    <n v="2"/>
    <n v="7"/>
    <n v="2"/>
    <x v="0"/>
    <n v="14"/>
    <n v="0"/>
    <n v="0"/>
    <n v="0"/>
    <n v="0"/>
    <n v="726.01362671730146"/>
    <m/>
    <n v="726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601362671730002E-3"/>
    <n v="6500000"/>
    <n v="8.9529999999999998E-2"/>
    <x v="1"/>
    <s v="Todo bien"/>
    <x v="0"/>
    <x v="4"/>
    <n v="316.25171795487483"/>
    <x v="0"/>
    <x v="0"/>
    <s v="Pequeña"/>
    <x v="0"/>
    <n v="726.01362671730146"/>
  </r>
  <r>
    <s v="DLF The Arbour"/>
    <x v="395"/>
    <n v="19000"/>
    <n v="4"/>
    <x v="0"/>
    <x v="4"/>
    <s v=" Sector 63 Gurgaon"/>
    <n v="0"/>
    <n v="0"/>
    <n v="4"/>
    <n v="15"/>
    <n v="3"/>
    <x v="2"/>
    <n v="15"/>
    <n v="0"/>
    <n v="0"/>
    <n v="0"/>
    <n v="0"/>
    <n v="2200"/>
    <n v="3956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78947368420998E-2"/>
    <n v="75200000"/>
    <n v="0.19"/>
    <x v="6"/>
    <s v="Todo bien"/>
    <x v="0"/>
    <x v="2"/>
    <n v="1724.0599404042082"/>
    <x v="3"/>
    <x v="2"/>
    <s v="Muy grande"/>
    <x v="0"/>
    <n v="3957.8947368421054"/>
  </r>
  <r>
    <s v="MM Capital"/>
    <x v="167"/>
    <n v="12489"/>
    <n v="4"/>
    <x v="2"/>
    <x v="3"/>
    <s v=" Sector 113 Gurgaon"/>
    <n v="0"/>
    <n v="0"/>
    <n v="4"/>
    <n v="3"/>
    <n v="3"/>
    <x v="2"/>
    <n v="36"/>
    <n v="1"/>
    <n v="0"/>
    <n v="0"/>
    <n v="0"/>
    <n v="2298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0222595884298E-2"/>
    <n v="28700000"/>
    <n v="0.12489"/>
    <x v="5"/>
    <s v="Todo bien"/>
    <x v="0"/>
    <x v="3"/>
    <n v="1001.019072850505"/>
    <x v="1"/>
    <x v="2"/>
    <s v="Pequeña"/>
    <x v="0"/>
    <n v="2298.0222595884379"/>
  </r>
  <r>
    <s v="Godrej Nature Plus"/>
    <x v="56"/>
    <n v="14379"/>
    <n v="2"/>
    <x v="1"/>
    <x v="2"/>
    <s v=" Sector-33 Sohna"/>
    <n v="0"/>
    <n v="0"/>
    <n v="2"/>
    <n v="1"/>
    <n v="3"/>
    <x v="0"/>
    <n v="22"/>
    <n v="0"/>
    <n v="0"/>
    <n v="0"/>
    <n v="0"/>
    <n v="77.53"/>
    <m/>
    <m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455038597954993E-3"/>
    <n v="12000000"/>
    <n v="0.14379"/>
    <x v="2"/>
    <s v="Todo bien"/>
    <x v="0"/>
    <x v="4"/>
    <n v="363.53035752138379"/>
    <x v="0"/>
    <x v="1"/>
    <s v="Pequeña"/>
    <x v="0"/>
    <n v="834.55038597955354"/>
  </r>
  <r>
    <s v="Tulip Lemon"/>
    <x v="91"/>
    <n v="10000"/>
    <n v="2"/>
    <x v="1"/>
    <x v="0"/>
    <s v=" Sector 69 Gurgaon"/>
    <n v="0"/>
    <n v="0"/>
    <n v="1"/>
    <n v="12"/>
    <n v="1"/>
    <x v="0"/>
    <n v="14"/>
    <n v="0"/>
    <n v="0"/>
    <n v="0"/>
    <n v="0"/>
    <n v="600"/>
    <m/>
    <m/>
    <n v="1"/>
    <n v="0"/>
    <n v="1"/>
    <n v="0"/>
    <n v="0"/>
    <n v="0"/>
    <n v="0"/>
    <n v="0"/>
    <n v="1"/>
    <n v="0"/>
    <n v="0"/>
    <n v="0"/>
    <n v="0"/>
    <n v="0"/>
    <n v="1"/>
    <n v="0"/>
    <n v="0"/>
    <n v="10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0000000000000001E-3"/>
    <n v="6000000"/>
    <n v="0.1"/>
    <x v="1"/>
    <s v="Todo bien"/>
    <x v="0"/>
    <x v="2"/>
    <n v="261.36015054000001"/>
    <x v="0"/>
    <x v="1"/>
    <s v="Pequeña"/>
    <x v="0"/>
    <n v="600"/>
  </r>
  <r>
    <s v="Shree Vardhman Victoria"/>
    <x v="7"/>
    <n v="9230"/>
    <n v="3"/>
    <x v="1"/>
    <x v="2"/>
    <s v=" Sector 70 Gurgaon"/>
    <n v="0"/>
    <n v="0"/>
    <n v="5"/>
    <n v="0"/>
    <n v="3"/>
    <x v="1"/>
    <n v="18"/>
    <n v="0"/>
    <n v="0"/>
    <n v="0"/>
    <n v="0"/>
    <n v="1950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x v="3"/>
    <s v="Todo bien"/>
    <x v="1"/>
    <x v="4"/>
    <n v="849.49128019501404"/>
    <x v="1"/>
    <x v="2"/>
    <s v="Pequeña"/>
    <x v="0"/>
    <n v="1950.1625135427953"/>
  </r>
  <r>
    <s v="Signature Global Synera"/>
    <x v="314"/>
    <n v="8026"/>
    <n v="2"/>
    <x v="1"/>
    <x v="0"/>
    <s v=" Sector 81 Gurgaon"/>
    <n v="0"/>
    <n v="0"/>
    <n v="2"/>
    <n v="14"/>
    <n v="1"/>
    <x v="0"/>
    <n v="14"/>
    <n v="0"/>
    <n v="0"/>
    <n v="0"/>
    <n v="0"/>
    <n v="498"/>
    <m/>
    <n v="598"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9805631696983998E-3"/>
    <n v="4800000"/>
    <n v="8.0259999999999998E-2"/>
    <x v="0"/>
    <s v="Todo bien"/>
    <x v="1"/>
    <x v="2"/>
    <n v="260.51348172439225"/>
    <x v="0"/>
    <x v="1"/>
    <s v="Pequeña"/>
    <x v="0"/>
    <n v="598.05631696984801"/>
  </r>
  <r>
    <s v="Sahara Grace"/>
    <x v="285"/>
    <n v="12420"/>
    <n v="3"/>
    <x v="1"/>
    <x v="1"/>
    <s v=" Chakkarpur"/>
    <n v="0"/>
    <n v="0"/>
    <n v="4"/>
    <n v="5"/>
    <n v="3"/>
    <x v="1"/>
    <n v="6"/>
    <n v="1"/>
    <n v="0"/>
    <n v="0"/>
    <n v="1"/>
    <n v="3462.1578099838966"/>
    <m/>
    <n v="3462.01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3.4621578099838901E-2"/>
    <n v="43000000"/>
    <n v="0.1242"/>
    <x v="4"/>
    <s v="Todo bien"/>
    <x v="1"/>
    <x v="2"/>
    <n v="1508.1168106843772"/>
    <x v="3"/>
    <x v="3"/>
    <s v="Pequeña"/>
    <x v="3"/>
    <n v="3462.1578099838966"/>
  </r>
  <r>
    <s v="Smart World Gems"/>
    <x v="15"/>
    <n v="8159"/>
    <n v="2"/>
    <x v="1"/>
    <x v="2"/>
    <s v=" Sector 89 Gurgaon"/>
    <n v="0"/>
    <n v="0"/>
    <n v="2"/>
    <n v="3"/>
    <n v="2"/>
    <x v="0"/>
    <n v="4"/>
    <n v="0"/>
    <n v="1"/>
    <n v="0"/>
    <n v="0"/>
    <n v="1103.0763573967399"/>
    <m/>
    <n v="110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x v="1"/>
    <s v="Todo bien"/>
    <x v="0"/>
    <x v="5"/>
    <n v="480.50033804387368"/>
    <x v="0"/>
    <x v="0"/>
    <s v="Pequeña"/>
    <x v="1"/>
    <n v="1103.0763573967399"/>
  </r>
  <r>
    <s v="Aipl Peaceful Homes"/>
    <x v="76"/>
    <n v="12791"/>
    <n v="3"/>
    <x v="2"/>
    <x v="4"/>
    <s v=" Sector 70A Gurgaon"/>
    <n v="0"/>
    <n v="0"/>
    <n v="3"/>
    <n v="14"/>
    <n v="3"/>
    <x v="1"/>
    <n v="14"/>
    <n v="0"/>
    <n v="0"/>
    <n v="0"/>
    <n v="0"/>
    <n v="2149.9491830193106"/>
    <n v="215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99491830193101E-2"/>
    <n v="27500000"/>
    <n v="0.12791"/>
    <x v="5"/>
    <s v="Todo bien"/>
    <x v="0"/>
    <x v="2"/>
    <n v="936.51840354546152"/>
    <x v="1"/>
    <x v="2"/>
    <s v="Grande"/>
    <x v="0"/>
    <n v="2149.9491830193106"/>
  </r>
  <r>
    <s v="BPTP Astaire Gardens"/>
    <x v="56"/>
    <n v="7058"/>
    <n v="3"/>
    <x v="1"/>
    <x v="0"/>
    <s v=" Sector 70A Gurgaon"/>
    <n v="0"/>
    <n v="0"/>
    <n v="3"/>
    <n v="2"/>
    <n v="3"/>
    <x v="1"/>
    <n v="3"/>
    <n v="0"/>
    <n v="0"/>
    <n v="0"/>
    <n v="0"/>
    <n v="1700.1983564749221"/>
    <n v="1450"/>
    <n v="1700"/>
    <n v="0"/>
    <n v="0"/>
    <n v="0"/>
    <n v="1"/>
    <n v="0"/>
    <n v="0"/>
    <n v="1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2"/>
    <n v="1"/>
    <n v="1"/>
    <n v="0"/>
    <n v="0"/>
    <n v="0"/>
    <n v="0"/>
    <n v="0"/>
    <n v="2"/>
    <n v="1.7001983564749201E-2"/>
    <n v="12000000"/>
    <n v="7.0580000000000004E-2"/>
    <x v="2"/>
    <s v="Todo bien"/>
    <x v="1"/>
    <x v="0"/>
    <n v="740.60683066024285"/>
    <x v="1"/>
    <x v="2"/>
    <s v="Mediana"/>
    <x v="1"/>
    <n v="1700.1983564749221"/>
  </r>
  <r>
    <s v="Viridian The Plaza "/>
    <x v="60"/>
    <n v="6571"/>
    <n v="1"/>
    <x v="1"/>
    <x v="2"/>
    <s v=" Sector 106 Gurgaon"/>
    <n v="0"/>
    <n v="0"/>
    <n v="1"/>
    <n v="18"/>
    <n v="1"/>
    <x v="3"/>
    <n v="26"/>
    <n v="0"/>
    <n v="0"/>
    <n v="0"/>
    <n v="0"/>
    <n v="700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4565515142001E-3"/>
    <n v="4600000"/>
    <n v="6.5710000000000005E-2"/>
    <x v="0"/>
    <s v="Todo bien"/>
    <x v="0"/>
    <x v="4"/>
    <n v="304.94006302541345"/>
    <x v="0"/>
    <x v="0"/>
    <s v="Pequeña"/>
    <x v="0"/>
    <n v="700.04565515142292"/>
  </r>
  <r>
    <s v="Signature Global City"/>
    <x v="8"/>
    <n v="8494"/>
    <n v="3"/>
    <x v="5"/>
    <x v="3"/>
    <s v=" Sector 37D Gurgaon"/>
    <n v="0"/>
    <n v="0"/>
    <n v="3"/>
    <n v="2"/>
    <n v="2"/>
    <x v="1"/>
    <n v="4"/>
    <n v="0"/>
    <n v="0"/>
    <n v="0"/>
    <n v="0"/>
    <n v="1295"/>
    <m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1"/>
    <x v="1"/>
    <x v="1"/>
    <x v="1"/>
    <x v="1"/>
    <x v="0"/>
    <x v="0"/>
    <x v="1"/>
    <n v="1"/>
    <n v="3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17871438599E-2"/>
    <n v="11000000"/>
    <n v="8.4940000000000002E-2"/>
    <x v="2"/>
    <s v="Todo bien"/>
    <x v="0"/>
    <x v="0"/>
    <n v="564.11617140334079"/>
    <x v="1"/>
    <x v="2"/>
    <s v="Pequeña"/>
    <x v="0"/>
    <n v="1295.0317871438663"/>
  </r>
  <r>
    <s v="Pareena Mi Casa"/>
    <x v="81"/>
    <n v="9236"/>
    <n v="2"/>
    <x v="4"/>
    <x v="2"/>
    <s v=" Sector 68 Gurgaon"/>
    <n v="0"/>
    <n v="0"/>
    <n v="2"/>
    <n v="8"/>
    <n v="3"/>
    <x v="0"/>
    <n v="35"/>
    <n v="0"/>
    <n v="0"/>
    <n v="0"/>
    <n v="0"/>
    <n v="1245.12776093547"/>
    <m/>
    <n v="12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776093546E-2"/>
    <n v="11500000"/>
    <n v="9.2359999999999998E-2"/>
    <x v="2"/>
    <s v="Todo bien"/>
    <x v="0"/>
    <x v="1"/>
    <n v="542.37796506604161"/>
    <x v="1"/>
    <x v="2"/>
    <s v="Pequeña"/>
    <x v="1"/>
    <n v="1245.12776093547"/>
  </r>
  <r>
    <s v="Huda Housing Board Society"/>
    <x v="0"/>
    <n v="9745"/>
    <n v="1"/>
    <x v="7"/>
    <x v="5"/>
    <s v=" Sector 52 Gurgaon"/>
    <n v="0"/>
    <n v="0"/>
    <n v="1"/>
    <n v="0"/>
    <n v="0"/>
    <x v="3"/>
    <n v="1"/>
    <n v="0"/>
    <n v="0"/>
    <n v="1"/>
    <n v="0"/>
    <n v="461.77"/>
    <m/>
    <m/>
    <n v="0"/>
    <n v="1"/>
    <n v="1"/>
    <n v="0"/>
    <n v="0"/>
    <n v="0"/>
    <n v="1"/>
    <n v="1"/>
    <n v="0"/>
    <n v="0"/>
    <n v="0"/>
    <n v="0"/>
    <n v="0"/>
    <n v="0"/>
    <n v="0"/>
    <n v="0"/>
    <n v="1"/>
    <n v="16"/>
    <x v="0"/>
    <x v="0"/>
    <x v="0"/>
    <x v="0"/>
    <x v="0"/>
    <x v="0"/>
    <x v="0"/>
    <x v="1"/>
    <x v="0"/>
    <n v="0"/>
    <n v="1"/>
    <n v="1"/>
    <n v="2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6177526936889996E-3"/>
    <n v="4500000"/>
    <n v="9.7449999999999995E-2"/>
    <x v="0"/>
    <s v="Todo bien"/>
    <x v="1"/>
    <x v="0"/>
    <n v="201.14942319650791"/>
    <x v="0"/>
    <x v="1"/>
    <s v="Pequeña"/>
    <x v="0"/>
    <n v="461.77526936890717"/>
  </r>
  <r>
    <s v="Signature The Serenas"/>
    <x v="0"/>
    <n v="8474"/>
    <n v="2"/>
    <x v="1"/>
    <x v="2"/>
    <s v=" Sohna"/>
    <n v="0"/>
    <n v="0"/>
    <n v="2"/>
    <n v="10"/>
    <n v="1"/>
    <x v="0"/>
    <n v="12"/>
    <n v="0"/>
    <n v="0"/>
    <n v="0"/>
    <n v="0"/>
    <n v="531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03611045551002E-3"/>
    <n v="4500000"/>
    <n v="8.4739999999999996E-2"/>
    <x v="0"/>
    <s v="Todo bien"/>
    <x v="0"/>
    <x v="2"/>
    <n v="231.3194629513803"/>
    <x v="0"/>
    <x v="1"/>
    <s v="Pequeña"/>
    <x v="0"/>
    <n v="531.03611045551099"/>
  </r>
  <r>
    <s v="Signature Global Orchard Avenue"/>
    <x v="2"/>
    <n v="5479"/>
    <n v="2"/>
    <x v="1"/>
    <x v="4"/>
    <s v=" Sector 93 Gurgaon"/>
    <n v="0"/>
    <n v="0"/>
    <n v="2"/>
    <n v="0"/>
    <n v="0"/>
    <x v="0"/>
    <n v="16"/>
    <n v="0"/>
    <n v="0"/>
    <n v="0"/>
    <n v="0"/>
    <n v="730.06022996897241"/>
    <n v="730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006022996896999E-3"/>
    <n v="4000000"/>
    <n v="5.4789999999999998E-2"/>
    <x v="0"/>
    <s v="Todo bien"/>
    <x v="0"/>
    <x v="2"/>
    <n v="318.01441934659505"/>
    <x v="0"/>
    <x v="0"/>
    <s v="Pequeña"/>
    <x v="0"/>
    <n v="730.06022996897241"/>
  </r>
  <r>
    <s v="Trisara Our Homes "/>
    <x v="396"/>
    <n v="4478"/>
    <n v="2"/>
    <x v="1"/>
    <x v="4"/>
    <s v=" Sohna"/>
    <n v="0"/>
    <n v="0"/>
    <n v="2"/>
    <n v="1"/>
    <n v="2"/>
    <x v="0"/>
    <n v="1"/>
    <n v="0"/>
    <n v="0"/>
    <n v="0"/>
    <n v="0"/>
    <n v="602"/>
    <n v="9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33720410009E-3"/>
    <n v="4029999.9999999995"/>
    <n v="4.478E-2"/>
    <x v="0"/>
    <s v="Todo bien"/>
    <x v="0"/>
    <x v="2"/>
    <n v="392.02077068490013"/>
    <x v="0"/>
    <x v="0"/>
    <s v="Mediana"/>
    <x v="0"/>
    <n v="899.9553372041089"/>
  </r>
  <r>
    <s v="MM Heights"/>
    <x v="39"/>
    <n v="13608"/>
    <n v="2"/>
    <x v="1"/>
    <x v="3"/>
    <s v=" Sector 65 Gurgaon"/>
    <n v="0"/>
    <n v="0"/>
    <n v="2"/>
    <n v="5"/>
    <n v="3"/>
    <x v="0"/>
    <n v="35"/>
    <n v="0"/>
    <n v="0"/>
    <n v="0"/>
    <n v="0"/>
    <n v="143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34391534391499E-2"/>
    <n v="22500000"/>
    <n v="0.13608000000000001"/>
    <x v="3"/>
    <s v="Todo bien"/>
    <x v="0"/>
    <x v="2"/>
    <n v="720.23851008597728"/>
    <x v="1"/>
    <x v="2"/>
    <s v="Pequeña"/>
    <x v="0"/>
    <n v="1653.4391534391534"/>
  </r>
  <r>
    <s v="Adani Brahma Samsara Vilasa"/>
    <x v="107"/>
    <n v="10000"/>
    <n v="3"/>
    <x v="0"/>
    <x v="2"/>
    <s v=" Sector 63 Gurgaon"/>
    <n v="0"/>
    <n v="0"/>
    <n v="3"/>
    <n v="1"/>
    <n v="3"/>
    <x v="1"/>
    <n v="4"/>
    <n v="0"/>
    <n v="0"/>
    <n v="0"/>
    <n v="0"/>
    <n v="3400"/>
    <m/>
    <n v="3400"/>
    <n v="1"/>
    <n v="0"/>
    <n v="0"/>
    <n v="1"/>
    <n v="1"/>
    <n v="0"/>
    <n v="0"/>
    <n v="1"/>
    <n v="1"/>
    <n v="1"/>
    <n v="1"/>
    <n v="0"/>
    <n v="1"/>
    <n v="1"/>
    <n v="1"/>
    <n v="1"/>
    <n v="1"/>
    <n v="30"/>
    <x v="0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3.4000000000000002E-2"/>
    <n v="34000000"/>
    <n v="0.1"/>
    <x v="5"/>
    <s v="Todo bien"/>
    <x v="1"/>
    <x v="1"/>
    <n v="1481.0408530600002"/>
    <x v="1"/>
    <x v="3"/>
    <s v="Pequeña"/>
    <x v="3"/>
    <n v="3400"/>
  </r>
  <r>
    <s v="Vatika Independent Floors"/>
    <x v="59"/>
    <n v="8056"/>
    <n v="4"/>
    <x v="1"/>
    <x v="4"/>
    <s v=" Sector 82 Gurgaon"/>
    <n v="0"/>
    <n v="0"/>
    <n v="3"/>
    <n v="1"/>
    <n v="0"/>
    <x v="2"/>
    <n v="1"/>
    <n v="0"/>
    <n v="0"/>
    <n v="0"/>
    <n v="0"/>
    <n v="1799.9006951340614"/>
    <n v="18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006951340601E-2"/>
    <n v="14500000"/>
    <n v="8.0560000000000007E-2"/>
    <x v="2"/>
    <s v="Todo bien"/>
    <x v="0"/>
    <x v="2"/>
    <n v="784.03719439548104"/>
    <x v="1"/>
    <x v="2"/>
    <s v="Mediana"/>
    <x v="0"/>
    <n v="1799.9006951340614"/>
  </r>
  <r>
    <s v="Tulip Violet"/>
    <x v="56"/>
    <n v="10909"/>
    <n v="2"/>
    <x v="1"/>
    <x v="4"/>
    <s v=" Sector 69 Gurgaon"/>
    <n v="0"/>
    <n v="0"/>
    <n v="3"/>
    <n v="0"/>
    <n v="0"/>
    <x v="0"/>
    <n v="15"/>
    <n v="0"/>
    <n v="0"/>
    <n v="0"/>
    <n v="0"/>
    <n v="1100.0091667430561"/>
    <n v="11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0916674305E-2"/>
    <n v="12000000"/>
    <n v="0.10909000000000001"/>
    <x v="2"/>
    <s v="Todo bien"/>
    <x v="0"/>
    <x v="2"/>
    <n v="479.16426902557254"/>
    <x v="0"/>
    <x v="0"/>
    <s v="Mediana"/>
    <x v="0"/>
    <n v="1100.0091667430561"/>
  </r>
  <r>
    <s v="MM Heights"/>
    <x v="49"/>
    <n v="15000"/>
    <n v="2"/>
    <x v="1"/>
    <x v="3"/>
    <s v=" Sector 65 Gurgaon"/>
    <n v="0"/>
    <n v="0"/>
    <n v="2"/>
    <n v="4"/>
    <n v="3"/>
    <x v="0"/>
    <n v="34"/>
    <n v="0"/>
    <n v="0"/>
    <n v="0"/>
    <n v="0"/>
    <n v="1266.6666666666667"/>
    <m/>
    <n v="1261"/>
    <n v="0"/>
    <n v="0"/>
    <n v="0"/>
    <n v="1"/>
    <n v="1"/>
    <n v="0"/>
    <n v="0"/>
    <n v="1"/>
    <n v="1"/>
    <n v="0"/>
    <n v="0"/>
    <n v="1"/>
    <n v="1"/>
    <n v="0"/>
    <n v="0"/>
    <n v="1"/>
    <n v="1"/>
    <n v="2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666666666666E-2"/>
    <n v="19000000"/>
    <n v="0.15"/>
    <x v="3"/>
    <s v="Todo bien"/>
    <x v="0"/>
    <x v="1"/>
    <n v="551.76031780666381"/>
    <x v="1"/>
    <x v="2"/>
    <s v="Pequeña"/>
    <x v="1"/>
    <n v="1266.6666666666667"/>
  </r>
  <r>
    <s v="Godrej Icon"/>
    <x v="71"/>
    <n v="9041"/>
    <n v="3"/>
    <x v="1"/>
    <x v="2"/>
    <s v=" Sector 88A Gurgaon"/>
    <n v="0"/>
    <n v="0"/>
    <n v="3"/>
    <n v="12"/>
    <n v="3"/>
    <x v="1"/>
    <n v="12"/>
    <n v="0"/>
    <n v="0"/>
    <n v="0"/>
    <n v="0"/>
    <n v="1825.0193562658997"/>
    <m/>
    <n v="1825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1935626589E-2"/>
    <n v="16500000"/>
    <n v="9.0410000000000004E-2"/>
    <x v="3"/>
    <s v="Todo bien"/>
    <x v="0"/>
    <x v="3"/>
    <n v="794.97888948677826"/>
    <x v="1"/>
    <x v="2"/>
    <s v="Pequeña"/>
    <x v="1"/>
    <n v="1825.0193562658997"/>
  </r>
  <r>
    <s v="MM Skywalk"/>
    <x v="58"/>
    <n v="13379"/>
    <n v="3"/>
    <x v="1"/>
    <x v="2"/>
    <s v=" Sector 74 Gurgaon"/>
    <n v="0"/>
    <n v="0"/>
    <n v="3"/>
    <n v="13"/>
    <n v="3"/>
    <x v="1"/>
    <n v="30"/>
    <n v="0"/>
    <n v="0"/>
    <n v="0"/>
    <n v="1"/>
    <n v="2018.0880484341133"/>
    <m/>
    <n v="2018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08804843411E-2"/>
    <n v="27000000"/>
    <n v="0.13378999999999999"/>
    <x v="5"/>
    <s v="Todo bien"/>
    <x v="0"/>
    <x v="5"/>
    <n v="879.07966023618974"/>
    <x v="1"/>
    <x v="2"/>
    <s v="Pequeña"/>
    <x v="2"/>
    <n v="2018.0880484341133"/>
  </r>
  <r>
    <s v="Signature Global Park"/>
    <x v="112"/>
    <n v="6388"/>
    <n v="2"/>
    <x v="4"/>
    <x v="2"/>
    <s v=" Sohna"/>
    <n v="0"/>
    <n v="0"/>
    <n v="2"/>
    <n v="4"/>
    <n v="3"/>
    <x v="0"/>
    <n v="4"/>
    <n v="0"/>
    <n v="0"/>
    <n v="0"/>
    <n v="0"/>
    <n v="528.29999999999995"/>
    <m/>
    <n v="845.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533500313087005E-3"/>
    <n v="5400000"/>
    <n v="6.3880000000000006E-2"/>
    <x v="1"/>
    <s v="Todo bien"/>
    <x v="0"/>
    <x v="1"/>
    <n v="368.22813945835929"/>
    <x v="0"/>
    <x v="1"/>
    <s v="Pequeña"/>
    <x v="0"/>
    <n v="845.33500313087029"/>
  </r>
  <r>
    <s v="HCBS Sports Ville"/>
    <x v="88"/>
    <n v="3142"/>
    <n v="1"/>
    <x v="1"/>
    <x v="2"/>
    <s v=" Sohna"/>
    <n v="0"/>
    <n v="0"/>
    <n v="1"/>
    <n v="1"/>
    <n v="1"/>
    <x v="3"/>
    <n v="13"/>
    <n v="0"/>
    <n v="0"/>
    <n v="0"/>
    <n v="0"/>
    <n v="700"/>
    <m/>
    <m/>
    <n v="0"/>
    <n v="0"/>
    <n v="1"/>
    <n v="1"/>
    <n v="1"/>
    <n v="0"/>
    <n v="0"/>
    <n v="1"/>
    <n v="1"/>
    <n v="1"/>
    <n v="0"/>
    <n v="0"/>
    <n v="1"/>
    <n v="0"/>
    <n v="1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19096117121997E-3"/>
    <n v="2200000"/>
    <n v="3.1419999999999997E-2"/>
    <x v="0"/>
    <s v="Todo bien"/>
    <x v="0"/>
    <x v="3"/>
    <n v="305.00335836409562"/>
    <x v="0"/>
    <x v="0"/>
    <s v="Pequeña"/>
    <x v="0"/>
    <n v="700.19096117122865"/>
  </r>
  <r>
    <s v="GLS Arawali Homes"/>
    <x v="11"/>
    <n v="6035"/>
    <n v="2"/>
    <x v="4"/>
    <x v="0"/>
    <s v=" Sohna"/>
    <n v="0"/>
    <n v="0"/>
    <n v="2"/>
    <n v="9"/>
    <n v="2"/>
    <x v="0"/>
    <n v="13"/>
    <n v="0"/>
    <n v="0"/>
    <n v="0"/>
    <n v="0"/>
    <n v="480.53"/>
    <m/>
    <m/>
    <n v="0"/>
    <n v="0"/>
    <n v="1"/>
    <n v="1"/>
    <n v="0"/>
    <n v="0"/>
    <n v="0"/>
    <n v="1"/>
    <n v="1"/>
    <n v="1"/>
    <n v="1"/>
    <n v="0"/>
    <n v="1"/>
    <n v="1"/>
    <n v="0"/>
    <n v="0"/>
    <n v="1"/>
    <n v="31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53024026511997E-3"/>
    <n v="2900000"/>
    <n v="6.0350000000000001E-2"/>
    <x v="0"/>
    <s v="Todo bien"/>
    <x v="0"/>
    <x v="3"/>
    <n v="209.31909322452356"/>
    <x v="0"/>
    <x v="1"/>
    <s v="Pequeña"/>
    <x v="0"/>
    <n v="480.53024026512014"/>
  </r>
  <r>
    <s v="Global Hill View"/>
    <x v="397"/>
    <n v="4271"/>
    <n v="2"/>
    <x v="1"/>
    <x v="4"/>
    <s v=" Sector 11 Gurgaon"/>
    <n v="0"/>
    <n v="0"/>
    <n v="2"/>
    <n v="11"/>
    <n v="0"/>
    <x v="0"/>
    <n v="11"/>
    <n v="0"/>
    <n v="0"/>
    <n v="0"/>
    <n v="0"/>
    <n v="760.94591430578328"/>
    <n v="7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94591430577998E-3"/>
    <n v="3250000"/>
    <n v="4.2709999999999998E-2"/>
    <x v="0"/>
    <s v="Todo bien"/>
    <x v="0"/>
    <x v="2"/>
    <n v="331.4682311929277"/>
    <x v="0"/>
    <x v="0"/>
    <s v="Pequeña"/>
    <x v="0"/>
    <n v="760.94591430578328"/>
  </r>
  <r>
    <s v="Zara Aavaas"/>
    <x v="328"/>
    <n v="6645"/>
    <n v="1"/>
    <x v="2"/>
    <x v="4"/>
    <s v=" Sector 104 Gurgaon"/>
    <n v="0"/>
    <n v="0"/>
    <n v="1"/>
    <n v="3"/>
    <n v="1"/>
    <x v="3"/>
    <n v="3"/>
    <n v="0"/>
    <n v="0"/>
    <n v="0"/>
    <n v="0"/>
    <n v="300.9781790820166"/>
    <n v="301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97817908200999E-3"/>
    <n v="2000000"/>
    <n v="6.6449999999999995E-2"/>
    <x v="0"/>
    <s v="Todo bien"/>
    <x v="0"/>
    <x v="2"/>
    <n v="131.1061703235487"/>
    <x v="0"/>
    <x v="1"/>
    <s v="Pequeña"/>
    <x v="0"/>
    <n v="300.9781790820166"/>
  </r>
  <r>
    <s v="Chintamani"/>
    <x v="275"/>
    <n v="8509"/>
    <n v="3"/>
    <x v="2"/>
    <x v="4"/>
    <s v=" Sector 103 Gurgaon"/>
    <n v="0"/>
    <n v="0"/>
    <n v="3"/>
    <n v="1"/>
    <n v="3"/>
    <x v="1"/>
    <n v="1"/>
    <n v="0"/>
    <n v="0"/>
    <n v="0"/>
    <n v="0"/>
    <n v="1350"/>
    <n v="184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51051827476701E-2"/>
    <n v="15700000"/>
    <n v="8.5089999999999999E-2"/>
    <x v="3"/>
    <s v="Todo bien"/>
    <x v="0"/>
    <x v="2"/>
    <n v="803.72828054177546"/>
    <x v="1"/>
    <x v="2"/>
    <s v="Grande"/>
    <x v="0"/>
    <n v="1845.105182747679"/>
  </r>
  <r>
    <s v="Signature Global City"/>
    <x v="42"/>
    <n v="8421"/>
    <n v="2"/>
    <x v="1"/>
    <x v="3"/>
    <s v=" Sector 37D Gurgaon"/>
    <n v="0"/>
    <n v="0"/>
    <n v="2"/>
    <n v="2"/>
    <n v="2"/>
    <x v="0"/>
    <n v="4"/>
    <n v="0"/>
    <n v="0"/>
    <n v="0"/>
    <n v="0"/>
    <n v="950.00593753710973"/>
    <m/>
    <n v="9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5000593753709998E-3"/>
    <n v="8000000"/>
    <n v="8.4209999999999993E-2"/>
    <x v="1"/>
    <s v="Todo bien"/>
    <x v="1"/>
    <x v="0"/>
    <n v="413.82282474765049"/>
    <x v="0"/>
    <x v="0"/>
    <s v="Pequeña"/>
    <x v="0"/>
    <n v="950.00593753710973"/>
  </r>
  <r>
    <s v="Signature Global City D Ph "/>
    <x v="12"/>
    <n v="9375"/>
    <n v="3"/>
    <x v="1"/>
    <x v="3"/>
    <s v=" Sector 37D Gurgaon"/>
    <n v="0"/>
    <n v="0"/>
    <n v="3"/>
    <n v="3"/>
    <n v="3"/>
    <x v="1"/>
    <n v="4"/>
    <n v="0"/>
    <n v="0"/>
    <n v="1"/>
    <n v="0"/>
    <n v="1440"/>
    <m/>
    <m/>
    <n v="0"/>
    <n v="0"/>
    <n v="1"/>
    <n v="0"/>
    <n v="1"/>
    <n v="0"/>
    <n v="0"/>
    <n v="1"/>
    <n v="1"/>
    <n v="1"/>
    <n v="0"/>
    <n v="1"/>
    <n v="1"/>
    <n v="0"/>
    <n v="0"/>
    <n v="1"/>
    <n v="1"/>
    <n v="33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E-2"/>
    <n v="13500000"/>
    <n v="9.375E-2"/>
    <x v="2"/>
    <s v="Todo bien"/>
    <x v="0"/>
    <x v="3"/>
    <n v="627.26436129600006"/>
    <x v="1"/>
    <x v="2"/>
    <s v="Pequeña"/>
    <x v="0"/>
    <n v="1440"/>
  </r>
  <r>
    <s v="Tulip Violet"/>
    <x v="6"/>
    <n v="10167"/>
    <n v="4"/>
    <x v="1"/>
    <x v="0"/>
    <s v=" Sector 69 Gurgaon"/>
    <n v="0"/>
    <n v="0"/>
    <n v="4"/>
    <n v="12"/>
    <n v="1"/>
    <x v="2"/>
    <n v="14"/>
    <n v="0"/>
    <n v="0"/>
    <n v="0"/>
    <n v="0"/>
    <n v="1967"/>
    <m/>
    <m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71486180780899E-2"/>
    <n v="20000000"/>
    <n v="0.10167"/>
    <x v="3"/>
    <s v="Todo bien"/>
    <x v="0"/>
    <x v="1"/>
    <n v="856.8904315924043"/>
    <x v="1"/>
    <x v="2"/>
    <s v="Pequeña"/>
    <x v="0"/>
    <n v="1967.148618078096"/>
  </r>
  <r>
    <s v="Signature Global Park"/>
    <x v="147"/>
    <n v="7190"/>
    <n v="3"/>
    <x v="1"/>
    <x v="4"/>
    <s v=" Sohna"/>
    <n v="0"/>
    <n v="0"/>
    <n v="2"/>
    <n v="4"/>
    <n v="3"/>
    <x v="1"/>
    <n v="4"/>
    <n v="0"/>
    <n v="0"/>
    <n v="0"/>
    <n v="0"/>
    <n v="870"/>
    <n v="121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139082058399E-2"/>
    <n v="8700000"/>
    <n v="7.1900000000000006E-2"/>
    <x v="1"/>
    <s v="Todo bien"/>
    <x v="0"/>
    <x v="2"/>
    <n v="527.08236200695353"/>
    <x v="1"/>
    <x v="0"/>
    <s v="Mediana"/>
    <x v="0"/>
    <n v="1210.0139082058413"/>
  </r>
  <r>
    <s v="Eldeco Accolade"/>
    <x v="32"/>
    <n v="6170"/>
    <n v="2"/>
    <x v="1"/>
    <x v="0"/>
    <s v=" Sohna"/>
    <n v="0"/>
    <n v="0"/>
    <n v="2"/>
    <n v="3"/>
    <n v="2"/>
    <x v="0"/>
    <n v="12"/>
    <n v="0"/>
    <n v="0"/>
    <n v="0"/>
    <n v="0"/>
    <n v="1264.1815235008105"/>
    <m/>
    <n v="1264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6418152350081E-2"/>
    <n v="7800000"/>
    <n v="6.1699999999999998E-2"/>
    <x v="1"/>
    <s v="Todo bien"/>
    <x v="0"/>
    <x v="3"/>
    <n v="550.67778882009713"/>
    <x v="1"/>
    <x v="2"/>
    <s v="Pequeña"/>
    <x v="1"/>
    <n v="1264.1815235008105"/>
  </r>
  <r>
    <s v="CHD Avenue "/>
    <x v="13"/>
    <n v="7929"/>
    <n v="2"/>
    <x v="8"/>
    <x v="5"/>
    <s v=" Sector 71 Gurgaon"/>
    <n v="0"/>
    <n v="0"/>
    <n v="2"/>
    <n v="5"/>
    <n v="2"/>
    <x v="0"/>
    <n v="15"/>
    <n v="0"/>
    <n v="0"/>
    <n v="0"/>
    <n v="0"/>
    <n v="1198.1334342287805"/>
    <m/>
    <n v="119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1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9813343422878E-2"/>
    <n v="9500000"/>
    <n v="7.9289999999999999E-2"/>
    <x v="1"/>
    <s v="Todo bien"/>
    <x v="1"/>
    <x v="5"/>
    <n v="521.90722456173523"/>
    <x v="1"/>
    <x v="0"/>
    <s v="Pequeña"/>
    <x v="1"/>
    <n v="1198.1334342287805"/>
  </r>
  <r>
    <s v="Raheja Navodaya"/>
    <x v="8"/>
    <n v="4681"/>
    <n v="3"/>
    <x v="4"/>
    <x v="4"/>
    <s v=" Sector 92 Gurgaon"/>
    <n v="0"/>
    <n v="0"/>
    <n v="2"/>
    <n v="0"/>
    <n v="3"/>
    <x v="1"/>
    <n v="17"/>
    <n v="0"/>
    <n v="0"/>
    <n v="0"/>
    <n v="0"/>
    <n v="1850"/>
    <n v="235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99252296517802E-2"/>
    <n v="11000000"/>
    <n v="4.6809999999999997E-2"/>
    <x v="2"/>
    <s v="Todo bien"/>
    <x v="0"/>
    <x v="2"/>
    <n v="1023.6280196325556"/>
    <x v="1"/>
    <x v="2"/>
    <s v="Grande"/>
    <x v="0"/>
    <n v="2349.9252296517839"/>
  </r>
  <r>
    <s v="Birla Navya"/>
    <x v="178"/>
    <n v="15348"/>
    <n v="3"/>
    <x v="0"/>
    <x v="3"/>
    <s v=" Sector 63A Gurgaon"/>
    <n v="0"/>
    <n v="0"/>
    <n v="3"/>
    <n v="4"/>
    <n v="3"/>
    <x v="1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172791243101E-2"/>
    <n v="33000000"/>
    <n v="0.15348000000000001"/>
    <x v="5"/>
    <s v="Todo bien"/>
    <x v="0"/>
    <x v="0"/>
    <n v="936.59162625097485"/>
    <x v="1"/>
    <x v="0"/>
    <s v="Pequeña"/>
    <x v="2"/>
    <n v="2150.1172791243157"/>
  </r>
  <r>
    <s v="Housing Board Colony"/>
    <x v="45"/>
    <n v="41666"/>
    <n v="1"/>
    <x v="1"/>
    <x v="5"/>
    <s v=" Sector 51 Gurgaon"/>
    <n v="0"/>
    <n v="0"/>
    <n v="1"/>
    <n v="0"/>
    <n v="0"/>
    <x v="3"/>
    <n v="2"/>
    <n v="0"/>
    <n v="1"/>
    <n v="0"/>
    <n v="0"/>
    <n v="72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152018430004E-4"/>
    <n v="3000000"/>
    <n v="0.41665999999999997"/>
    <x v="0"/>
    <s v="Todo bien"/>
    <x v="0"/>
    <x v="2"/>
    <n v="31.363719884317153"/>
    <x v="0"/>
    <x v="1"/>
    <s v="Pequeña"/>
    <x v="0"/>
    <n v="72.001152018432293"/>
  </r>
  <r>
    <s v="Central Park Flower Valley Aqua Front Towers"/>
    <x v="398"/>
    <n v="13870"/>
    <n v="4"/>
    <x v="1"/>
    <x v="2"/>
    <s v=" Sector-33 Sohna"/>
    <n v="0"/>
    <n v="0"/>
    <n v="4"/>
    <n v="1"/>
    <n v="3"/>
    <x v="2"/>
    <n v="11"/>
    <n v="1"/>
    <n v="0"/>
    <n v="0"/>
    <n v="0"/>
    <n v="2134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3410237923576E-2"/>
    <n v="29600000"/>
    <n v="0.13869999999999999"/>
    <x v="5"/>
    <s v="Todo bien"/>
    <x v="1"/>
    <x v="2"/>
    <n v="929.61553184138404"/>
    <x v="1"/>
    <x v="2"/>
    <s v="Pequeña"/>
    <x v="0"/>
    <n v="2134.102379235761"/>
  </r>
  <r>
    <s v="Sare Green ParC Phase "/>
    <x v="47"/>
    <n v="6086"/>
    <n v="3"/>
    <x v="5"/>
    <x v="2"/>
    <s v=" Sector 92 Gurgaon"/>
    <n v="0"/>
    <n v="0"/>
    <n v="2"/>
    <n v="15"/>
    <n v="2"/>
    <x v="1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1"/>
    <n v="1"/>
    <n v="1"/>
    <n v="1"/>
    <n v="0"/>
    <n v="0"/>
    <n v="7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x v="1"/>
    <s v="Todo bien"/>
    <x v="0"/>
    <x v="2"/>
    <n v="565.43575125040763"/>
    <x v="1"/>
    <x v="2"/>
    <s v="Pequeña"/>
    <x v="1"/>
    <n v="1298.0611238908973"/>
  </r>
  <r>
    <s v="Sare Crescent Parc Royal Greens Phase "/>
    <x v="47"/>
    <n v="6086"/>
    <n v="3"/>
    <x v="1"/>
    <x v="2"/>
    <s v=" Sector 92 Gurgaon"/>
    <n v="0"/>
    <n v="0"/>
    <n v="2"/>
    <n v="15"/>
    <n v="2"/>
    <x v="1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0"/>
    <n v="1"/>
    <n v="0"/>
    <n v="1"/>
    <n v="1"/>
    <n v="0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x v="1"/>
    <s v="Todo bien"/>
    <x v="0"/>
    <x v="2"/>
    <n v="565.43575125040763"/>
    <x v="1"/>
    <x v="2"/>
    <s v="Pequeña"/>
    <x v="1"/>
    <n v="1298.0611238908973"/>
  </r>
  <r>
    <s v="Godrej Nature Plus"/>
    <x v="74"/>
    <n v="12592"/>
    <n v="3"/>
    <x v="1"/>
    <x v="2"/>
    <s v=" Sector-33 Sohna"/>
    <n v="0"/>
    <n v="0"/>
    <n v="3"/>
    <n v="6"/>
    <n v="3"/>
    <x v="1"/>
    <n v="22"/>
    <n v="1"/>
    <n v="0"/>
    <n v="0"/>
    <n v="0"/>
    <n v="135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635324015201E-2"/>
    <n v="17000000"/>
    <n v="0.12592"/>
    <x v="3"/>
    <s v="Todo bien"/>
    <x v="0"/>
    <x v="1"/>
    <n v="588.08801344504241"/>
    <x v="1"/>
    <x v="2"/>
    <s v="Pequeña"/>
    <x v="0"/>
    <n v="1350.0635324015248"/>
  </r>
  <r>
    <s v="Godrej Oasis"/>
    <x v="100"/>
    <n v="7567"/>
    <n v="3"/>
    <x v="4"/>
    <x v="0"/>
    <s v=" Sector 88A Gurgaon"/>
    <n v="0"/>
    <n v="0"/>
    <n v="3"/>
    <n v="4"/>
    <n v="3"/>
    <x v="1"/>
    <n v="14"/>
    <n v="0"/>
    <n v="0"/>
    <n v="0"/>
    <n v="0"/>
    <n v="1850.1387604070305"/>
    <m/>
    <n v="185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0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8501387604070298E-2"/>
    <n v="14000000"/>
    <n v="7.5670000000000001E-2"/>
    <x v="2"/>
    <s v="Todo bien"/>
    <x v="1"/>
    <x v="0"/>
    <n v="805.92090823311719"/>
    <x v="1"/>
    <x v="2"/>
    <s v="Pequeña"/>
    <x v="1"/>
    <n v="1850.1387604070305"/>
  </r>
  <r>
    <s v="Sare Homes"/>
    <x v="399"/>
    <n v="4098"/>
    <n v="3"/>
    <x v="2"/>
    <x v="2"/>
    <s v=" Sector 92 Gurgaon"/>
    <n v="0"/>
    <n v="0"/>
    <n v="3"/>
    <n v="3"/>
    <n v="3"/>
    <x v="1"/>
    <n v="4"/>
    <n v="0"/>
    <n v="0"/>
    <n v="0"/>
    <n v="0"/>
    <n v="1415.3245485602731"/>
    <m/>
    <n v="1415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532454856027E-2"/>
    <n v="5800000"/>
    <n v="4.0980000000000003E-2"/>
    <x v="1"/>
    <s v="Todo bien"/>
    <x v="0"/>
    <x v="1"/>
    <n v="616.51572845778287"/>
    <x v="1"/>
    <x v="2"/>
    <s v="Pequeña"/>
    <x v="1"/>
    <n v="1415.3245485602731"/>
  </r>
  <r>
    <s v="Aqua Front Towers"/>
    <x v="51"/>
    <n v="11715"/>
    <n v="3"/>
    <x v="1"/>
    <x v="4"/>
    <s v=" Sector 32 Gurgaon"/>
    <n v="0"/>
    <n v="0"/>
    <n v="4"/>
    <n v="1"/>
    <n v="3"/>
    <x v="1"/>
    <n v="1"/>
    <n v="0"/>
    <n v="0"/>
    <n v="0"/>
    <n v="0"/>
    <n v="1162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x v="3"/>
    <s v="Todo bien"/>
    <x v="0"/>
    <x v="2"/>
    <n v="929.57800021340131"/>
    <x v="1"/>
    <x v="0"/>
    <s v="Grande"/>
    <x v="0"/>
    <n v="2134.0162185232607"/>
  </r>
  <r>
    <s v="Bestech Altura"/>
    <x v="161"/>
    <n v="9532"/>
    <n v="4"/>
    <x v="4"/>
    <x v="2"/>
    <s v=" Sector 79 Gurgaon"/>
    <n v="0"/>
    <n v="0"/>
    <n v="5"/>
    <n v="4"/>
    <n v="2"/>
    <x v="2"/>
    <n v="12"/>
    <n v="1"/>
    <n v="0"/>
    <n v="0"/>
    <n v="0"/>
    <n v="2675.1993285774233"/>
    <n v="267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6751993285774201E-2"/>
    <n v="25500000"/>
    <n v="9.5320000000000002E-2"/>
    <x v="5"/>
    <s v="Todo bien"/>
    <x v="0"/>
    <x v="1"/>
    <n v="1165.3174987358359"/>
    <x v="1"/>
    <x v="3"/>
    <s v="Muy grande"/>
    <x v="0"/>
    <n v="2675.1993285774233"/>
  </r>
  <r>
    <s v="Hero Homes"/>
    <x v="49"/>
    <n v="11249"/>
    <n v="3"/>
    <x v="1"/>
    <x v="3"/>
    <s v=" Sector 104 Gurgaon"/>
    <n v="0"/>
    <n v="0"/>
    <n v="3"/>
    <n v="16"/>
    <n v="3"/>
    <x v="1"/>
    <n v="36"/>
    <n v="0"/>
    <n v="0"/>
    <n v="1"/>
    <n v="0"/>
    <n v="1082"/>
    <m/>
    <n v="1689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6890390256911698E-2"/>
    <n v="19000000"/>
    <n v="0.11249000000000001"/>
    <x v="3"/>
    <s v="Todo bien"/>
    <x v="1"/>
    <x v="4"/>
    <n v="735.74582337096513"/>
    <x v="1"/>
    <x v="0"/>
    <s v="Pequeña"/>
    <x v="1"/>
    <n v="1689.0390256911724"/>
  </r>
  <r>
    <s v="MM Sierra "/>
    <x v="43"/>
    <n v="10245"/>
    <n v="2"/>
    <x v="1"/>
    <x v="2"/>
    <s v=" Sector 68 Gurgaon"/>
    <n v="0"/>
    <n v="0"/>
    <n v="2"/>
    <n v="4"/>
    <n v="3"/>
    <x v="0"/>
    <n v="15"/>
    <n v="0"/>
    <n v="0"/>
    <n v="0"/>
    <n v="0"/>
    <n v="694"/>
    <m/>
    <n v="122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01073694485099E-2"/>
    <n v="12500000"/>
    <n v="0.10245"/>
    <x v="2"/>
    <s v="Todo bien"/>
    <x v="0"/>
    <x v="1"/>
    <n v="531.47907625670996"/>
    <x v="1"/>
    <x v="0"/>
    <s v="Pequeña"/>
    <x v="1"/>
    <n v="1220.1073694485115"/>
  </r>
  <r>
    <s v="Indiabulls Centrum Park"/>
    <x v="71"/>
    <n v="8250"/>
    <n v="3"/>
    <x v="1"/>
    <x v="0"/>
    <s v=" Sector 103 Gurgaon"/>
    <n v="0"/>
    <n v="0"/>
    <n v="3"/>
    <n v="15"/>
    <n v="3"/>
    <x v="1"/>
    <n v="18"/>
    <n v="0"/>
    <n v="1"/>
    <n v="0"/>
    <n v="0"/>
    <n v="1400"/>
    <m/>
    <n v="200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3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6500000"/>
    <n v="8.2500000000000004E-2"/>
    <x v="3"/>
    <s v="Todo bien"/>
    <x v="1"/>
    <x v="0"/>
    <n v="871.2005018000001"/>
    <x v="1"/>
    <x v="2"/>
    <s v="Pequeña"/>
    <x v="1"/>
    <n v="2000"/>
  </r>
  <r>
    <s v="Sare Green Parc "/>
    <x v="29"/>
    <n v="4745"/>
    <n v="3"/>
    <x v="4"/>
    <x v="0"/>
    <s v=" Sector 92 Gurgaon"/>
    <n v="0"/>
    <n v="0"/>
    <n v="3"/>
    <n v="2"/>
    <n v="3"/>
    <x v="1"/>
    <n v="5"/>
    <n v="0"/>
    <n v="0"/>
    <n v="0"/>
    <n v="0"/>
    <n v="1350"/>
    <n v="1415"/>
    <n v="145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806111696522601E-2"/>
    <n v="7500000"/>
    <n v="4.7449999999999999E-2"/>
    <x v="1"/>
    <s v="Todo bien"/>
    <x v="1"/>
    <x v="1"/>
    <n v="688.51462207586701"/>
    <x v="1"/>
    <x v="2"/>
    <s v="Mediana"/>
    <x v="1"/>
    <n v="1580.6111696522655"/>
  </r>
  <r>
    <s v="DLF ExpreSS The Leaf Greens"/>
    <x v="26"/>
    <n v="6808"/>
    <n v="4"/>
    <x v="2"/>
    <x v="0"/>
    <s v=" Sector 1A IMT Manesar"/>
    <n v="0"/>
    <n v="0"/>
    <n v="6"/>
    <n v="4"/>
    <n v="3"/>
    <x v="2"/>
    <n v="20"/>
    <n v="1"/>
    <n v="1"/>
    <n v="1"/>
    <n v="0"/>
    <n v="23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16000000"/>
    <n v="6.8080000000000002E-2"/>
    <x v="3"/>
    <s v="Todo bien"/>
    <x v="0"/>
    <x v="1"/>
    <n v="1023.7373699177433"/>
    <x v="1"/>
    <x v="2"/>
    <s v="Pequeña"/>
    <x v="0"/>
    <n v="2350.1762632197415"/>
  </r>
  <r>
    <s v="MM Woodshire"/>
    <x v="81"/>
    <n v="7496"/>
    <n v="2"/>
    <x v="2"/>
    <x v="0"/>
    <s v=" Sector 107 Gurgaon"/>
    <n v="0"/>
    <n v="0"/>
    <n v="2"/>
    <n v="0"/>
    <n v="3"/>
    <x v="0"/>
    <n v="14"/>
    <n v="0"/>
    <n v="1"/>
    <n v="0"/>
    <n v="0"/>
    <n v="1056"/>
    <m/>
    <n v="1534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3415154749199E-2"/>
    <n v="11500000"/>
    <n v="7.4959999999999999E-2"/>
    <x v="2"/>
    <s v="Todo bien"/>
    <x v="1"/>
    <x v="0"/>
    <n v="668.27679900613418"/>
    <x v="1"/>
    <x v="0"/>
    <s v="Pequeña"/>
    <x v="1"/>
    <n v="1534.1515474919956"/>
  </r>
  <r>
    <s v="Hero Homes"/>
    <x v="100"/>
    <n v="15826"/>
    <n v="3"/>
    <x v="5"/>
    <x v="3"/>
    <s v=" Sector 104 Gurgaon"/>
    <n v="0"/>
    <n v="0"/>
    <n v="2"/>
    <n v="4"/>
    <n v="2"/>
    <x v="1"/>
    <n v="26"/>
    <n v="0"/>
    <n v="0"/>
    <n v="0"/>
    <n v="0"/>
    <n v="884.58"/>
    <m/>
    <n v="13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462024516617992E-3"/>
    <n v="14000000"/>
    <n v="0.15826000000000001"/>
    <x v="2"/>
    <s v="Todo bien"/>
    <x v="0"/>
    <x v="1"/>
    <n v="385.34080074560751"/>
    <x v="0"/>
    <x v="0"/>
    <s v="Pequeña"/>
    <x v="1"/>
    <n v="884.62024516618214"/>
  </r>
  <r>
    <s v="Vipul Lavanya"/>
    <x v="154"/>
    <n v="7174"/>
    <n v="3"/>
    <x v="2"/>
    <x v="5"/>
    <s v=" Sector 81 Gurgaon"/>
    <n v="0"/>
    <n v="0"/>
    <n v="3"/>
    <n v="1"/>
    <n v="3"/>
    <x v="1"/>
    <n v="14"/>
    <n v="1"/>
    <n v="0"/>
    <n v="1"/>
    <n v="0"/>
    <n v="17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842207973236601E-2"/>
    <n v="12800000"/>
    <n v="7.1739999999999998E-2"/>
    <x v="2"/>
    <s v="Todo bien"/>
    <x v="1"/>
    <x v="1"/>
    <n v="777.20702697518448"/>
    <x v="1"/>
    <x v="2"/>
    <s v="Pequeña"/>
    <x v="0"/>
    <n v="1784.2207973236689"/>
  </r>
  <r>
    <s v="Signature Global Park"/>
    <x v="29"/>
    <n v="6938"/>
    <n v="3"/>
    <x v="4"/>
    <x v="2"/>
    <s v=" Sohna"/>
    <n v="0"/>
    <n v="0"/>
    <n v="2"/>
    <n v="4"/>
    <n v="3"/>
    <x v="1"/>
    <n v="4"/>
    <n v="0"/>
    <n v="0"/>
    <n v="0"/>
    <n v="0"/>
    <n v="1081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x v="1"/>
    <s v="Todo bien"/>
    <x v="0"/>
    <x v="4"/>
    <n v="470.88525248630526"/>
    <x v="0"/>
    <x v="0"/>
    <s v="Pequeña"/>
    <x v="0"/>
    <n v="1081.0031709426348"/>
  </r>
  <r>
    <s v="Suncity Vatsal Valley"/>
    <x v="50"/>
    <n v="13340"/>
    <n v="2"/>
    <x v="1"/>
    <x v="2"/>
    <s v=" Gwal Pahari"/>
    <n v="0"/>
    <n v="0"/>
    <n v="2"/>
    <n v="3"/>
    <n v="2"/>
    <x v="0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7.4962518740629E-3"/>
    <n v="10000000"/>
    <n v="0.13339999999999999"/>
    <x v="1"/>
    <s v="Todo bien"/>
    <x v="1"/>
    <x v="2"/>
    <n v="326.53691971513945"/>
    <x v="0"/>
    <x v="0"/>
    <s v="Pequeña"/>
    <x v="0"/>
    <n v="749.62518740629696"/>
  </r>
  <r>
    <s v="Signature Global Superbia"/>
    <x v="2"/>
    <n v="6728"/>
    <n v="2"/>
    <x v="1"/>
    <x v="3"/>
    <s v=" Sector 95 Gurgaon"/>
    <n v="0"/>
    <n v="0"/>
    <n v="2"/>
    <n v="2"/>
    <n v="3"/>
    <x v="0"/>
    <n v="20"/>
    <n v="0"/>
    <n v="0"/>
    <n v="0"/>
    <n v="0"/>
    <n v="594.5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53032104637002E-3"/>
    <n v="4000000"/>
    <n v="6.7280000000000006E-2"/>
    <x v="0"/>
    <s v="Todo bien"/>
    <x v="0"/>
    <x v="2"/>
    <n v="258.97755701545634"/>
    <x v="0"/>
    <x v="1"/>
    <s v="Pequeña"/>
    <x v="0"/>
    <n v="594.53032104637327"/>
  </r>
  <r>
    <s v="Shree Vardhman Victoria"/>
    <x v="68"/>
    <n v="8974"/>
    <n v="3"/>
    <x v="1"/>
    <x v="0"/>
    <s v=" Sector 70 Gurgaon"/>
    <n v="0"/>
    <n v="0"/>
    <n v="4"/>
    <n v="16"/>
    <n v="2"/>
    <x v="1"/>
    <n v="18"/>
    <n v="1"/>
    <n v="0"/>
    <n v="1"/>
    <n v="0"/>
    <n v="1950.0780031201248"/>
    <n v="19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x v="3"/>
    <s v="Todo bien"/>
    <x v="0"/>
    <x v="1"/>
    <n v="849.4544674336953"/>
    <x v="1"/>
    <x v="2"/>
    <s v="Grande"/>
    <x v="0"/>
    <n v="1950.0780031201248"/>
  </r>
  <r>
    <s v="MM Heights"/>
    <x v="69"/>
    <n v="16653"/>
    <n v="2"/>
    <x v="1"/>
    <x v="2"/>
    <s v=" Sector 65 Gurgaon"/>
    <n v="0"/>
    <n v="0"/>
    <n v="2"/>
    <n v="8"/>
    <n v="3"/>
    <x v="0"/>
    <n v="34"/>
    <n v="0"/>
    <n v="0"/>
    <n v="0"/>
    <n v="0"/>
    <n v="800"/>
    <m/>
    <n v="1261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6103404791929E-2"/>
    <n v="21000000"/>
    <n v="0.16653000000000001"/>
    <x v="3"/>
    <s v="Todo bien"/>
    <x v="0"/>
    <x v="0"/>
    <n v="549.30674766708535"/>
    <x v="1"/>
    <x v="0"/>
    <s v="Pequeña"/>
    <x v="1"/>
    <n v="1261.0340479192937"/>
  </r>
  <r>
    <s v="Smart World Orchard"/>
    <x v="51"/>
    <n v="16139"/>
    <n v="3"/>
    <x v="4"/>
    <x v="4"/>
    <s v=" Sector 61 Gurgaon"/>
    <n v="0"/>
    <n v="0"/>
    <n v="3"/>
    <n v="1"/>
    <n v="1"/>
    <x v="1"/>
    <n v="1"/>
    <n v="0"/>
    <n v="0"/>
    <n v="0"/>
    <n v="0"/>
    <n v="1549.0426916165809"/>
    <n v="154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426916165799E-2"/>
    <n v="25000000"/>
    <n v="0.16139000000000001"/>
    <x v="3"/>
    <s v="Todo bien"/>
    <x v="0"/>
    <x v="2"/>
    <n v="674.76338512299355"/>
    <x v="1"/>
    <x v="2"/>
    <s v="Mediana"/>
    <x v="0"/>
    <n v="1549.0426916165809"/>
  </r>
  <r>
    <s v="Karmyogi Apartment"/>
    <x v="133"/>
    <n v="6467"/>
    <n v="6"/>
    <x v="1"/>
    <x v="5"/>
    <s v=" Sector 10A Gurgaon"/>
    <n v="0"/>
    <n v="0"/>
    <n v="4"/>
    <n v="6"/>
    <n v="2"/>
    <x v="5"/>
    <n v="9"/>
    <n v="0"/>
    <n v="0"/>
    <n v="0"/>
    <n v="0"/>
    <n v="3556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65177052729199E-2"/>
    <n v="23000000"/>
    <n v="6.4670000000000005E-2"/>
    <x v="3"/>
    <s v="Todo bien"/>
    <x v="0"/>
    <x v="2"/>
    <n v="1549.2200047471763"/>
    <x v="3"/>
    <x v="3"/>
    <s v="Pequeña"/>
    <x v="0"/>
    <n v="3556.5177052729236"/>
  </r>
  <r>
    <s v="Emaar Palm Gardens"/>
    <x v="7"/>
    <n v="9474"/>
    <n v="3"/>
    <x v="1"/>
    <x v="4"/>
    <s v=" Sector 83 Gurgaon"/>
    <n v="0"/>
    <n v="0"/>
    <n v="4"/>
    <n v="9"/>
    <n v="0"/>
    <x v="1"/>
    <n v="9"/>
    <n v="0"/>
    <n v="0"/>
    <n v="0"/>
    <n v="0"/>
    <n v="1899.9366687777074"/>
    <n v="19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366687776999E-2"/>
    <n v="18000000"/>
    <n v="9.4740000000000005E-2"/>
    <x v="3"/>
    <s v="Todo bien"/>
    <x v="0"/>
    <x v="2"/>
    <n v="827.61288961367632"/>
    <x v="1"/>
    <x v="2"/>
    <s v="Grande"/>
    <x v="0"/>
    <n v="1899.9366687777074"/>
  </r>
  <r>
    <s v="Smart World Orchard"/>
    <x v="6"/>
    <n v="12911"/>
    <n v="3"/>
    <x v="1"/>
    <x v="2"/>
    <s v=" Sector 61 Gurgaon"/>
    <n v="0"/>
    <n v="0"/>
    <n v="3"/>
    <n v="3"/>
    <n v="2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666873208801E-2"/>
    <n v="20000000"/>
    <n v="0.12911"/>
    <x v="3"/>
    <s v="Todo bien"/>
    <x v="0"/>
    <x v="2"/>
    <n v="674.77383765780723"/>
    <x v="1"/>
    <x v="2"/>
    <s v="Pequeña"/>
    <x v="0"/>
    <n v="1549.0666873208891"/>
  </r>
  <r>
    <s v="Supertech Araville"/>
    <x v="50"/>
    <n v="6535"/>
    <n v="2"/>
    <x v="1"/>
    <x v="0"/>
    <s v=" Sector 79 Gurgaon"/>
    <n v="0"/>
    <n v="0"/>
    <n v="2"/>
    <n v="4"/>
    <n v="3"/>
    <x v="0"/>
    <n v="14"/>
    <n v="0"/>
    <n v="1"/>
    <n v="0"/>
    <n v="0"/>
    <n v="1530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1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302218821729101E-2"/>
    <n v="10000000"/>
    <n v="6.5350000000000005E-2"/>
    <x v="1"/>
    <s v="Todo bien"/>
    <x v="0"/>
    <x v="2"/>
    <n v="666.56503580718993"/>
    <x v="1"/>
    <x v="2"/>
    <s v="Pequeña"/>
    <x v="0"/>
    <n v="1530.221882172915"/>
  </r>
  <r>
    <s v="Orris Aster Court"/>
    <x v="15"/>
    <n v="5671"/>
    <n v="3"/>
    <x v="2"/>
    <x v="0"/>
    <s v=" Sector 85 Gurgaon"/>
    <n v="0"/>
    <n v="0"/>
    <n v="3"/>
    <n v="8"/>
    <n v="3"/>
    <x v="1"/>
    <n v="12"/>
    <n v="0"/>
    <n v="0"/>
    <n v="0"/>
    <n v="0"/>
    <n v="1587.0216892964204"/>
    <m/>
    <n v="158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870216892964199E-2"/>
    <n v="9000000"/>
    <n v="5.6710000000000003E-2"/>
    <x v="1"/>
    <s v="Todo bien"/>
    <x v="0"/>
    <x v="1"/>
    <n v="691.30704604126242"/>
    <x v="1"/>
    <x v="2"/>
    <s v="Pequeña"/>
    <x v="1"/>
    <n v="1587.0216892964204"/>
  </r>
  <r>
    <s v="DLF Beverly Park"/>
    <x v="362"/>
    <n v="15384"/>
    <n v="5"/>
    <x v="2"/>
    <x v="1"/>
    <s v=" DLF Phase 2"/>
    <n v="0"/>
    <n v="0"/>
    <n v="5"/>
    <n v="2"/>
    <n v="3"/>
    <x v="4"/>
    <n v="2"/>
    <n v="1"/>
    <n v="1"/>
    <n v="1"/>
    <n v="0"/>
    <n v="520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8"/>
    <n v="1"/>
    <n v="7"/>
    <n v="1"/>
    <n v="1"/>
    <n v="1"/>
    <n v="1"/>
    <n v="1"/>
    <n v="5"/>
    <n v="1"/>
    <n v="1"/>
    <n v="4"/>
    <n v="1"/>
    <n v="1"/>
    <n v="5"/>
    <n v="1"/>
    <n v="1"/>
    <n v="0"/>
    <n v="0"/>
    <n v="0"/>
    <n v="0"/>
    <n v="0"/>
    <n v="1"/>
    <n v="5.2002080083203298E-2"/>
    <n v="80000000"/>
    <n v="0.15384"/>
    <x v="6"/>
    <s v="Todo bien"/>
    <x v="2"/>
    <x v="0"/>
    <n v="2265.211913156525"/>
    <x v="3"/>
    <x v="3"/>
    <s v="Pequeña"/>
    <x v="0"/>
    <n v="5200.2080083203327"/>
  </r>
  <r>
    <s v="AIPL Club Residences"/>
    <x v="13"/>
    <n v="10215"/>
    <n v="2"/>
    <x v="2"/>
    <x v="2"/>
    <s v=" Sector 70A Gurgaon"/>
    <n v="0"/>
    <n v="0"/>
    <n v="2"/>
    <n v="11"/>
    <n v="1"/>
    <x v="0"/>
    <n v="11"/>
    <n v="0"/>
    <n v="0"/>
    <n v="0"/>
    <n v="0"/>
    <n v="730"/>
    <n v="9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1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9.3000489476260002E-3"/>
    <n v="9500000"/>
    <n v="0.10215"/>
    <x v="1"/>
    <s v="Todo bien"/>
    <x v="1"/>
    <x v="5"/>
    <n v="405.11036549681671"/>
    <x v="0"/>
    <x v="0"/>
    <s v="Mediana"/>
    <x v="0"/>
    <n v="930.00489476260395"/>
  </r>
  <r>
    <s v="Surya Vihar RWA"/>
    <x v="35"/>
    <n v="6500"/>
    <n v="5"/>
    <x v="3"/>
    <x v="1"/>
    <s v=" Surya Vihar"/>
    <n v="0"/>
    <n v="0"/>
    <n v="5"/>
    <n v="2"/>
    <n v="2"/>
    <x v="4"/>
    <n v="4"/>
    <n v="1"/>
    <n v="1"/>
    <n v="0"/>
    <n v="1"/>
    <n v="2200"/>
    <n v="2400"/>
    <m/>
    <n v="0"/>
    <n v="1"/>
    <n v="0"/>
    <n v="0"/>
    <n v="0"/>
    <n v="0"/>
    <n v="0"/>
    <n v="1"/>
    <n v="1"/>
    <n v="0"/>
    <n v="0"/>
    <n v="1"/>
    <n v="0"/>
    <n v="0"/>
    <n v="1"/>
    <n v="1"/>
    <n v="0"/>
    <n v="22"/>
    <x v="0"/>
    <x v="0"/>
    <x v="1"/>
    <x v="0"/>
    <x v="0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0.02"/>
    <n v="13000000"/>
    <n v="6.5000000000000002E-2"/>
    <x v="2"/>
    <s v="Todo bien"/>
    <x v="1"/>
    <x v="1"/>
    <n v="871.2005018000001"/>
    <x v="1"/>
    <x v="2"/>
    <s v="Grande"/>
    <x v="0"/>
    <n v="2000"/>
  </r>
  <r>
    <s v="Mm Golf Hills"/>
    <x v="59"/>
    <n v="10211"/>
    <n v="2"/>
    <x v="1"/>
    <x v="3"/>
    <s v=" Sector 79 Gurgaon"/>
    <n v="0"/>
    <n v="0"/>
    <n v="2"/>
    <n v="15"/>
    <n v="3"/>
    <x v="0"/>
    <n v="31"/>
    <n v="0"/>
    <n v="0"/>
    <n v="0"/>
    <n v="0"/>
    <n v="142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03721476838E-2"/>
    <n v="14500000"/>
    <n v="0.10211000000000001"/>
    <x v="2"/>
    <s v="Todo bien"/>
    <x v="0"/>
    <x v="2"/>
    <n v="618.56856704044355"/>
    <x v="1"/>
    <x v="2"/>
    <s v="Pequeña"/>
    <x v="0"/>
    <n v="1420.037214768387"/>
  </r>
  <r>
    <s v="Elevate"/>
    <x v="183"/>
    <n v="19882"/>
    <n v="4"/>
    <x v="1"/>
    <x v="4"/>
    <s v=" Sector 50 Gurgaon"/>
    <n v="0"/>
    <n v="0"/>
    <n v="4"/>
    <n v="10"/>
    <n v="0"/>
    <x v="2"/>
    <n v="10"/>
    <n v="0"/>
    <n v="0"/>
    <n v="0"/>
    <n v="0"/>
    <n v="3395.0306810180064"/>
    <n v="33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x v="6"/>
    <s v="Todo bien"/>
    <x v="0"/>
    <x v="2"/>
    <n v="1478.8762164646387"/>
    <x v="1"/>
    <x v="3"/>
    <s v="Muy grande"/>
    <x v="0"/>
    <n v="3395.0306810180064"/>
  </r>
  <r>
    <s v="Signature Global City"/>
    <x v="43"/>
    <n v="6082"/>
    <n v="3"/>
    <x v="1"/>
    <x v="3"/>
    <s v=" Sector 37D Gurgaon"/>
    <n v="0"/>
    <n v="0"/>
    <n v="3"/>
    <n v="4"/>
    <n v="3"/>
    <x v="1"/>
    <n v="4"/>
    <n v="0"/>
    <n v="0"/>
    <n v="0"/>
    <n v="0"/>
    <n v="20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5524498520223E-2"/>
    <n v="12500000"/>
    <n v="6.0819999999999999E-2"/>
    <x v="2"/>
    <s v="Todo bien"/>
    <x v="1"/>
    <x v="2"/>
    <n v="895.26523121505829"/>
    <x v="1"/>
    <x v="2"/>
    <s v="Pequeña"/>
    <x v="0"/>
    <n v="2055.244985202236"/>
  </r>
  <r>
    <s v="Adani Brahma Samsara Vilasa"/>
    <x v="347"/>
    <n v="14254"/>
    <n v="4"/>
    <x v="5"/>
    <x v="2"/>
    <s v=" Sector 63 Gurgaon"/>
    <n v="0"/>
    <n v="0"/>
    <n v="4"/>
    <n v="3"/>
    <n v="3"/>
    <x v="2"/>
    <n v="4"/>
    <n v="0"/>
    <n v="0"/>
    <n v="0"/>
    <n v="0"/>
    <n v="350"/>
    <m/>
    <m/>
    <n v="0"/>
    <n v="1"/>
    <n v="1"/>
    <n v="0"/>
    <n v="1"/>
    <n v="0"/>
    <n v="0"/>
    <n v="1"/>
    <n v="1"/>
    <n v="0"/>
    <n v="0"/>
    <n v="0"/>
    <n v="1"/>
    <n v="0"/>
    <n v="1"/>
    <n v="1"/>
    <n v="1"/>
    <n v="25"/>
    <x v="0"/>
    <x v="1"/>
    <x v="1"/>
    <x v="1"/>
    <x v="1"/>
    <x v="0"/>
    <x v="0"/>
    <x v="1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499929844254197E-2"/>
    <n v="44900000"/>
    <n v="0.14254"/>
    <x v="4"/>
    <s v="Todo bien"/>
    <x v="1"/>
    <x v="1"/>
    <n v="1372.1377343489528"/>
    <x v="1"/>
    <x v="1"/>
    <s v="Pequeña"/>
    <x v="0"/>
    <n v="3149.9929844254243"/>
  </r>
  <r>
    <s v="DLF The Grove"/>
    <x v="169"/>
    <n v="25000"/>
    <n v="4"/>
    <x v="6"/>
    <x v="3"/>
    <s v=" DLF Phase 5"/>
    <n v="0"/>
    <n v="0"/>
    <n v="4"/>
    <n v="1"/>
    <n v="2"/>
    <x v="2"/>
    <n v="4"/>
    <n v="1"/>
    <n v="0"/>
    <n v="0"/>
    <n v="0"/>
    <n v="24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E-2"/>
    <n v="60000000"/>
    <n v="0.25"/>
    <x v="4"/>
    <s v="Todo bien"/>
    <x v="1"/>
    <x v="1"/>
    <n v="1045.44060216"/>
    <x v="1"/>
    <x v="2"/>
    <s v="Pequeña"/>
    <x v="0"/>
    <n v="2400"/>
  </r>
  <r>
    <s v="Suncity Vatsal Valley"/>
    <x v="400"/>
    <n v="10699"/>
    <n v="3"/>
    <x v="2"/>
    <x v="2"/>
    <s v=" Gwal Pahari"/>
    <n v="0"/>
    <n v="0"/>
    <n v="3"/>
    <n v="2"/>
    <n v="3"/>
    <x v="1"/>
    <n v="4"/>
    <n v="0"/>
    <n v="0"/>
    <n v="0"/>
    <n v="0"/>
    <n v="1430"/>
    <m/>
    <m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4019067202E-2"/>
    <n v="15300000"/>
    <n v="0.10699"/>
    <x v="3"/>
    <s v="Todo bien"/>
    <x v="1"/>
    <x v="5"/>
    <n v="622.92586585381582"/>
    <x v="1"/>
    <x v="2"/>
    <s v="Pequeña"/>
    <x v="0"/>
    <n v="1430.0401906720253"/>
  </r>
  <r>
    <s v="Sare Green ParC Phase "/>
    <x v="4"/>
    <n v="5279"/>
    <n v="3"/>
    <x v="1"/>
    <x v="0"/>
    <s v=" Sector 92 Gurgaon"/>
    <n v="0"/>
    <n v="0"/>
    <n v="2"/>
    <n v="4"/>
    <n v="2"/>
    <x v="1"/>
    <n v="19"/>
    <n v="0"/>
    <n v="0"/>
    <n v="0"/>
    <n v="0"/>
    <n v="1320"/>
    <n v="1325"/>
    <n v="1326"/>
    <n v="0"/>
    <n v="0"/>
    <n v="0"/>
    <n v="1"/>
    <n v="0"/>
    <n v="0"/>
    <n v="0"/>
    <n v="1"/>
    <n v="1"/>
    <n v="1"/>
    <n v="1"/>
    <n v="1"/>
    <n v="1"/>
    <n v="1"/>
    <n v="1"/>
    <n v="0"/>
    <n v="0"/>
    <n v="28"/>
    <x v="1"/>
    <x v="0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2600871377154E-2"/>
    <n v="7000000"/>
    <n v="5.2789999999999997E-2"/>
    <x v="1"/>
    <s v="Todo bien"/>
    <x v="0"/>
    <x v="1"/>
    <n v="577.60972841446915"/>
    <x v="1"/>
    <x v="2"/>
    <s v="Mediana"/>
    <x v="1"/>
    <n v="1326.0087137715477"/>
  </r>
  <r>
    <s v="Pivotal Devaan Apartments"/>
    <x v="95"/>
    <n v="6500"/>
    <n v="2"/>
    <x v="5"/>
    <x v="4"/>
    <s v=" Sector 84 Gurgaon"/>
    <n v="0"/>
    <n v="0"/>
    <n v="2"/>
    <n v="5"/>
    <n v="0"/>
    <x v="0"/>
    <n v="12"/>
    <n v="0"/>
    <n v="0"/>
    <n v="0"/>
    <n v="0"/>
    <n v="500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x v="0"/>
    <s v="Todo bien"/>
    <x v="0"/>
    <x v="2"/>
    <n v="261.36015054000001"/>
    <x v="0"/>
    <x v="1"/>
    <s v="Pequeña"/>
    <x v="0"/>
    <n v="600"/>
  </r>
  <r>
    <s v="Signature Global Park"/>
    <x v="57"/>
    <n v="6812"/>
    <n v="2"/>
    <x v="8"/>
    <x v="2"/>
    <s v=" Sohna"/>
    <n v="0"/>
    <n v="0"/>
    <n v="2"/>
    <n v="3"/>
    <n v="3"/>
    <x v="0"/>
    <n v="4"/>
    <n v="0"/>
    <n v="0"/>
    <n v="0"/>
    <n v="0"/>
    <n v="822"/>
    <m/>
    <m/>
    <n v="0"/>
    <n v="0"/>
    <n v="1"/>
    <n v="1"/>
    <n v="0"/>
    <n v="0"/>
    <n v="0"/>
    <n v="1"/>
    <n v="1"/>
    <n v="1"/>
    <n v="1"/>
    <n v="1"/>
    <n v="1"/>
    <n v="1"/>
    <n v="1"/>
    <n v="1"/>
    <n v="0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x v="1"/>
    <s v="Todo bien"/>
    <x v="0"/>
    <x v="4"/>
    <n v="358.09768130357992"/>
    <x v="0"/>
    <x v="0"/>
    <s v="Pequeña"/>
    <x v="0"/>
    <n v="822.07868467410447"/>
  </r>
  <r>
    <s v="Conscient Elevate"/>
    <x v="183"/>
    <n v="19882"/>
    <n v="4"/>
    <x v="1"/>
    <x v="2"/>
    <s v=" Sector 59 Gurgaon"/>
    <n v="0"/>
    <n v="0"/>
    <n v="4"/>
    <n v="10"/>
    <n v="2"/>
    <x v="2"/>
    <n v="33"/>
    <n v="1"/>
    <n v="0"/>
    <n v="0"/>
    <n v="0"/>
    <n v="1855"/>
    <m/>
    <n v="3395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x v="6"/>
    <s v="Todo bien"/>
    <x v="0"/>
    <x v="0"/>
    <n v="1478.8762164646387"/>
    <x v="1"/>
    <x v="2"/>
    <s v="Pequeña"/>
    <x v="3"/>
    <n v="3395.0306810180064"/>
  </r>
  <r>
    <s v="Signature Global City "/>
    <x v="48"/>
    <n v="9074"/>
    <n v="3"/>
    <x v="1"/>
    <x v="3"/>
    <s v=" Sector 92 Gurgaon"/>
    <n v="0"/>
    <n v="0"/>
    <n v="2"/>
    <n v="1"/>
    <n v="3"/>
    <x v="1"/>
    <n v="4"/>
    <n v="0"/>
    <n v="0"/>
    <n v="0"/>
    <n v="0"/>
    <n v="1091.0293145250166"/>
    <n v="1091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9102931452501E-2"/>
    <n v="9900000"/>
    <n v="9.0740000000000001E-2"/>
    <x v="1"/>
    <s v="Todo bien"/>
    <x v="0"/>
    <x v="2"/>
    <n v="475.25264314634939"/>
    <x v="0"/>
    <x v="0"/>
    <s v="Mediana"/>
    <x v="0"/>
    <n v="1091.0293145250166"/>
  </r>
  <r>
    <s v="Godrej Air"/>
    <x v="100"/>
    <n v="10000"/>
    <n v="2"/>
    <x v="1"/>
    <x v="4"/>
    <s v=" Sector 85 Gurgaon"/>
    <n v="0"/>
    <n v="0"/>
    <n v="2"/>
    <n v="23"/>
    <n v="3"/>
    <x v="0"/>
    <n v="23"/>
    <n v="0"/>
    <n v="0"/>
    <n v="0"/>
    <n v="0"/>
    <n v="900"/>
    <n v="14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E-2"/>
    <n v="14000000"/>
    <n v="0.1"/>
    <x v="2"/>
    <s v="Todo bien"/>
    <x v="0"/>
    <x v="2"/>
    <n v="609.84035126000003"/>
    <x v="1"/>
    <x v="0"/>
    <s v="Mediana"/>
    <x v="0"/>
    <n v="1400"/>
  </r>
  <r>
    <s v="Pyramid Urban"/>
    <x v="91"/>
    <n v="8571"/>
    <n v="2"/>
    <x v="1"/>
    <x v="2"/>
    <s v=" Sector 67A Gurgaon"/>
    <n v="0"/>
    <n v="0"/>
    <n v="2"/>
    <n v="14"/>
    <n v="2"/>
    <x v="0"/>
    <n v="14"/>
    <n v="0"/>
    <n v="0"/>
    <n v="0"/>
    <n v="0"/>
    <n v="700.03500175008753"/>
    <m/>
    <n v="700"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3500175008001E-3"/>
    <n v="6000000"/>
    <n v="8.5709999999999995E-2"/>
    <x v="1"/>
    <s v="Todo bien"/>
    <x v="0"/>
    <x v="2"/>
    <n v="304.9354224011168"/>
    <x v="0"/>
    <x v="0"/>
    <s v="Pequeña"/>
    <x v="0"/>
    <n v="700.03500175008753"/>
  </r>
  <r>
    <s v="Hero Homes"/>
    <x v="12"/>
    <n v="9565"/>
    <n v="3"/>
    <x v="4"/>
    <x v="2"/>
    <s v=" Sector 104 Gurgaon"/>
    <n v="0"/>
    <n v="0"/>
    <n v="2"/>
    <n v="18"/>
    <n v="2"/>
    <x v="1"/>
    <n v="35"/>
    <n v="0"/>
    <n v="0"/>
    <n v="0"/>
    <n v="0"/>
    <n v="861.97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13957135389399E-2"/>
    <n v="13500000"/>
    <n v="9.5649999999999999E-2"/>
    <x v="2"/>
    <s v="Todo bien"/>
    <x v="0"/>
    <x v="1"/>
    <n v="614.80432693674675"/>
    <x v="1"/>
    <x v="0"/>
    <s v="Pequeña"/>
    <x v="1"/>
    <n v="1411.3957135389442"/>
  </r>
  <r>
    <s v="Central Park Flower Valley"/>
    <x v="56"/>
    <n v="6742"/>
    <n v="3"/>
    <x v="1"/>
    <x v="4"/>
    <s v=" Sohna"/>
    <n v="0"/>
    <n v="0"/>
    <n v="3"/>
    <n v="11"/>
    <n v="0"/>
    <x v="1"/>
    <n v="12"/>
    <n v="0"/>
    <n v="0"/>
    <n v="0"/>
    <n v="0"/>
    <n v="1779.8872738059924"/>
    <n v="17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98872738059902E-2"/>
    <n v="12000000"/>
    <n v="6.7419999999999994E-2"/>
    <x v="2"/>
    <s v="Todo bien"/>
    <x v="0"/>
    <x v="2"/>
    <n v="775.31934304360641"/>
    <x v="1"/>
    <x v="2"/>
    <s v="Mediana"/>
    <x v="0"/>
    <n v="1779.8872738059924"/>
  </r>
  <r>
    <s v="Supertech Araville"/>
    <x v="120"/>
    <n v="5522"/>
    <n v="2"/>
    <x v="1"/>
    <x v="3"/>
    <s v=" Sector 79 Gurgaon"/>
    <n v="0"/>
    <n v="0"/>
    <n v="2"/>
    <n v="9"/>
    <n v="0"/>
    <x v="0"/>
    <n v="13"/>
    <n v="0"/>
    <n v="0"/>
    <n v="0"/>
    <n v="0"/>
    <n v="1294.8207171314741"/>
    <n v="129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150000"/>
    <n v="5.5219999999999998E-2"/>
    <x v="1"/>
    <s v="Todo bien"/>
    <x v="0"/>
    <x v="2"/>
    <n v="564.02422925298629"/>
    <x v="1"/>
    <x v="2"/>
    <s v="Mediana"/>
    <x v="0"/>
    <n v="1294.8207171314741"/>
  </r>
  <r>
    <s v="Apna Enclave"/>
    <x v="399"/>
    <n v="6105"/>
    <n v="2"/>
    <x v="2"/>
    <x v="1"/>
    <s v=" Sector 3 Gurgaon"/>
    <n v="0"/>
    <n v="0"/>
    <n v="2"/>
    <n v="2"/>
    <n v="2"/>
    <x v="0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4095004094999E-3"/>
    <n v="5800000"/>
    <n v="6.105E-2"/>
    <x v="1"/>
    <s v="Todo bien"/>
    <x v="0"/>
    <x v="3"/>
    <n v="413.83807620311222"/>
    <x v="0"/>
    <x v="0"/>
    <s v="Mediana"/>
    <x v="0"/>
    <n v="950.04095004095007"/>
  </r>
  <r>
    <s v="MM Soulitude"/>
    <x v="253"/>
    <n v="8000"/>
    <n v="3"/>
    <x v="4"/>
    <x v="3"/>
    <s v=" Sector 89 Gurgaon"/>
    <n v="0"/>
    <n v="0"/>
    <n v="3"/>
    <n v="2"/>
    <n v="2"/>
    <x v="1"/>
    <n v="4"/>
    <n v="0"/>
    <n v="1"/>
    <n v="0"/>
    <n v="0"/>
    <n v="1423"/>
    <m/>
    <m/>
    <n v="1"/>
    <n v="0"/>
    <n v="1"/>
    <n v="1"/>
    <n v="0"/>
    <n v="0"/>
    <n v="1"/>
    <n v="1"/>
    <n v="1"/>
    <n v="0"/>
    <n v="0"/>
    <n v="0"/>
    <n v="1"/>
    <n v="0"/>
    <n v="1"/>
    <n v="1"/>
    <n v="1"/>
    <n v="2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99999999999E-2"/>
    <n v="11400000"/>
    <n v="0.08"/>
    <x v="2"/>
    <s v="Todo bien"/>
    <x v="0"/>
    <x v="1"/>
    <n v="620.73035753249565"/>
    <x v="1"/>
    <x v="2"/>
    <s v="Pequeña"/>
    <x v="0"/>
    <n v="1425"/>
  </r>
  <r>
    <s v="Raheja Maheshwara"/>
    <x v="314"/>
    <n v="4367"/>
    <n v="2"/>
    <x v="1"/>
    <x v="3"/>
    <s v=" Sohna"/>
    <n v="0"/>
    <n v="0"/>
    <n v="2"/>
    <n v="11"/>
    <n v="2"/>
    <x v="0"/>
    <n v="13"/>
    <n v="0"/>
    <n v="0"/>
    <n v="0"/>
    <n v="0"/>
    <n v="1099.1527364323333"/>
    <m/>
    <n v="1099"/>
    <n v="0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915273643233E-2"/>
    <n v="4800000"/>
    <n v="4.367E-2"/>
    <x v="0"/>
    <s v="Todo bien"/>
    <x v="0"/>
    <x v="0"/>
    <n v="478.79120776734453"/>
    <x v="0"/>
    <x v="0"/>
    <s v="Pequeña"/>
    <x v="1"/>
    <n v="1099.1527364323333"/>
  </r>
  <r>
    <s v="Shapoorji Pallonji Joyville Gurugram"/>
    <x v="37"/>
    <n v="20664"/>
    <n v="2"/>
    <x v="8"/>
    <x v="2"/>
    <s v=" Sector 102 Gurgaon"/>
    <n v="0"/>
    <n v="0"/>
    <n v="2"/>
    <n v="14"/>
    <n v="2"/>
    <x v="0"/>
    <n v="14"/>
    <n v="0"/>
    <n v="0"/>
    <n v="0"/>
    <n v="0"/>
    <n v="963"/>
    <m/>
    <n v="134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2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9.6302748741772994E-3"/>
    <n v="19900000"/>
    <n v="0.20663999999999999"/>
    <x v="3"/>
    <s v="Todo bien"/>
    <x v="0"/>
    <x v="5"/>
    <n v="419.49501514275977"/>
    <x v="0"/>
    <x v="0"/>
    <s v="Pequeña"/>
    <x v="1"/>
    <n v="963.02748741773132"/>
  </r>
  <r>
    <s v="Dlf  Apartment"/>
    <x v="51"/>
    <n v="7142"/>
    <n v="4"/>
    <x v="7"/>
    <x v="1"/>
    <s v=" Cyber City"/>
    <n v="0"/>
    <n v="0"/>
    <n v="4"/>
    <n v="2"/>
    <n v="3"/>
    <x v="2"/>
    <n v="2"/>
    <n v="1"/>
    <n v="1"/>
    <n v="1"/>
    <n v="0"/>
    <n v="3500.4200504060486"/>
    <m/>
    <n v="3500"/>
    <n v="0"/>
    <n v="0"/>
    <n v="0"/>
    <n v="0"/>
    <n v="0"/>
    <n v="0"/>
    <n v="1"/>
    <n v="0"/>
    <n v="0"/>
    <n v="0"/>
    <n v="0"/>
    <n v="0"/>
    <n v="0"/>
    <n v="0"/>
    <n v="1"/>
    <n v="0"/>
    <n v="0"/>
    <n v="0"/>
    <x v="0"/>
    <x v="0"/>
    <x v="0"/>
    <x v="0"/>
    <x v="0"/>
    <x v="1"/>
    <x v="1"/>
    <x v="1"/>
    <x v="0"/>
    <n v="1"/>
    <n v="2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5004200504060397E-2"/>
    <n v="25000000"/>
    <n v="7.1419999999999997E-2"/>
    <x v="3"/>
    <s v="Todo bien"/>
    <x v="1"/>
    <x v="2"/>
    <n v="1524.7838522122615"/>
    <x v="3"/>
    <x v="3"/>
    <s v="Pequeña"/>
    <x v="3"/>
    <n v="3500.4200504060486"/>
  </r>
  <r>
    <s v="Vipul Lavanya"/>
    <x v="29"/>
    <n v="5966"/>
    <n v="2"/>
    <x v="1"/>
    <x v="5"/>
    <s v=" Sector 81 Gurgaon"/>
    <n v="0"/>
    <n v="0"/>
    <n v="2"/>
    <n v="7"/>
    <n v="2"/>
    <x v="0"/>
    <n v="15"/>
    <n v="0"/>
    <n v="0"/>
    <n v="0"/>
    <n v="0"/>
    <n v="125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712370097217E-2"/>
    <n v="7500000"/>
    <n v="5.9659999999999998E-2"/>
    <x v="1"/>
    <s v="Todo bien"/>
    <x v="0"/>
    <x v="0"/>
    <n v="547.60339955581389"/>
    <x v="1"/>
    <x v="2"/>
    <s v="Pequeña"/>
    <x v="0"/>
    <n v="1257.1237009721758"/>
  </r>
  <r>
    <s v="Godrej "/>
    <x v="51"/>
    <n v="11141"/>
    <n v="3"/>
    <x v="1"/>
    <x v="4"/>
    <s v=" Sector 79 Gurgaon"/>
    <n v="0"/>
    <n v="0"/>
    <n v="3"/>
    <n v="5"/>
    <n v="3"/>
    <x v="1"/>
    <n v="5"/>
    <n v="0"/>
    <n v="0"/>
    <n v="0"/>
    <n v="0"/>
    <n v="1800"/>
    <n v="2244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39637375459998E-2"/>
    <n v="25000000"/>
    <n v="0.11141"/>
    <x v="3"/>
    <s v="Todo bien"/>
    <x v="0"/>
    <x v="2"/>
    <n v="977.47116708553938"/>
    <x v="1"/>
    <x v="2"/>
    <s v="Grande"/>
    <x v="0"/>
    <n v="2243.9637375460015"/>
  </r>
  <r>
    <s v="Signature Global Park"/>
    <x v="399"/>
    <n v="7056"/>
    <n v="2"/>
    <x v="1"/>
    <x v="4"/>
    <s v=" Sohna"/>
    <n v="0"/>
    <n v="0"/>
    <n v="2"/>
    <n v="3"/>
    <n v="2"/>
    <x v="0"/>
    <n v="3"/>
    <n v="0"/>
    <n v="0"/>
    <n v="0"/>
    <n v="0"/>
    <n v="60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199546485260001E-3"/>
    <n v="5800000"/>
    <n v="7.0559999999999998E-2"/>
    <x v="1"/>
    <s v="Todo bien"/>
    <x v="0"/>
    <x v="2"/>
    <n v="358.0614307284547"/>
    <x v="0"/>
    <x v="1"/>
    <s v="Mediana"/>
    <x v="0"/>
    <n v="821.99546485260771"/>
  </r>
  <r>
    <s v="Ansal Heights "/>
    <x v="62"/>
    <n v="4706"/>
    <n v="2"/>
    <x v="1"/>
    <x v="2"/>
    <s v=" Sector 86 Gurgaon"/>
    <n v="0"/>
    <n v="0"/>
    <n v="2"/>
    <n v="3"/>
    <n v="1"/>
    <x v="0"/>
    <n v="17"/>
    <n v="0"/>
    <n v="0"/>
    <n v="0"/>
    <n v="0"/>
    <n v="1359.9660008499789"/>
    <n v="1360"/>
    <m/>
    <n v="0"/>
    <n v="0"/>
    <n v="0"/>
    <n v="1"/>
    <n v="0"/>
    <n v="0"/>
    <n v="0"/>
    <n v="1"/>
    <n v="1"/>
    <n v="0"/>
    <n v="0"/>
    <n v="1"/>
    <n v="1"/>
    <n v="0"/>
    <n v="1"/>
    <n v="1"/>
    <n v="0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6600084997E-2"/>
    <n v="6400000"/>
    <n v="4.7059999999999998E-2"/>
    <x v="1"/>
    <s v="Todo bien"/>
    <x v="0"/>
    <x v="1"/>
    <n v="592.40153118571664"/>
    <x v="1"/>
    <x v="2"/>
    <s v="Mediana"/>
    <x v="0"/>
    <n v="1359.9660008499789"/>
  </r>
  <r>
    <s v="Aqua Front Towers"/>
    <x v="51"/>
    <n v="11715"/>
    <n v="3"/>
    <x v="1"/>
    <x v="4"/>
    <s v=" Sector 32 Gurgaon"/>
    <n v="0"/>
    <n v="0"/>
    <n v="4"/>
    <n v="1"/>
    <n v="3"/>
    <x v="1"/>
    <n v="1"/>
    <n v="0"/>
    <n v="0"/>
    <n v="0"/>
    <n v="0"/>
    <n v="2134.0162185232607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x v="3"/>
    <s v="Todo bien"/>
    <x v="0"/>
    <x v="2"/>
    <n v="929.57800021340131"/>
    <x v="1"/>
    <x v="2"/>
    <s v="Grande"/>
    <x v="0"/>
    <n v="2134.0162185232607"/>
  </r>
  <r>
    <s v="Umang Winter Hills"/>
    <x v="56"/>
    <n v="6586"/>
    <n v="3"/>
    <x v="4"/>
    <x v="4"/>
    <s v=" Sector 77 Gurgaon"/>
    <n v="0"/>
    <n v="0"/>
    <n v="3"/>
    <n v="14"/>
    <n v="3"/>
    <x v="1"/>
    <n v="14"/>
    <n v="0"/>
    <n v="0"/>
    <n v="0"/>
    <n v="0"/>
    <n v="1200"/>
    <n v="182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4676586699E-2"/>
    <n v="12000000"/>
    <n v="6.5860000000000002E-2"/>
    <x v="2"/>
    <s v="Todo bien"/>
    <x v="0"/>
    <x v="2"/>
    <n v="793.68402836319444"/>
    <x v="1"/>
    <x v="0"/>
    <s v="Grande"/>
    <x v="0"/>
    <n v="1822.0467658669904"/>
  </r>
  <r>
    <s v="Orris Aster Court"/>
    <x v="55"/>
    <n v="5671"/>
    <n v="3"/>
    <x v="1"/>
    <x v="0"/>
    <s v=" Sector 85 Gurgaon"/>
    <n v="0"/>
    <n v="0"/>
    <n v="3"/>
    <n v="8"/>
    <n v="3"/>
    <x v="1"/>
    <n v="12"/>
    <n v="0"/>
    <n v="0"/>
    <n v="0"/>
    <n v="0"/>
    <n v="1250"/>
    <n v="158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99224122729601E-2"/>
    <n v="9300000"/>
    <n v="5.6710000000000003E-2"/>
    <x v="1"/>
    <s v="Todo bien"/>
    <x v="0"/>
    <x v="2"/>
    <n v="714.35061424263472"/>
    <x v="1"/>
    <x v="2"/>
    <s v="Mediana"/>
    <x v="0"/>
    <n v="1639.9224122729677"/>
  </r>
  <r>
    <s v="Supertech Hues"/>
    <x v="42"/>
    <n v="6779"/>
    <n v="2"/>
    <x v="1"/>
    <x v="2"/>
    <s v=" Sector 68 Gurgaon"/>
    <n v="0"/>
    <n v="0"/>
    <n v="2"/>
    <n v="14"/>
    <n v="3"/>
    <x v="0"/>
    <n v="24"/>
    <n v="0"/>
    <n v="0"/>
    <n v="0"/>
    <n v="0"/>
    <n v="1180.1150612184688"/>
    <n v="118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18011506121846E-2"/>
    <n v="8000000"/>
    <n v="6.7790000000000003E-2"/>
    <x v="1"/>
    <s v="Todo bien"/>
    <x v="1"/>
    <x v="0"/>
    <n v="514.05841675763008"/>
    <x v="1"/>
    <x v="0"/>
    <s v="Mediana"/>
    <x v="0"/>
    <n v="1180.1150612184688"/>
  </r>
  <r>
    <s v="Signature Global Synera"/>
    <x v="302"/>
    <n v="7434"/>
    <n v="1"/>
    <x v="5"/>
    <x v="0"/>
    <s v=" Sector 81 Gurgaon"/>
    <n v="0"/>
    <n v="0"/>
    <n v="1"/>
    <n v="13"/>
    <n v="1"/>
    <x v="3"/>
    <n v="14"/>
    <n v="0"/>
    <n v="0"/>
    <n v="0"/>
    <n v="0"/>
    <n v="320"/>
    <m/>
    <n v="417"/>
    <n v="0"/>
    <n v="1"/>
    <n v="1"/>
    <n v="1"/>
    <n v="0"/>
    <n v="1"/>
    <n v="1"/>
    <n v="1"/>
    <n v="1"/>
    <n v="1"/>
    <n v="1"/>
    <n v="1"/>
    <n v="1"/>
    <n v="0"/>
    <n v="1"/>
    <n v="0"/>
    <n v="0"/>
    <n v="53"/>
    <x v="0"/>
    <x v="1"/>
    <x v="1"/>
    <x v="1"/>
    <x v="1"/>
    <x v="0"/>
    <x v="0"/>
    <x v="0"/>
    <x v="0"/>
    <n v="0"/>
    <n v="1"/>
    <n v="1"/>
    <n v="1"/>
    <n v="1"/>
    <n v="1"/>
    <n v="1"/>
    <n v="1"/>
    <n v="1"/>
    <n v="1"/>
    <n v="1"/>
    <n v="1"/>
    <n v="2"/>
    <n v="1"/>
    <n v="1"/>
    <n v="2"/>
    <n v="1"/>
    <n v="0"/>
    <n v="0"/>
    <n v="0"/>
    <n v="0"/>
    <n v="0"/>
    <n v="0"/>
    <n v="1"/>
    <n v="4.1700295937583997E-3"/>
    <n v="3100000"/>
    <n v="7.4340000000000003E-2"/>
    <x v="0"/>
    <s v="Todo bien"/>
    <x v="2"/>
    <x v="5"/>
    <n v="181.6465937301584"/>
    <x v="0"/>
    <x v="1"/>
    <s v="Pequeña"/>
    <x v="0"/>
    <n v="417.0029593758407"/>
  </r>
  <r>
    <s v="New colony, Gurgaon"/>
    <x v="42"/>
    <n v="8100"/>
    <n v="3"/>
    <x v="2"/>
    <x v="0"/>
    <s v=" New Colony"/>
    <n v="0"/>
    <n v="0"/>
    <n v="2"/>
    <n v="4"/>
    <n v="1"/>
    <x v="1"/>
    <n v="4"/>
    <n v="0"/>
    <n v="0"/>
    <n v="0"/>
    <n v="0"/>
    <n v="990"/>
    <m/>
    <m/>
    <n v="0"/>
    <n v="1"/>
    <n v="0"/>
    <n v="0"/>
    <n v="0"/>
    <n v="0"/>
    <n v="0"/>
    <n v="1"/>
    <n v="0"/>
    <n v="1"/>
    <n v="1"/>
    <n v="0"/>
    <n v="1"/>
    <n v="0"/>
    <n v="1"/>
    <n v="0"/>
    <n v="0"/>
    <n v="19"/>
    <x v="0"/>
    <x v="0"/>
    <x v="1"/>
    <x v="1"/>
    <x v="0"/>
    <x v="0"/>
    <x v="0"/>
    <x v="0"/>
    <x v="0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9.8765432098764996E-3"/>
    <n v="8000000"/>
    <n v="8.1000000000000003E-2"/>
    <x v="1"/>
    <s v="Todo bien"/>
    <x v="1"/>
    <x v="0"/>
    <n v="430.22247002468947"/>
    <x v="0"/>
    <x v="0"/>
    <s v="Pequeña"/>
    <x v="0"/>
    <n v="987.65432098765427"/>
  </r>
  <r>
    <s v="Pyramid Urban"/>
    <x v="4"/>
    <n v="11844"/>
    <n v="2"/>
    <x v="5"/>
    <x v="2"/>
    <s v=" Sector 67A Gurgaon"/>
    <n v="0"/>
    <n v="0"/>
    <n v="2"/>
    <n v="14"/>
    <n v="1"/>
    <x v="0"/>
    <n v="14"/>
    <n v="0"/>
    <n v="0"/>
    <n v="0"/>
    <n v="0"/>
    <n v="591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5.9101654846335002E-3"/>
    <n v="7000000"/>
    <n v="0.11844"/>
    <x v="1"/>
    <s v="Todo bien"/>
    <x v="0"/>
    <x v="1"/>
    <n v="257.44695679668729"/>
    <x v="0"/>
    <x v="1"/>
    <s v="Pequeña"/>
    <x v="0"/>
    <n v="591.01654846335691"/>
  </r>
  <r>
    <s v="Oriental Valley CHS"/>
    <x v="78"/>
    <n v="8108"/>
    <n v="4"/>
    <x v="1"/>
    <x v="5"/>
    <s v=" Sector 9A Gurgaon"/>
    <n v="0"/>
    <n v="0"/>
    <n v="3"/>
    <n v="8"/>
    <n v="3"/>
    <x v="2"/>
    <n v="9"/>
    <n v="0"/>
    <n v="0"/>
    <n v="0"/>
    <n v="0"/>
    <n v="1850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246669955599E-2"/>
    <n v="15000000"/>
    <n v="8.1079999999999999E-2"/>
    <x v="2"/>
    <s v="Todo bien"/>
    <x v="0"/>
    <x v="0"/>
    <n v="805.87120911445493"/>
    <x v="1"/>
    <x v="2"/>
    <s v="Pequeña"/>
    <x v="0"/>
    <n v="1850.02466699556"/>
  </r>
  <r>
    <s v="AVL  Gurgaon"/>
    <x v="2"/>
    <n v="10204"/>
    <n v="1"/>
    <x v="0"/>
    <x v="0"/>
    <s v=" Sector 36A Gurgaon"/>
    <n v="0"/>
    <n v="0"/>
    <n v="1"/>
    <n v="4"/>
    <n v="1"/>
    <x v="3"/>
    <n v="10"/>
    <n v="0"/>
    <n v="0"/>
    <n v="0"/>
    <n v="0"/>
    <n v="392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9200313602507997E-3"/>
    <n v="4000000"/>
    <n v="0.10204000000000001"/>
    <x v="0"/>
    <s v="Todo bien"/>
    <x v="0"/>
    <x v="0"/>
    <n v="170.75666440611167"/>
    <x v="0"/>
    <x v="1"/>
    <s v="Pequeña"/>
    <x v="0"/>
    <n v="392.00313602508817"/>
  </r>
  <r>
    <s v="Smart World Gems"/>
    <x v="8"/>
    <n v="9972"/>
    <n v="3"/>
    <x v="1"/>
    <x v="4"/>
    <s v=" Sector 89 Gurgaon"/>
    <n v="0"/>
    <n v="0"/>
    <n v="1"/>
    <n v="0"/>
    <n v="0"/>
    <x v="1"/>
    <n v="1"/>
    <n v="0"/>
    <n v="0"/>
    <n v="0"/>
    <n v="0"/>
    <n v="1103.088648215002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x v="2"/>
    <s v="Todo bien"/>
    <x v="0"/>
    <x v="2"/>
    <n v="480.5056919273959"/>
    <x v="0"/>
    <x v="0"/>
    <s v="Mediana"/>
    <x v="0"/>
    <n v="1103.088648215002"/>
  </r>
  <r>
    <s v="Signature Global Grand IVA"/>
    <x v="1"/>
    <n v="6667"/>
    <n v="2"/>
    <x v="5"/>
    <x v="4"/>
    <s v=" Sector 103 Gurgaon"/>
    <n v="0"/>
    <n v="0"/>
    <n v="2"/>
    <n v="10"/>
    <n v="0"/>
    <x v="0"/>
    <n v="10"/>
    <n v="0"/>
    <n v="0"/>
    <n v="0"/>
    <n v="0"/>
    <n v="605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625018749E-3"/>
    <n v="5000000"/>
    <n v="6.6669999999999993E-2"/>
    <x v="1"/>
    <s v="Todo bien"/>
    <x v="0"/>
    <x v="2"/>
    <n v="326.68385398229816"/>
    <x v="0"/>
    <x v="0"/>
    <s v="Pequeña"/>
    <x v="0"/>
    <n v="749.96250187490637"/>
  </r>
  <r>
    <s v="Central Park Flower Valley"/>
    <x v="12"/>
    <n v="10384"/>
    <n v="3"/>
    <x v="0"/>
    <x v="2"/>
    <s v=" Sector-33 Sohna"/>
    <n v="0"/>
    <n v="0"/>
    <n v="2"/>
    <n v="3"/>
    <n v="2"/>
    <x v="1"/>
    <n v="3"/>
    <n v="0"/>
    <n v="0"/>
    <n v="0"/>
    <n v="0"/>
    <n v="1300"/>
    <m/>
    <m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7704160246E-2"/>
    <n v="13500000"/>
    <n v="0.10384"/>
    <x v="2"/>
    <s v="Todo bien"/>
    <x v="1"/>
    <x v="3"/>
    <n v="566.31388551136138"/>
    <x v="1"/>
    <x v="2"/>
    <s v="Pequeña"/>
    <x v="0"/>
    <n v="1300.0770416024652"/>
  </r>
  <r>
    <s v="Orchid Island"/>
    <x v="74"/>
    <n v="10651"/>
    <n v="3"/>
    <x v="0"/>
    <x v="5"/>
    <s v=" Sector 51 Gurgaon"/>
    <n v="0"/>
    <n v="0"/>
    <n v="4"/>
    <n v="2"/>
    <n v="3"/>
    <x v="1"/>
    <n v="2"/>
    <n v="0"/>
    <n v="0"/>
    <n v="1"/>
    <n v="1"/>
    <n v="1596"/>
    <m/>
    <m/>
    <n v="0"/>
    <n v="0"/>
    <n v="0"/>
    <n v="1"/>
    <n v="1"/>
    <n v="0"/>
    <n v="1"/>
    <n v="1"/>
    <n v="1"/>
    <n v="1"/>
    <n v="1"/>
    <n v="1"/>
    <n v="0"/>
    <n v="0"/>
    <n v="1"/>
    <n v="0"/>
    <n v="0"/>
    <n v="28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59609426344944E-2"/>
    <n v="17000000"/>
    <n v="0.10650999999999999"/>
    <x v="3"/>
    <s v="Todo bien"/>
    <x v="1"/>
    <x v="1"/>
    <n v="695.25906161862679"/>
    <x v="1"/>
    <x v="2"/>
    <s v="Pequeña"/>
    <x v="0"/>
    <n v="1596.0942634494415"/>
  </r>
  <r>
    <s v="Pivotal Riddhi Siddhi"/>
    <x v="108"/>
    <n v="947"/>
    <n v="2"/>
    <x v="1"/>
    <x v="0"/>
    <s v=" Sector 99 Gurgaon"/>
    <n v="0"/>
    <n v="0"/>
    <n v="2"/>
    <n v="12"/>
    <n v="2"/>
    <x v="0"/>
    <n v="14"/>
    <n v="0"/>
    <n v="0"/>
    <n v="0"/>
    <n v="1"/>
    <n v="706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29567053854205E-2"/>
    <n v="7200000"/>
    <n v="9.4699999999999993E-3"/>
    <x v="1"/>
    <s v="Todo bien"/>
    <x v="0"/>
    <x v="0"/>
    <n v="3311.8498484477268"/>
    <x v="2"/>
    <x v="0"/>
    <s v="Pequeña"/>
    <x v="0"/>
    <n v="7602.956705385428"/>
  </r>
  <r>
    <s v="Pivotal Devaan"/>
    <x v="290"/>
    <n v="7246"/>
    <n v="2"/>
    <x v="4"/>
    <x v="0"/>
    <s v=" Sector 84 Gurgaon"/>
    <n v="0"/>
    <n v="0"/>
    <n v="2"/>
    <n v="4"/>
    <n v="2"/>
    <x v="0"/>
    <n v="14"/>
    <n v="0"/>
    <n v="0"/>
    <n v="0"/>
    <n v="0"/>
    <n v="48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02511730608996E-3"/>
    <n v="3500000"/>
    <n v="7.2459999999999997E-2"/>
    <x v="0"/>
    <s v="Todo bien"/>
    <x v="0"/>
    <x v="0"/>
    <n v="210.40586228953472"/>
    <x v="0"/>
    <x v="1"/>
    <s v="Pequeña"/>
    <x v="0"/>
    <n v="483.02511730609996"/>
  </r>
  <r>
    <s v=" sarahah tower"/>
    <x v="91"/>
    <n v="8333"/>
    <n v="2"/>
    <x v="1"/>
    <x v="2"/>
    <s v=" Subhash Nagar"/>
    <n v="0"/>
    <n v="0"/>
    <n v="2"/>
    <n v="0"/>
    <n v="1"/>
    <x v="0"/>
    <n v="4"/>
    <n v="0"/>
    <n v="0"/>
    <n v="1"/>
    <n v="0"/>
    <n v="72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1"/>
    <n v="1"/>
    <n v="0"/>
    <n v="0"/>
    <n v="0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7.2002880115204001E-3"/>
    <n v="6000000"/>
    <n v="8.3330000000000001E-2"/>
    <x v="1"/>
    <s v="Todo bien"/>
    <x v="0"/>
    <x v="2"/>
    <n v="313.64472643705489"/>
    <x v="0"/>
    <x v="0"/>
    <s v="Pequeña"/>
    <x v="0"/>
    <n v="720.02880115204607"/>
  </r>
  <r>
    <s v="MM Sierra "/>
    <x v="56"/>
    <n v="9000"/>
    <n v="2"/>
    <x v="5"/>
    <x v="0"/>
    <s v=" Sector 68 Gurgaon"/>
    <n v="0"/>
    <n v="0"/>
    <n v="2"/>
    <n v="1"/>
    <n v="3"/>
    <x v="0"/>
    <n v="15"/>
    <n v="0"/>
    <n v="0"/>
    <n v="0"/>
    <n v="0"/>
    <n v="750"/>
    <m/>
    <n v="1250"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1"/>
    <n v="1"/>
    <n v="1"/>
    <n v="2"/>
    <n v="1"/>
    <n v="0"/>
    <n v="0"/>
    <n v="1"/>
    <n v="1"/>
    <n v="1"/>
    <n v="1"/>
    <n v="0"/>
    <n v="1"/>
    <n v="1"/>
    <n v="0"/>
    <n v="1"/>
    <n v="1"/>
    <n v="0"/>
    <n v="0"/>
    <n v="0"/>
    <n v="0"/>
    <n v="0"/>
    <n v="0"/>
    <n v="1"/>
    <n v="1.3333333333333299E-2"/>
    <n v="12000000"/>
    <n v="0.09"/>
    <x v="2"/>
    <s v="Todo bien"/>
    <x v="2"/>
    <x v="3"/>
    <n v="580.80033453333192"/>
    <x v="1"/>
    <x v="0"/>
    <s v="Pequeña"/>
    <x v="1"/>
    <n v="1333.3333333333335"/>
  </r>
  <r>
    <s v="Signature Global Grand IVA"/>
    <x v="1"/>
    <n v="6250"/>
    <n v="2"/>
    <x v="1"/>
    <x v="0"/>
    <s v=" Sector 103 Gurgaon"/>
    <n v="0"/>
    <n v="0"/>
    <n v="2"/>
    <n v="10"/>
    <n v="2"/>
    <x v="0"/>
    <n v="14"/>
    <n v="0"/>
    <n v="0"/>
    <n v="0"/>
    <n v="0"/>
    <n v="605"/>
    <m/>
    <n v="80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000000"/>
    <n v="6.25E-2"/>
    <x v="1"/>
    <s v="Todo bien"/>
    <x v="0"/>
    <x v="2"/>
    <n v="348.48020072000003"/>
    <x v="0"/>
    <x v="0"/>
    <s v="Pequeña"/>
    <x v="0"/>
    <n v="800"/>
  </r>
  <r>
    <s v="Kendriya Vihar"/>
    <x v="401"/>
    <n v="7768"/>
    <n v="1"/>
    <x v="1"/>
    <x v="1"/>
    <s v=" Sector 56 Gurgaon"/>
    <n v="0"/>
    <n v="0"/>
    <n v="1"/>
    <n v="3"/>
    <n v="1"/>
    <x v="3"/>
    <n v="3"/>
    <n v="0"/>
    <n v="0"/>
    <n v="0"/>
    <n v="0"/>
    <n v="605"/>
    <m/>
    <m/>
    <n v="0"/>
    <n v="0"/>
    <n v="0"/>
    <n v="0"/>
    <n v="1"/>
    <n v="0"/>
    <n v="0"/>
    <n v="1"/>
    <n v="1"/>
    <n v="1"/>
    <n v="1"/>
    <n v="1"/>
    <n v="0"/>
    <n v="0"/>
    <n v="1"/>
    <n v="0"/>
    <n v="1"/>
    <n v="20"/>
    <x v="0"/>
    <x v="0"/>
    <x v="0"/>
    <x v="0"/>
    <x v="0"/>
    <x v="0"/>
    <x v="0"/>
    <x v="1"/>
    <x v="0"/>
    <n v="1"/>
    <n v="1"/>
    <n v="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2"/>
    <n v="6.0504634397528E-3"/>
    <n v="4700000"/>
    <n v="7.7679999999999999E-2"/>
    <x v="0"/>
    <s v="Todo bien"/>
    <x v="1"/>
    <x v="0"/>
    <n v="263.55833924175971"/>
    <x v="0"/>
    <x v="0"/>
    <s v="Pequeña"/>
    <x v="0"/>
    <n v="605.04634397528321"/>
  </r>
  <r>
    <s v="Parsvnath Exotica"/>
    <x v="227"/>
    <n v="17241"/>
    <n v="3"/>
    <x v="1"/>
    <x v="1"/>
    <s v=" Sector 53 Gurgaon"/>
    <n v="0"/>
    <n v="0"/>
    <n v="4"/>
    <n v="7"/>
    <n v="3"/>
    <x v="1"/>
    <n v="18"/>
    <n v="1"/>
    <n v="0"/>
    <n v="0"/>
    <n v="0"/>
    <n v="2900"/>
    <m/>
    <m/>
    <n v="1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2.9000638014036299E-2"/>
    <n v="50000000"/>
    <n v="0.17241000000000001"/>
    <x v="4"/>
    <s v="Todo bien"/>
    <x v="1"/>
    <x v="2"/>
    <n v="1263.268519517429"/>
    <x v="1"/>
    <x v="3"/>
    <s v="Pequeña"/>
    <x v="0"/>
    <n v="2900.0638014036308"/>
  </r>
  <r>
    <s v="Emaar MGF Palm Studios"/>
    <x v="74"/>
    <n v="13502"/>
    <n v="2"/>
    <x v="1"/>
    <x v="0"/>
    <s v=" Sector 66 Gurgaon"/>
    <n v="0"/>
    <n v="0"/>
    <n v="2"/>
    <n v="7"/>
    <n v="2"/>
    <x v="0"/>
    <n v="18"/>
    <n v="0"/>
    <n v="0"/>
    <n v="0"/>
    <n v="0"/>
    <n v="1259.0727299659309"/>
    <m/>
    <n v="1185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25907272996593E-2"/>
    <n v="17000000"/>
    <n v="0.13502"/>
    <x v="3"/>
    <s v="Todo bien"/>
    <x v="0"/>
    <x v="4"/>
    <n v="548.45239707450708"/>
    <x v="1"/>
    <x v="2"/>
    <s v="Pequeña"/>
    <x v="1"/>
    <n v="1259.0727299659309"/>
  </r>
  <r>
    <s v="ILD Greens"/>
    <x v="13"/>
    <n v="5066"/>
    <n v="3"/>
    <x v="1"/>
    <x v="2"/>
    <s v=" Sector 37C Gurgaon"/>
    <n v="0"/>
    <n v="0"/>
    <n v="3"/>
    <n v="0"/>
    <n v="3"/>
    <x v="1"/>
    <n v="18"/>
    <n v="0"/>
    <n v="0"/>
    <n v="0"/>
    <n v="0"/>
    <n v="1875.2467429924991"/>
    <m/>
    <n v="187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4674299249E-2"/>
    <n v="9500000"/>
    <n v="5.0659999999999997E-2"/>
    <x v="1"/>
    <s v="Todo bien"/>
    <x v="0"/>
    <x v="2"/>
    <n v="816.85795174693646"/>
    <x v="1"/>
    <x v="2"/>
    <s v="Pequeña"/>
    <x v="1"/>
    <n v="1875.2467429924991"/>
  </r>
  <r>
    <s v="DLF The Skycourt"/>
    <x v="18"/>
    <n v="11500"/>
    <n v="3"/>
    <x v="1"/>
    <x v="0"/>
    <s v=" Sector 86 Gurgaon"/>
    <n v="0"/>
    <n v="0"/>
    <n v="3"/>
    <n v="7"/>
    <n v="1"/>
    <x v="1"/>
    <n v="20"/>
    <n v="0"/>
    <n v="0"/>
    <n v="1"/>
    <n v="0"/>
    <n v="1913.0434782608697"/>
    <m/>
    <n v="1930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1"/>
    <n v="1"/>
    <n v="1"/>
    <n v="2"/>
    <n v="1"/>
    <n v="1"/>
    <n v="0"/>
    <n v="0"/>
    <n v="0"/>
    <n v="0"/>
    <n v="0"/>
    <n v="1"/>
    <n v="1.9130434782608698E-2"/>
    <n v="22000000.000000004"/>
    <n v="0.115"/>
    <x v="3"/>
    <s v="Todo bien"/>
    <x v="2"/>
    <x v="3"/>
    <n v="833.32221911304362"/>
    <x v="1"/>
    <x v="2"/>
    <s v="Pequeña"/>
    <x v="1"/>
    <n v="1913.0434782608697"/>
  </r>
  <r>
    <s v="Signature Global City "/>
    <x v="402"/>
    <n v="8639"/>
    <n v="2"/>
    <x v="4"/>
    <x v="4"/>
    <s v=" Sector 81 Gurgaon"/>
    <n v="0"/>
    <n v="0"/>
    <n v="2"/>
    <n v="2"/>
    <n v="3"/>
    <x v="0"/>
    <n v="2"/>
    <n v="0"/>
    <n v="0"/>
    <n v="0"/>
    <n v="0"/>
    <n v="565"/>
    <n v="95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497164023613003E-3"/>
    <n v="8250000"/>
    <n v="8.6389999999999995E-2"/>
    <x v="1"/>
    <s v="Todo bien"/>
    <x v="0"/>
    <x v="2"/>
    <n v="415.9858860892428"/>
    <x v="0"/>
    <x v="1"/>
    <s v="Mediana"/>
    <x v="0"/>
    <n v="954.97164023613846"/>
  </r>
  <r>
    <s v="Spaze Privvy The AddreSS The Leaf"/>
    <x v="43"/>
    <n v="5701"/>
    <n v="4"/>
    <x v="1"/>
    <x v="0"/>
    <s v=" Sector 93 Gurgaon"/>
    <n v="0"/>
    <n v="0"/>
    <n v="4"/>
    <n v="16"/>
    <n v="3"/>
    <x v="2"/>
    <n v="16"/>
    <n v="0"/>
    <n v="0"/>
    <n v="0"/>
    <n v="0"/>
    <n v="1700"/>
    <n v="2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259778986142E-2"/>
    <n v="12500000"/>
    <n v="5.7009999999999998E-2"/>
    <x v="2"/>
    <s v="Todo bien"/>
    <x v="0"/>
    <x v="2"/>
    <n v="955.09614738642006"/>
    <x v="1"/>
    <x v="2"/>
    <s v="Grande"/>
    <x v="0"/>
    <n v="2192.5977898614278"/>
  </r>
  <r>
    <s v="Supertech New Soft Launch"/>
    <x v="299"/>
    <n v="7119"/>
    <n v="2"/>
    <x v="4"/>
    <x v="4"/>
    <s v=" Sector 68 Gurgaon"/>
    <n v="0"/>
    <n v="0"/>
    <n v="2"/>
    <n v="7"/>
    <n v="2"/>
    <x v="0"/>
    <n v="7"/>
    <n v="0"/>
    <n v="0"/>
    <n v="0"/>
    <n v="0"/>
    <n v="1179.9410029498524"/>
    <n v="118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9410029498501E-2"/>
    <n v="8400000"/>
    <n v="7.1190000000000003E-2"/>
    <x v="1"/>
    <s v="Todo bien"/>
    <x v="0"/>
    <x v="2"/>
    <n v="513.98259693215232"/>
    <x v="1"/>
    <x v="0"/>
    <s v="Mediana"/>
    <x v="0"/>
    <n v="1179.9410029498524"/>
  </r>
  <r>
    <s v="Emaar Mgf Emerald Floors"/>
    <x v="34"/>
    <n v="10159"/>
    <n v="4"/>
    <x v="1"/>
    <x v="0"/>
    <s v=" Sector 65 Gurgaon"/>
    <n v="0"/>
    <n v="0"/>
    <n v="3"/>
    <n v="1"/>
    <n v="2"/>
    <x v="2"/>
    <n v="2"/>
    <n v="1"/>
    <n v="0"/>
    <n v="0"/>
    <n v="0"/>
    <n v="1750"/>
    <n v="3150"/>
    <m/>
    <m/>
    <m/>
    <m/>
    <m/>
    <m/>
    <m/>
    <m/>
    <m/>
    <m/>
    <m/>
    <m/>
    <m/>
    <m/>
    <m/>
    <m/>
    <m/>
    <m/>
    <n v="0"/>
    <x v="1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991633034747E-2"/>
    <n v="32000000"/>
    <n v="0.10159"/>
    <x v="5"/>
    <s v="Todo bien"/>
    <x v="0"/>
    <x v="2"/>
    <n v="1372.1043438133654"/>
    <x v="1"/>
    <x v="2"/>
    <s v="Muy grande"/>
    <x v="0"/>
    <n v="3149.9163303474752"/>
  </r>
  <r>
    <s v="Mapsko Casa Bella"/>
    <x v="68"/>
    <n v="6903"/>
    <n v="4"/>
    <x v="0"/>
    <x v="4"/>
    <s v=" Sector 82 Gurgaon"/>
    <n v="0"/>
    <n v="0"/>
    <n v="5"/>
    <n v="1"/>
    <n v="3"/>
    <x v="2"/>
    <n v="1"/>
    <n v="0"/>
    <n v="0"/>
    <n v="0"/>
    <n v="0"/>
    <n v="1960"/>
    <n v="253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1296537737201E-2"/>
    <n v="17500000"/>
    <n v="6.9029999999999994E-2"/>
    <x v="3"/>
    <s v="Todo bien"/>
    <x v="0"/>
    <x v="2"/>
    <n v="1104.3031132478627"/>
    <x v="1"/>
    <x v="2"/>
    <s v="Muy grande"/>
    <x v="0"/>
    <n v="2535.1296537737217"/>
  </r>
  <r>
    <s v="Trisara Our Homes "/>
    <x v="290"/>
    <n v="5564"/>
    <n v="2"/>
    <x v="5"/>
    <x v="2"/>
    <s v=" Sohna"/>
    <n v="0"/>
    <n v="0"/>
    <n v="2"/>
    <n v="2"/>
    <n v="1"/>
    <x v="0"/>
    <n v="4"/>
    <n v="0"/>
    <n v="0"/>
    <n v="0"/>
    <n v="0"/>
    <n v="629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385334291001E-3"/>
    <n v="3500000"/>
    <n v="5.5640000000000002E-2"/>
    <x v="0"/>
    <s v="Todo bien"/>
    <x v="0"/>
    <x v="4"/>
    <n v="274.0116603432744"/>
    <x v="0"/>
    <x v="0"/>
    <s v="Pequeña"/>
    <x v="0"/>
    <n v="629.04385334291874"/>
  </r>
  <r>
    <s v="Elan The Presidential"/>
    <x v="135"/>
    <n v="15918"/>
    <n v="3"/>
    <x v="1"/>
    <x v="4"/>
    <s v=" Sector 106 Gurgaon"/>
    <n v="0"/>
    <n v="0"/>
    <n v="3"/>
    <n v="20"/>
    <n v="0"/>
    <x v="1"/>
    <n v="20"/>
    <n v="0"/>
    <n v="0"/>
    <n v="0"/>
    <n v="0"/>
    <n v="2450.0565397663026"/>
    <n v="24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0565397663002E-2"/>
    <n v="39000000"/>
    <n v="0.15917999999999999"/>
    <x v="5"/>
    <s v="Todo bien"/>
    <x v="0"/>
    <x v="2"/>
    <n v="1067.2452434413863"/>
    <x v="1"/>
    <x v="2"/>
    <s v="Grande"/>
    <x v="0"/>
    <n v="2450.0565397663026"/>
  </r>
  <r>
    <s v="Belgravia Resort Residences"/>
    <x v="129"/>
    <n v="18459"/>
    <n v="3"/>
    <x v="0"/>
    <x v="4"/>
    <s v=" Sector 48 Gurgaon"/>
    <n v="0"/>
    <n v="0"/>
    <n v="3"/>
    <n v="14"/>
    <n v="3"/>
    <x v="1"/>
    <n v="14"/>
    <n v="0"/>
    <n v="0"/>
    <n v="0"/>
    <n v="0"/>
    <n v="1869.0069884609134"/>
    <n v="1869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90069884609101E-2"/>
    <n v="34500000"/>
    <n v="0.18459"/>
    <x v="5"/>
    <s v="Todo bien"/>
    <x v="0"/>
    <x v="2"/>
    <n v="814.13991310742597"/>
    <x v="1"/>
    <x v="2"/>
    <s v="Grande"/>
    <x v="0"/>
    <n v="1869.0069884609134"/>
  </r>
  <r>
    <s v="Tulip Ivory"/>
    <x v="168"/>
    <n v="9791"/>
    <n v="4"/>
    <x v="0"/>
    <x v="5"/>
    <s v=" Sector 70 Gurgaon"/>
    <n v="0"/>
    <n v="0"/>
    <n v="4"/>
    <n v="8"/>
    <n v="3"/>
    <x v="2"/>
    <n v="12"/>
    <n v="1"/>
    <n v="0"/>
    <n v="0"/>
    <n v="0"/>
    <n v="2400"/>
    <m/>
    <m/>
    <n v="1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634153814701E-2"/>
    <n v="23500000"/>
    <n v="9.7909999999999997E-2"/>
    <x v="3"/>
    <s v="Todo bien"/>
    <x v="0"/>
    <x v="1"/>
    <n v="1045.5117859411694"/>
    <x v="1"/>
    <x v="2"/>
    <s v="Pequeña"/>
    <x v="0"/>
    <n v="2400.163415381473"/>
  </r>
  <r>
    <s v="ATS Marigold"/>
    <x v="78"/>
    <n v="8500"/>
    <n v="3"/>
    <x v="5"/>
    <x v="3"/>
    <s v=" Sector 89 A Gurgaon"/>
    <n v="0"/>
    <n v="0"/>
    <n v="3"/>
    <n v="5"/>
    <n v="3"/>
    <x v="1"/>
    <n v="22"/>
    <n v="0"/>
    <n v="0"/>
    <n v="0"/>
    <n v="0"/>
    <n v="1450"/>
    <n v="1480"/>
    <n v="1750"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47058823529401E-2"/>
    <n v="15000000"/>
    <n v="8.5000000000000006E-2"/>
    <x v="2"/>
    <s v="Todo bien"/>
    <x v="0"/>
    <x v="4"/>
    <n v="768.70632511764666"/>
    <x v="1"/>
    <x v="2"/>
    <s v="Mediana"/>
    <x v="1"/>
    <n v="1764.705882352941"/>
  </r>
  <r>
    <s v="AIPL Zen Residences"/>
    <x v="280"/>
    <n v="10276"/>
    <n v="2"/>
    <x v="4"/>
    <x v="2"/>
    <s v=" Sector 70A Gurgaon"/>
    <n v="0"/>
    <n v="0"/>
    <n v="2"/>
    <n v="17"/>
    <n v="3"/>
    <x v="0"/>
    <n v="31"/>
    <n v="0"/>
    <n v="0"/>
    <n v="0"/>
    <n v="0"/>
    <n v="1304.0093421564811"/>
    <m/>
    <n v="1304"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0400934215648E-2"/>
    <n v="13400000"/>
    <n v="0.10276"/>
    <x v="2"/>
    <s v="Todo bien"/>
    <x v="1"/>
    <x v="5"/>
    <n v="568.02679661930665"/>
    <x v="1"/>
    <x v="2"/>
    <s v="Pequeña"/>
    <x v="1"/>
    <n v="1304.0093421564811"/>
  </r>
  <r>
    <s v="Indiabulls Enigma"/>
    <x v="107"/>
    <n v="10000"/>
    <n v="4"/>
    <x v="4"/>
    <x v="0"/>
    <s v=" Sector 110 Gurgaon"/>
    <n v="0"/>
    <n v="0"/>
    <n v="5"/>
    <n v="3"/>
    <n v="3"/>
    <x v="2"/>
    <n v="15"/>
    <n v="1"/>
    <n v="0"/>
    <n v="0"/>
    <n v="1"/>
    <n v="3400"/>
    <m/>
    <n v="340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4000000000000002E-2"/>
    <n v="34000000"/>
    <n v="0.1"/>
    <x v="5"/>
    <s v="Todo bien"/>
    <x v="1"/>
    <x v="3"/>
    <n v="1481.0408530600002"/>
    <x v="1"/>
    <x v="3"/>
    <s v="Pequeña"/>
    <x v="3"/>
    <n v="3400"/>
  </r>
  <r>
    <s v="Tulip Yellow"/>
    <x v="7"/>
    <n v="10563"/>
    <n v="3"/>
    <x v="4"/>
    <x v="3"/>
    <s v=" Sector 69 Gurgaon"/>
    <n v="0"/>
    <n v="0"/>
    <n v="3"/>
    <n v="14"/>
    <n v="3"/>
    <x v="1"/>
    <n v="26"/>
    <n v="0"/>
    <n v="0"/>
    <n v="0"/>
    <n v="0"/>
    <n v="170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40613462084599E-2"/>
    <n v="18000000"/>
    <n v="0.10563"/>
    <x v="3"/>
    <s v="Todo bien"/>
    <x v="0"/>
    <x v="2"/>
    <n v="742.28954995739696"/>
    <x v="1"/>
    <x v="2"/>
    <s v="Pequeña"/>
    <x v="0"/>
    <n v="1704.0613462084634"/>
  </r>
  <r>
    <s v="Sare Green ParC Phase "/>
    <x v="8"/>
    <n v="6875"/>
    <n v="4"/>
    <x v="5"/>
    <x v="2"/>
    <s v=" Sector 92 Gurgaon"/>
    <n v="0"/>
    <n v="0"/>
    <n v="3"/>
    <n v="12"/>
    <n v="2"/>
    <x v="2"/>
    <n v="19"/>
    <n v="0"/>
    <n v="0"/>
    <n v="0"/>
    <n v="0"/>
    <n v="1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1000000"/>
    <n v="6.8750000000000006E-2"/>
    <x v="2"/>
    <s v="Todo bien"/>
    <x v="0"/>
    <x v="2"/>
    <n v="696.96040144000006"/>
    <x v="1"/>
    <x v="2"/>
    <s v="Pequeña"/>
    <x v="0"/>
    <n v="1599.9999999999998"/>
  </r>
  <r>
    <s v="Smart World Gems"/>
    <x v="115"/>
    <n v="8794"/>
    <n v="2"/>
    <x v="4"/>
    <x v="2"/>
    <s v=" Sector 89 Gurgaon"/>
    <n v="0"/>
    <n v="0"/>
    <n v="2"/>
    <n v="2"/>
    <n v="3"/>
    <x v="0"/>
    <n v="4"/>
    <n v="0"/>
    <n v="0"/>
    <n v="0"/>
    <n v="0"/>
    <n v="1103.0247896292926"/>
    <n v="1103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47896292899E-2"/>
    <n v="9700000"/>
    <n v="8.7940000000000004E-2"/>
    <x v="1"/>
    <s v="Todo bien"/>
    <x v="0"/>
    <x v="1"/>
    <n v="480.47787511143844"/>
    <x v="0"/>
    <x v="0"/>
    <s v="Mediana"/>
    <x v="0"/>
    <n v="1103.0247896292926"/>
  </r>
  <r>
    <s v="Adani Brahma Samsara Vilasa"/>
    <x v="27"/>
    <n v="29545"/>
    <n v="3"/>
    <x v="2"/>
    <x v="2"/>
    <s v=" Sector 63 Gurgaon"/>
    <n v="0"/>
    <n v="0"/>
    <n v="3"/>
    <n v="4"/>
    <n v="3"/>
    <x v="1"/>
    <n v="4"/>
    <n v="0"/>
    <n v="0"/>
    <n v="0"/>
    <n v="0"/>
    <n v="1100"/>
    <n v="27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169233372801E-2"/>
    <n v="32500000"/>
    <n v="0.29544999999999999"/>
    <x v="5"/>
    <s v="Todo bien"/>
    <x v="0"/>
    <x v="1"/>
    <n v="479.16764779996532"/>
    <x v="0"/>
    <x v="0"/>
    <s v="Muy grande"/>
    <x v="0"/>
    <n v="1100.0169233372822"/>
  </r>
  <r>
    <s v="Smart World Orchard"/>
    <x v="161"/>
    <n v="15644"/>
    <n v="3"/>
    <x v="1"/>
    <x v="2"/>
    <s v=" Sector 61 Gurgaon"/>
    <n v="0"/>
    <n v="0"/>
    <n v="3"/>
    <n v="4"/>
    <n v="2"/>
    <x v="1"/>
    <n v="4"/>
    <n v="0"/>
    <n v="0"/>
    <n v="0"/>
    <n v="0"/>
    <n v="1630"/>
    <m/>
    <m/>
    <n v="0"/>
    <n v="0"/>
    <n v="0"/>
    <n v="0"/>
    <n v="0"/>
    <n v="0"/>
    <n v="0"/>
    <n v="1"/>
    <n v="0"/>
    <n v="1"/>
    <n v="1"/>
    <n v="0"/>
    <n v="1"/>
    <n v="0"/>
    <n v="1"/>
    <n v="0"/>
    <n v="0"/>
    <n v="1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0178982357399E-2"/>
    <n v="25500000"/>
    <n v="0.15644"/>
    <x v="5"/>
    <s v="Todo bien"/>
    <x v="1"/>
    <x v="0"/>
    <n v="710.03620544297905"/>
    <x v="1"/>
    <x v="2"/>
    <s v="Pequeña"/>
    <x v="0"/>
    <n v="1630.0178982357454"/>
  </r>
  <r>
    <s v="Sare Green Parc "/>
    <x v="403"/>
    <n v="4837"/>
    <n v="3"/>
    <x v="1"/>
    <x v="3"/>
    <s v=" Sector 92 Gurgaon"/>
    <n v="0"/>
    <n v="0"/>
    <n v="2"/>
    <n v="6"/>
    <n v="2"/>
    <x v="1"/>
    <n v="19"/>
    <n v="0"/>
    <n v="0"/>
    <n v="0"/>
    <n v="0"/>
    <n v="1261.1122596650816"/>
    <m/>
    <n v="1261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1122596650801E-2"/>
    <n v="6100000"/>
    <n v="4.8370000000000003E-2"/>
    <x v="1"/>
    <s v="Todo bien"/>
    <x v="0"/>
    <x v="2"/>
    <n v="549.34081672317484"/>
    <x v="1"/>
    <x v="2"/>
    <s v="Pequeña"/>
    <x v="1"/>
    <n v="1261.1122596650816"/>
  </r>
  <r>
    <s v="Spaze Privy"/>
    <x v="49"/>
    <n v="9620"/>
    <n v="3"/>
    <x v="1"/>
    <x v="4"/>
    <s v=" Sector 72 Gurgaon"/>
    <n v="0"/>
    <n v="0"/>
    <n v="3"/>
    <n v="10"/>
    <n v="3"/>
    <x v="1"/>
    <n v="10"/>
    <n v="0"/>
    <n v="0"/>
    <n v="0"/>
    <n v="0"/>
    <n v="1975.0519750519752"/>
    <n v="19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19000000"/>
    <n v="9.6199999999999994E-2"/>
    <x v="3"/>
    <s v="Todo bien"/>
    <x v="0"/>
    <x v="2"/>
    <n v="860.33313587317866"/>
    <x v="1"/>
    <x v="2"/>
    <s v="Grande"/>
    <x v="0"/>
    <n v="1975.0519750519752"/>
  </r>
  <r>
    <s v="Signature Global Park"/>
    <x v="29"/>
    <n v="6938"/>
    <n v="2"/>
    <x v="1"/>
    <x v="4"/>
    <s v=" Sohna"/>
    <n v="0"/>
    <n v="0"/>
    <n v="2"/>
    <n v="1"/>
    <n v="0"/>
    <x v="0"/>
    <n v="1"/>
    <n v="0"/>
    <n v="0"/>
    <n v="0"/>
    <n v="0"/>
    <n v="1081.0031709426348"/>
    <n v="1081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x v="1"/>
    <s v="Todo bien"/>
    <x v="0"/>
    <x v="2"/>
    <n v="470.88525248630526"/>
    <x v="0"/>
    <x v="0"/>
    <s v="Mediana"/>
    <x v="0"/>
    <n v="1081.0031709426348"/>
  </r>
  <r>
    <s v="Eldeco Accolade"/>
    <x v="12"/>
    <n v="6136"/>
    <n v="3"/>
    <x v="1"/>
    <x v="2"/>
    <s v=" Sohna"/>
    <n v="0"/>
    <n v="0"/>
    <n v="3"/>
    <n v="2"/>
    <n v="3"/>
    <x v="1"/>
    <n v="11"/>
    <n v="1"/>
    <n v="0"/>
    <n v="0"/>
    <n v="0"/>
    <n v="2200"/>
    <m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13037809648E-2"/>
    <n v="13500000"/>
    <n v="6.1359999999999998E-2"/>
    <x v="2"/>
    <s v="Todo bien"/>
    <x v="0"/>
    <x v="3"/>
    <n v="958.37734471153863"/>
    <x v="1"/>
    <x v="2"/>
    <s v="Pequeña"/>
    <x v="0"/>
    <n v="2200.1303780964799"/>
  </r>
  <r>
    <s v="Tulip Violet"/>
    <x v="71"/>
    <n v="8872"/>
    <n v="3"/>
    <x v="1"/>
    <x v="0"/>
    <s v=" Sector 69 Gurgaon"/>
    <n v="0"/>
    <n v="0"/>
    <n v="3"/>
    <n v="1"/>
    <n v="2"/>
    <x v="1"/>
    <n v="18"/>
    <n v="0"/>
    <n v="0"/>
    <n v="0"/>
    <n v="0"/>
    <n v="1859.7835888187558"/>
    <n v="1578"/>
    <m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597835888187499E-2"/>
    <n v="16500000"/>
    <n v="8.8719999999999993E-2"/>
    <x v="3"/>
    <s v="Todo bien"/>
    <x v="1"/>
    <x v="3"/>
    <n v="810.12219790914992"/>
    <x v="1"/>
    <x v="2"/>
    <s v="Mediana"/>
    <x v="0"/>
    <n v="1859.7835888187558"/>
  </r>
  <r>
    <s v="BPTP Park Generations"/>
    <x v="78"/>
    <n v="9868"/>
    <n v="3"/>
    <x v="2"/>
    <x v="0"/>
    <s v=" Sector 37D Gurgaon"/>
    <n v="0"/>
    <n v="0"/>
    <n v="2"/>
    <n v="17"/>
    <n v="3"/>
    <x v="1"/>
    <n v="19"/>
    <n v="0"/>
    <n v="0"/>
    <n v="0"/>
    <n v="0"/>
    <n v="1520.0648561005269"/>
    <m/>
    <n v="152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006485610052E-2"/>
    <n v="15000000"/>
    <n v="9.8680000000000004E-2"/>
    <x v="2"/>
    <s v="Todo bien"/>
    <x v="0"/>
    <x v="1"/>
    <n v="662.14063270165889"/>
    <x v="1"/>
    <x v="2"/>
    <s v="Pequeña"/>
    <x v="1"/>
    <n v="1520.0648561005269"/>
  </r>
  <r>
    <s v="Spaze Privy"/>
    <x v="49"/>
    <n v="9620"/>
    <n v="3"/>
    <x v="1"/>
    <x v="5"/>
    <s v=" Sector 72 Gurgaon"/>
    <n v="0"/>
    <n v="0"/>
    <n v="3"/>
    <n v="10"/>
    <n v="3"/>
    <x v="1"/>
    <n v="16"/>
    <n v="1"/>
    <n v="0"/>
    <n v="0"/>
    <n v="0"/>
    <n v="1975.0519750519752"/>
    <m/>
    <n v="19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197505197E-2"/>
    <n v="19000000"/>
    <n v="9.6199999999999994E-2"/>
    <x v="3"/>
    <s v="Todo bien"/>
    <x v="1"/>
    <x v="0"/>
    <n v="860.33313587317866"/>
    <x v="1"/>
    <x v="2"/>
    <s v="Pequeña"/>
    <x v="1"/>
    <n v="1975.0519750519752"/>
  </r>
  <r>
    <s v="Central Park Resorts"/>
    <x v="404"/>
    <n v="22388"/>
    <n v="5"/>
    <x v="1"/>
    <x v="0"/>
    <s v=" Sector 48 Gurgaon"/>
    <n v="0"/>
    <n v="0"/>
    <n v="6"/>
    <n v="17"/>
    <n v="3"/>
    <x v="4"/>
    <n v="17"/>
    <n v="1"/>
    <n v="1"/>
    <n v="1"/>
    <n v="0"/>
    <n v="67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6.7000178667143098E-2"/>
    <n v="150000000"/>
    <n v="0.22388"/>
    <x v="6"/>
    <s v="Todo bien"/>
    <x v="2"/>
    <x v="1"/>
    <n v="2918.5294637752363"/>
    <x v="2"/>
    <x v="3"/>
    <s v="Pequeña"/>
    <x v="0"/>
    <n v="6700.0178667143118"/>
  </r>
  <r>
    <s v="ATS Marigold"/>
    <x v="26"/>
    <n v="9142"/>
    <n v="3"/>
    <x v="1"/>
    <x v="2"/>
    <s v=" ats marigold"/>
    <n v="0"/>
    <n v="0"/>
    <n v="3"/>
    <n v="4"/>
    <n v="3"/>
    <x v="1"/>
    <n v="22"/>
    <n v="0"/>
    <n v="0"/>
    <n v="0"/>
    <n v="0"/>
    <n v="1750.1640778823014"/>
    <m/>
    <n v="1750"/>
    <n v="0"/>
    <n v="0"/>
    <n v="0"/>
    <n v="0"/>
    <n v="0"/>
    <n v="0"/>
    <n v="0"/>
    <n v="1"/>
    <n v="1"/>
    <n v="0"/>
    <n v="0"/>
    <n v="0"/>
    <n v="0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640778823001E-2"/>
    <n v="16000000"/>
    <n v="9.1420000000000001E-2"/>
    <x v="3"/>
    <s v="Todo bien"/>
    <x v="0"/>
    <x v="2"/>
    <n v="762.37191144169708"/>
    <x v="1"/>
    <x v="2"/>
    <s v="Pequeña"/>
    <x v="1"/>
    <n v="1750.1640778823014"/>
  </r>
  <r>
    <s v="Puri Diplomatic Greens"/>
    <x v="135"/>
    <n v="13000"/>
    <n v="4"/>
    <x v="2"/>
    <x v="0"/>
    <s v=" Sector 111 Gurgaon"/>
    <n v="0"/>
    <n v="0"/>
    <n v="5"/>
    <n v="6"/>
    <n v="3"/>
    <x v="2"/>
    <n v="21"/>
    <n v="1"/>
    <n v="0"/>
    <n v="0"/>
    <n v="0"/>
    <n v="2950"/>
    <m/>
    <n v="3000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4"/>
    <n v="1"/>
    <n v="1"/>
    <n v="1"/>
    <n v="1"/>
    <n v="1"/>
    <n v="1"/>
    <n v="1"/>
    <n v="1"/>
    <n v="4"/>
    <n v="1"/>
    <n v="1"/>
    <n v="4"/>
    <n v="1"/>
    <n v="1"/>
    <n v="0"/>
    <n v="0"/>
    <n v="0"/>
    <n v="0"/>
    <n v="0"/>
    <n v="1"/>
    <n v="0.03"/>
    <n v="39000000"/>
    <n v="0.13"/>
    <x v="5"/>
    <s v="Todo bien"/>
    <x v="2"/>
    <x v="5"/>
    <n v="1306.8007527"/>
    <x v="1"/>
    <x v="3"/>
    <s v="Pequeña"/>
    <x v="2"/>
    <n v="3000"/>
  </r>
  <r>
    <s v="Breez Global Heights"/>
    <x v="60"/>
    <n v="4842"/>
    <n v="2"/>
    <x v="2"/>
    <x v="0"/>
    <s v=" Sohna"/>
    <n v="0"/>
    <n v="0"/>
    <n v="2"/>
    <n v="4"/>
    <n v="2"/>
    <x v="0"/>
    <n v="10"/>
    <n v="0"/>
    <n v="0"/>
    <n v="0"/>
    <n v="0"/>
    <n v="700"/>
    <n v="800"/>
    <n v="950"/>
    <n v="0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1"/>
    <x v="1"/>
    <x v="1"/>
    <x v="1"/>
    <x v="0"/>
    <x v="1"/>
    <x v="0"/>
    <x v="1"/>
    <n v="1"/>
    <n v="2"/>
    <n v="1"/>
    <n v="2"/>
    <n v="1"/>
    <n v="1"/>
    <n v="1"/>
    <n v="1"/>
    <n v="1"/>
    <n v="9"/>
    <n v="1"/>
    <n v="1"/>
    <n v="1"/>
    <n v="1"/>
    <n v="1"/>
    <n v="2"/>
    <n v="1"/>
    <n v="1"/>
    <n v="0"/>
    <n v="0"/>
    <n v="0"/>
    <n v="0"/>
    <n v="0"/>
    <n v="1"/>
    <n v="9.5002065262288007E-3"/>
    <n v="4600000"/>
    <n v="4.8419999999999998E-2"/>
    <x v="0"/>
    <s v="Todo bien"/>
    <x v="2"/>
    <x v="4"/>
    <n v="413.82923464270834"/>
    <x v="0"/>
    <x v="0"/>
    <s v="Pequeña"/>
    <x v="0"/>
    <n v="950.02065262288318"/>
  </r>
  <r>
    <s v="Shri Ram Apartments"/>
    <x v="75"/>
    <n v="3368"/>
    <n v="2"/>
    <x v="1"/>
    <x v="0"/>
    <s v=" Laxman Vihar"/>
    <n v="0"/>
    <n v="0"/>
    <n v="2"/>
    <n v="4"/>
    <n v="1"/>
    <x v="0"/>
    <n v="4"/>
    <n v="0"/>
    <n v="0"/>
    <n v="0"/>
    <n v="0"/>
    <n v="9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011876484560002E-3"/>
    <n v="3200000"/>
    <n v="3.3680000000000002E-2"/>
    <x v="0"/>
    <s v="Todo bien"/>
    <x v="0"/>
    <x v="2"/>
    <n v="413.8719723515415"/>
    <x v="0"/>
    <x v="0"/>
    <s v="Pequeña"/>
    <x v="0"/>
    <n v="950.11876484560571"/>
  </r>
  <r>
    <s v="Breez Global Hill View"/>
    <x v="23"/>
    <n v="7174"/>
    <n v="2"/>
    <x v="1"/>
    <x v="0"/>
    <s v=" Sohna"/>
    <n v="0"/>
    <n v="0"/>
    <n v="2"/>
    <n v="18"/>
    <n v="1"/>
    <x v="0"/>
    <n v="19"/>
    <n v="0"/>
    <n v="0"/>
    <n v="0"/>
    <n v="0"/>
    <n v="585.41"/>
    <m/>
    <m/>
    <n v="0"/>
    <n v="0"/>
    <n v="1"/>
    <n v="0"/>
    <n v="1"/>
    <n v="0"/>
    <n v="0"/>
    <n v="1"/>
    <n v="0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4744912181999E-3"/>
    <n v="4200000"/>
    <n v="7.1739999999999998E-2"/>
    <x v="0"/>
    <s v="Todo bien"/>
    <x v="0"/>
    <x v="1"/>
    <n v="255.0210557262298"/>
    <x v="0"/>
    <x v="1"/>
    <s v="Pequeña"/>
    <x v="0"/>
    <n v="585.44744912182887"/>
  </r>
  <r>
    <s v="DLF The Arbour"/>
    <x v="405"/>
    <n v="19747"/>
    <n v="4"/>
    <x v="1"/>
    <x v="4"/>
    <s v=" Sector 63 Gurgaon"/>
    <n v="0"/>
    <n v="0"/>
    <n v="4"/>
    <n v="6"/>
    <n v="0"/>
    <x v="2"/>
    <n v="6"/>
    <n v="0"/>
    <n v="0"/>
    <n v="0"/>
    <n v="0"/>
    <n v="3949.9670836076366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670836076299E-2"/>
    <n v="78000000"/>
    <n v="0.19747000000000001"/>
    <x v="6"/>
    <s v="Todo bien"/>
    <x v="0"/>
    <x v="2"/>
    <n v="1720.606652666225"/>
    <x v="3"/>
    <x v="3"/>
    <s v="Muy grande"/>
    <x v="0"/>
    <n v="3949.9670836076366"/>
  </r>
  <r>
    <s v="BSF CHS"/>
    <x v="13"/>
    <n v="5937"/>
    <n v="3"/>
    <x v="1"/>
    <x v="1"/>
    <s v=" Gwal Pahari"/>
    <n v="0"/>
    <n v="0"/>
    <n v="3"/>
    <n v="13"/>
    <n v="3"/>
    <x v="1"/>
    <n v="15"/>
    <n v="0"/>
    <n v="0"/>
    <n v="0"/>
    <n v="0"/>
    <n v="160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001347481893202E-2"/>
    <n v="9500000"/>
    <n v="5.9369999999999999E-2"/>
    <x v="1"/>
    <s v="Todo bien"/>
    <x v="0"/>
    <x v="0"/>
    <n v="697.01909778507627"/>
    <x v="1"/>
    <x v="2"/>
    <s v="Pequeña"/>
    <x v="0"/>
    <n v="1600.1347481893213"/>
  </r>
  <r>
    <s v="Kibithu Villas"/>
    <x v="129"/>
    <n v="12777"/>
    <n v="4"/>
    <x v="1"/>
    <x v="4"/>
    <s v=" Sector 48 Gurgaon"/>
    <n v="0"/>
    <n v="0"/>
    <n v="4"/>
    <n v="2"/>
    <n v="3"/>
    <x v="2"/>
    <n v="2"/>
    <n v="0"/>
    <n v="0"/>
    <n v="0"/>
    <n v="0"/>
    <n v="270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01643578304702E-2"/>
    <n v="34500000"/>
    <n v="0.12776999999999999"/>
    <x v="5"/>
    <s v="Todo bien"/>
    <x v="0"/>
    <x v="2"/>
    <n v="1176.1922717421903"/>
    <x v="1"/>
    <x v="3"/>
    <s v="Pequeña"/>
    <x v="0"/>
    <n v="2700.1643578304765"/>
  </r>
  <r>
    <s v="Tulip Orange"/>
    <x v="8"/>
    <n v="8148"/>
    <n v="3"/>
    <x v="4"/>
    <x v="4"/>
    <s v=" Sector 70 Gurgaon"/>
    <n v="0"/>
    <n v="0"/>
    <n v="2"/>
    <n v="5"/>
    <n v="2"/>
    <x v="1"/>
    <n v="14"/>
    <n v="0"/>
    <n v="0"/>
    <n v="0"/>
    <n v="0"/>
    <n v="1080"/>
    <n v="13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x v="2"/>
    <s v="Todo bien"/>
    <x v="0"/>
    <x v="2"/>
    <n v="588.07103091556007"/>
    <x v="1"/>
    <x v="0"/>
    <s v="Mediana"/>
    <x v="0"/>
    <n v="1350.0245459008347"/>
  </r>
  <r>
    <s v="HSIIDC Sidco Shivalik Apartments"/>
    <x v="28"/>
    <n v="5102"/>
    <n v="3"/>
    <x v="1"/>
    <x v="5"/>
    <s v=" Sector 1 Imt Manesar"/>
    <n v="0"/>
    <n v="0"/>
    <n v="2"/>
    <n v="5"/>
    <n v="2"/>
    <x v="1"/>
    <n v="11"/>
    <n v="0"/>
    <n v="0"/>
    <n v="0"/>
    <n v="0"/>
    <n v="1666.0133281066248"/>
    <m/>
    <n v="1666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60133281066199E-2"/>
    <n v="8500000"/>
    <n v="5.1020000000000003E-2"/>
    <x v="1"/>
    <s v="Todo bien"/>
    <x v="0"/>
    <x v="2"/>
    <n v="725.71582372598766"/>
    <x v="1"/>
    <x v="2"/>
    <s v="Pequeña"/>
    <x v="1"/>
    <n v="1666.0133281066248"/>
  </r>
  <r>
    <s v="TARC Maceo"/>
    <x v="13"/>
    <n v="5954"/>
    <n v="2"/>
    <x v="4"/>
    <x v="0"/>
    <s v=" Sector 91 Gurgaon"/>
    <n v="0"/>
    <n v="0"/>
    <n v="2"/>
    <n v="10"/>
    <n v="2"/>
    <x v="0"/>
    <n v="13"/>
    <n v="0"/>
    <n v="0"/>
    <n v="0"/>
    <n v="0"/>
    <n v="1595.5660060463554"/>
    <m/>
    <n v="1310"/>
    <n v="0"/>
    <n v="0"/>
    <n v="1"/>
    <n v="1"/>
    <n v="0"/>
    <n v="0"/>
    <n v="0"/>
    <n v="0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55660060463499E-2"/>
    <n v="9500000"/>
    <n v="5.9540000000000003E-2"/>
    <x v="1"/>
    <s v="Todo bien"/>
    <x v="0"/>
    <x v="3"/>
    <n v="695.02895256130091"/>
    <x v="1"/>
    <x v="2"/>
    <s v="Pequeña"/>
    <x v="1"/>
    <n v="1595.5660060463554"/>
  </r>
  <r>
    <s v="dnha group housing society"/>
    <x v="29"/>
    <n v="4518"/>
    <n v="3"/>
    <x v="1"/>
    <x v="5"/>
    <s v=" IMT Manesar"/>
    <n v="0"/>
    <n v="0"/>
    <n v="2"/>
    <n v="5"/>
    <n v="2"/>
    <x v="1"/>
    <n v="11"/>
    <n v="0"/>
    <n v="0"/>
    <n v="0"/>
    <n v="0"/>
    <n v="1660.0265604249669"/>
    <m/>
    <n v="166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0265604249601E-2"/>
    <n v="7500000"/>
    <n v="4.5179999999999998E-2"/>
    <x v="1"/>
    <s v="Todo bien"/>
    <x v="0"/>
    <x v="2"/>
    <n v="723.10798622177674"/>
    <x v="1"/>
    <x v="2"/>
    <s v="Pequeña"/>
    <x v="1"/>
    <n v="1660.0265604249669"/>
  </r>
  <r>
    <s v="NBCC Heights"/>
    <x v="29"/>
    <n v="6578"/>
    <n v="2"/>
    <x v="1"/>
    <x v="5"/>
    <s v=" Sector 89 Gurgaon"/>
    <n v="0"/>
    <n v="0"/>
    <n v="2"/>
    <n v="6"/>
    <n v="2"/>
    <x v="0"/>
    <n v="13"/>
    <n v="0"/>
    <n v="0"/>
    <n v="0"/>
    <n v="0"/>
    <n v="1140.1641836424444"/>
    <m/>
    <n v="114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01641836424401E-2"/>
    <n v="7500000"/>
    <n v="6.5780000000000005E-2"/>
    <x v="1"/>
    <s v="Todo bien"/>
    <x v="0"/>
    <x v="2"/>
    <n v="496.6558044618406"/>
    <x v="0"/>
    <x v="0"/>
    <s v="Pequeña"/>
    <x v="1"/>
    <n v="1140.1641836424444"/>
  </r>
  <r>
    <s v="Vatika Gurgaon "/>
    <x v="100"/>
    <n v="6628"/>
    <n v="3"/>
    <x v="1"/>
    <x v="0"/>
    <s v=" Sector 83 Gurgaon"/>
    <n v="0"/>
    <n v="0"/>
    <n v="3"/>
    <n v="7"/>
    <n v="2"/>
    <x v="1"/>
    <n v="18"/>
    <n v="0"/>
    <n v="0"/>
    <n v="0"/>
    <n v="0"/>
    <n v="2112.2510561255281"/>
    <m/>
    <n v="1735"/>
    <n v="0"/>
    <n v="0"/>
    <n v="0"/>
    <n v="1"/>
    <n v="0"/>
    <n v="0"/>
    <n v="0"/>
    <n v="1"/>
    <n v="1"/>
    <n v="1"/>
    <n v="0"/>
    <n v="1"/>
    <n v="1"/>
    <n v="1"/>
    <n v="1"/>
    <n v="1"/>
    <n v="1"/>
    <n v="31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5"/>
    <n v="1"/>
    <n v="0"/>
    <n v="0"/>
    <n v="0"/>
    <n v="1"/>
    <n v="1"/>
    <n v="1"/>
    <n v="0"/>
    <n v="0"/>
    <n v="0"/>
    <n v="0"/>
    <n v="0"/>
    <n v="0"/>
    <n v="2"/>
    <n v="2.1122510561255199E-2"/>
    <n v="14000000"/>
    <n v="6.6280000000000006E-2"/>
    <x v="2"/>
    <s v="Todo bien"/>
    <x v="1"/>
    <x v="3"/>
    <n v="920.09709001206647"/>
    <x v="1"/>
    <x v="2"/>
    <s v="Pequeña"/>
    <x v="1"/>
    <n v="2112.2510561255281"/>
  </r>
  <r>
    <s v="Malibu Towers"/>
    <x v="158"/>
    <n v="10698"/>
    <n v="3"/>
    <x v="1"/>
    <x v="1"/>
    <s v=" Malibu Town"/>
    <n v="0"/>
    <n v="0"/>
    <n v="4"/>
    <n v="1"/>
    <n v="2"/>
    <x v="1"/>
    <n v="12"/>
    <n v="0"/>
    <n v="1"/>
    <n v="0"/>
    <n v="0"/>
    <n v="229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0"/>
    <x v="0"/>
    <x v="0"/>
    <x v="0"/>
    <x v="0"/>
    <x v="0"/>
    <n v="0"/>
    <n v="4"/>
    <n v="1"/>
    <n v="4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2.29014769115722E-2"/>
    <n v="24500000.000000004"/>
    <n v="0.10698000000000001"/>
    <x v="3"/>
    <s v="Todo bien"/>
    <x v="2"/>
    <x v="1"/>
    <n v="997.58890886614086"/>
    <x v="1"/>
    <x v="2"/>
    <s v="Pequeña"/>
    <x v="0"/>
    <n v="2290.1476911572258"/>
  </r>
  <r>
    <s v="Supertech Hues"/>
    <x v="50"/>
    <n v="8474"/>
    <n v="2"/>
    <x v="1"/>
    <x v="2"/>
    <s v=" Sector 68 Gurgaon"/>
    <n v="0"/>
    <n v="0"/>
    <n v="2"/>
    <n v="23"/>
    <n v="3"/>
    <x v="0"/>
    <n v="26"/>
    <n v="0"/>
    <n v="0"/>
    <n v="0"/>
    <n v="0"/>
    <n v="11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x v="1"/>
    <s v="Todo bien"/>
    <x v="0"/>
    <x v="1"/>
    <n v="514.04325100306778"/>
    <x v="1"/>
    <x v="0"/>
    <s v="Pequeña"/>
    <x v="0"/>
    <n v="1180.080245456691"/>
  </r>
  <r>
    <s v="MM Soulitude"/>
    <x v="43"/>
    <n v="8784"/>
    <n v="3"/>
    <x v="1"/>
    <x v="2"/>
    <s v=" Sector 89 Gurgaon"/>
    <n v="0"/>
    <n v="0"/>
    <n v="3"/>
    <n v="3"/>
    <n v="2"/>
    <x v="1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1"/>
    <n v="619.8774062215349"/>
    <x v="1"/>
    <x v="2"/>
    <s v="Pequeña"/>
    <x v="0"/>
    <n v="1423.0418943533698"/>
  </r>
  <r>
    <s v="Tulip Purple"/>
    <x v="153"/>
    <n v="10833"/>
    <n v="4"/>
    <x v="1"/>
    <x v="5"/>
    <s v=" Sector 69 Gurgaon"/>
    <n v="0"/>
    <n v="0"/>
    <n v="4"/>
    <n v="4"/>
    <n v="3"/>
    <x v="2"/>
    <n v="12"/>
    <n v="1"/>
    <n v="0"/>
    <n v="0"/>
    <n v="0"/>
    <n v="2400.0738484261055"/>
    <m/>
    <n v="240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000738484261E-2"/>
    <n v="26000000"/>
    <n v="0.10833"/>
    <x v="5"/>
    <s v="Todo bien"/>
    <x v="0"/>
    <x v="0"/>
    <n v="1045.4727705529378"/>
    <x v="1"/>
    <x v="2"/>
    <s v="Pequeña"/>
    <x v="2"/>
    <n v="2400.0738484261055"/>
  </r>
  <r>
    <s v="Park View Apartments"/>
    <x v="26"/>
    <n v="11034"/>
    <n v="3"/>
    <x v="7"/>
    <x v="5"/>
    <s v=" Sector 15 Gurgaon"/>
    <n v="0"/>
    <n v="0"/>
    <n v="3"/>
    <n v="2"/>
    <n v="3"/>
    <x v="1"/>
    <n v="4"/>
    <n v="0"/>
    <n v="0"/>
    <n v="1"/>
    <n v="0"/>
    <n v="1450"/>
    <m/>
    <m/>
    <n v="1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16000000"/>
    <n v="0.11033999999999999"/>
    <x v="3"/>
    <s v="Todo bien"/>
    <x v="0"/>
    <x v="0"/>
    <n v="631.64799840492935"/>
    <x v="1"/>
    <x v="2"/>
    <s v="Pequeña"/>
    <x v="0"/>
    <n v="1450.0634402755122"/>
  </r>
  <r>
    <s v="Tulip Petals"/>
    <x v="8"/>
    <n v="7097"/>
    <n v="3"/>
    <x v="1"/>
    <x v="4"/>
    <s v=" Sector 89 Gurgaon"/>
    <n v="0"/>
    <n v="0"/>
    <n v="2"/>
    <n v="4"/>
    <n v="3"/>
    <x v="1"/>
    <n v="4"/>
    <n v="0"/>
    <n v="0"/>
    <n v="0"/>
    <n v="0"/>
    <n v="1320"/>
    <n v="15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506833873401E-2"/>
    <n v="11000000"/>
    <n v="7.0970000000000005E-2"/>
    <x v="2"/>
    <s v="Todo bien"/>
    <x v="0"/>
    <x v="2"/>
    <n v="675.15890656615181"/>
    <x v="1"/>
    <x v="2"/>
    <s v="Mediana"/>
    <x v="0"/>
    <n v="1549.9506833873465"/>
  </r>
  <r>
    <s v="Ansal Plaza"/>
    <x v="50"/>
    <n v="10000"/>
    <n v="2"/>
    <x v="1"/>
    <x v="4"/>
    <s v=" Palam Vihar"/>
    <n v="0"/>
    <n v="0"/>
    <n v="3"/>
    <n v="1"/>
    <n v="0"/>
    <x v="0"/>
    <n v="1"/>
    <n v="0"/>
    <n v="0"/>
    <n v="0"/>
    <n v="0"/>
    <n v="1000"/>
    <n v="1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0000000"/>
    <n v="0.1"/>
    <x v="1"/>
    <s v="Todo bien"/>
    <x v="0"/>
    <x v="2"/>
    <n v="435.60025090000005"/>
    <x v="0"/>
    <x v="0"/>
    <s v="Mediana"/>
    <x v="0"/>
    <n v="1000"/>
  </r>
  <r>
    <s v="Krisumi Waterfall Residences"/>
    <x v="141"/>
    <n v="14381"/>
    <n v="3"/>
    <x v="4"/>
    <x v="2"/>
    <s v=" Sector 36A Gurgaon"/>
    <n v="0"/>
    <n v="0"/>
    <n v="3"/>
    <n v="17"/>
    <n v="2"/>
    <x v="1"/>
    <n v="24"/>
    <n v="0"/>
    <n v="0"/>
    <n v="0"/>
    <n v="0"/>
    <n v="2538.0710659898477"/>
    <m/>
    <n v="2538"/>
    <n v="0"/>
    <n v="0"/>
    <n v="0"/>
    <n v="1"/>
    <n v="0"/>
    <n v="0"/>
    <n v="0"/>
    <n v="1"/>
    <n v="0"/>
    <n v="0"/>
    <n v="0"/>
    <n v="1"/>
    <n v="1"/>
    <n v="0"/>
    <n v="1"/>
    <n v="0"/>
    <n v="0"/>
    <n v="15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380710659898401E-2"/>
    <n v="36500000"/>
    <n v="0.14380999999999999"/>
    <x v="5"/>
    <s v="Todo bien"/>
    <x v="1"/>
    <x v="0"/>
    <n v="1105.5843931472048"/>
    <x v="1"/>
    <x v="3"/>
    <s v="Pequeña"/>
    <x v="2"/>
    <n v="2538.0710659898477"/>
  </r>
  <r>
    <s v="CHD Avenue "/>
    <x v="100"/>
    <n v="7945"/>
    <n v="3"/>
    <x v="3"/>
    <x v="5"/>
    <s v=" Sector 71 Gurgaon"/>
    <n v="0"/>
    <n v="0"/>
    <n v="3"/>
    <n v="1"/>
    <n v="2"/>
    <x v="1"/>
    <n v="16"/>
    <n v="0"/>
    <n v="0"/>
    <n v="1"/>
    <n v="0"/>
    <n v="1762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21145374449299E-2"/>
    <n v="14000000"/>
    <n v="7.9450000000000007E-2"/>
    <x v="2"/>
    <s v="Todo bien"/>
    <x v="1"/>
    <x v="5"/>
    <n v="767.57753462554899"/>
    <x v="1"/>
    <x v="2"/>
    <s v="Pequeña"/>
    <x v="0"/>
    <n v="1762.1145374449338"/>
  </r>
  <r>
    <s v="Smart World Orchard"/>
    <x v="153"/>
    <n v="14723"/>
    <n v="3"/>
    <x v="1"/>
    <x v="2"/>
    <s v=" Sector 61 Gurgaon"/>
    <n v="0"/>
    <n v="0"/>
    <n v="3"/>
    <n v="2"/>
    <n v="2"/>
    <x v="1"/>
    <n v="4"/>
    <n v="0"/>
    <n v="0"/>
    <n v="0"/>
    <n v="0"/>
    <n v="1765.9444406710588"/>
    <m/>
    <n v="1630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9444406710498E-2"/>
    <n v="26000000"/>
    <n v="0.14723"/>
    <x v="5"/>
    <s v="Todo bien"/>
    <x v="0"/>
    <x v="1"/>
    <n v="769.24584143176958"/>
    <x v="1"/>
    <x v="2"/>
    <s v="Pequeña"/>
    <x v="1"/>
    <n v="1765.9444406710588"/>
  </r>
  <r>
    <s v="MM Skywalk"/>
    <x v="26"/>
    <n v="11379"/>
    <n v="2"/>
    <x v="1"/>
    <x v="2"/>
    <s v=" Sector 74 Gurgaon"/>
    <n v="0"/>
    <n v="0"/>
    <n v="2"/>
    <n v="28"/>
    <n v="2"/>
    <x v="0"/>
    <n v="30"/>
    <n v="0"/>
    <n v="0"/>
    <n v="0"/>
    <n v="0"/>
    <n v="1406.0989542139027"/>
    <m/>
    <n v="1406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60989542139E-2"/>
    <n v="16000000"/>
    <n v="0.11379"/>
    <x v="3"/>
    <s v="Todo bien"/>
    <x v="0"/>
    <x v="2"/>
    <n v="612.49705724580247"/>
    <x v="1"/>
    <x v="2"/>
    <s v="Pequeña"/>
    <x v="1"/>
    <n v="1406.0989542139027"/>
  </r>
  <r>
    <s v="Supertech Hill Town"/>
    <x v="29"/>
    <n v="6250"/>
    <n v="2"/>
    <x v="5"/>
    <x v="3"/>
    <s v=" Sector-2 Sohna"/>
    <n v="0"/>
    <n v="0"/>
    <n v="2"/>
    <n v="17"/>
    <n v="2"/>
    <x v="0"/>
    <n v="23"/>
    <n v="0"/>
    <n v="1"/>
    <n v="1"/>
    <n v="0"/>
    <n v="1200"/>
    <m/>
    <n v="1200"/>
    <n v="1"/>
    <n v="0"/>
    <n v="0"/>
    <n v="1"/>
    <n v="0"/>
    <n v="1"/>
    <n v="1"/>
    <n v="1"/>
    <n v="0"/>
    <n v="1"/>
    <n v="0"/>
    <n v="1"/>
    <n v="1"/>
    <n v="1"/>
    <n v="1"/>
    <n v="1"/>
    <n v="1"/>
    <n v="40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E-2"/>
    <n v="7500000"/>
    <n v="6.25E-2"/>
    <x v="1"/>
    <s v="Todo bien"/>
    <x v="1"/>
    <x v="3"/>
    <n v="522.72030108000001"/>
    <x v="1"/>
    <x v="0"/>
    <s v="Pequeña"/>
    <x v="1"/>
    <n v="1200"/>
  </r>
  <r>
    <s v="Vatika City Homes"/>
    <x v="29"/>
    <n v="5660"/>
    <n v="2"/>
    <x v="0"/>
    <x v="0"/>
    <s v=" Sector 83 Gurgaon"/>
    <n v="0"/>
    <n v="0"/>
    <n v="2"/>
    <n v="3"/>
    <n v="2"/>
    <x v="0"/>
    <n v="8"/>
    <n v="0"/>
    <n v="0"/>
    <n v="0"/>
    <n v="0"/>
    <n v="1325.0883392226149"/>
    <m/>
    <n v="1325"/>
    <n v="0"/>
    <n v="0"/>
    <n v="1"/>
    <n v="0"/>
    <n v="0"/>
    <n v="0"/>
    <n v="0"/>
    <n v="1"/>
    <n v="1"/>
    <n v="1"/>
    <n v="0"/>
    <n v="1"/>
    <n v="1"/>
    <n v="1"/>
    <n v="0"/>
    <n v="1"/>
    <n v="1"/>
    <n v="33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2508833922261E-2"/>
    <n v="7500000"/>
    <n v="5.6599999999999998E-2"/>
    <x v="1"/>
    <s v="Todo bien"/>
    <x v="1"/>
    <x v="3"/>
    <n v="577.2088130300333"/>
    <x v="1"/>
    <x v="2"/>
    <s v="Pequeña"/>
    <x v="1"/>
    <n v="1325.0883392226149"/>
  </r>
  <r>
    <s v="Emaar The Palm Drive"/>
    <x v="135"/>
    <n v="18636"/>
    <n v="3"/>
    <x v="1"/>
    <x v="0"/>
    <s v=" Sector 66 Gurgaon"/>
    <n v="0"/>
    <n v="0"/>
    <n v="4"/>
    <n v="2"/>
    <n v="3"/>
    <x v="1"/>
    <n v="2"/>
    <n v="0"/>
    <n v="0"/>
    <n v="0"/>
    <n v="0"/>
    <n v="2092.7237604636189"/>
    <n v="22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7237604636099E-2"/>
    <n v="39000000"/>
    <n v="0.18636"/>
    <x v="5"/>
    <s v="Todo bien"/>
    <x v="0"/>
    <x v="2"/>
    <n v="911.59099512234002"/>
    <x v="1"/>
    <x v="2"/>
    <s v="Grande"/>
    <x v="0"/>
    <n v="2092.7237604636189"/>
  </r>
  <r>
    <s v="MM Sky Lofts"/>
    <x v="50"/>
    <n v="11500"/>
    <n v="1"/>
    <x v="1"/>
    <x v="4"/>
    <s v=" Sector 71 Gurgaon"/>
    <n v="0"/>
    <n v="0"/>
    <n v="1"/>
    <n v="9"/>
    <n v="1"/>
    <x v="3"/>
    <n v="9"/>
    <n v="0"/>
    <n v="0"/>
    <n v="0"/>
    <n v="0"/>
    <n v="435"/>
    <n v="86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956521739130002E-3"/>
    <n v="10000000"/>
    <n v="0.115"/>
    <x v="1"/>
    <s v="Todo bien"/>
    <x v="0"/>
    <x v="2"/>
    <n v="378.78282686956334"/>
    <x v="0"/>
    <x v="1"/>
    <s v="Mediana"/>
    <x v="0"/>
    <n v="869.56521739130426"/>
  </r>
  <r>
    <s v="Raheja Vedaanta"/>
    <x v="4"/>
    <n v="4522"/>
    <n v="2"/>
    <x v="0"/>
    <x v="4"/>
    <s v=" Sector 108 Gurgaon"/>
    <n v="0"/>
    <n v="0"/>
    <n v="2"/>
    <n v="1"/>
    <n v="3"/>
    <x v="0"/>
    <n v="1"/>
    <n v="0"/>
    <n v="0"/>
    <n v="0"/>
    <n v="0"/>
    <n v="1200"/>
    <n v="154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798761609907E-2"/>
    <n v="7000000"/>
    <n v="4.5220000000000003E-2"/>
    <x v="1"/>
    <s v="Todo bien"/>
    <x v="0"/>
    <x v="2"/>
    <n v="674.30379396284786"/>
    <x v="1"/>
    <x v="0"/>
    <s v="Mediana"/>
    <x v="0"/>
    <n v="1547.9876160990711"/>
  </r>
  <r>
    <s v="Ashiana Anmol"/>
    <x v="15"/>
    <n v="7059"/>
    <n v="2"/>
    <x v="1"/>
    <x v="4"/>
    <s v=" Sohna"/>
    <n v="0"/>
    <n v="0"/>
    <n v="2"/>
    <n v="8"/>
    <n v="2"/>
    <x v="0"/>
    <n v="8"/>
    <n v="0"/>
    <n v="0"/>
    <n v="0"/>
    <n v="0"/>
    <n v="1039"/>
    <n v="127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496812579685E-2"/>
    <n v="9000000"/>
    <n v="7.059E-2"/>
    <x v="1"/>
    <s v="Todo bien"/>
    <x v="0"/>
    <x v="2"/>
    <n v="555.3764354866106"/>
    <x v="1"/>
    <x v="0"/>
    <s v="Mediana"/>
    <x v="0"/>
    <n v="1274.968125796855"/>
  </r>
  <r>
    <s v="Sidhartha NCR One Phase "/>
    <x v="91"/>
    <n v="4800"/>
    <n v="2"/>
    <x v="2"/>
    <x v="4"/>
    <s v=" Sector 95 Gurgaon"/>
    <n v="0"/>
    <n v="0"/>
    <n v="2"/>
    <n v="10"/>
    <n v="3"/>
    <x v="0"/>
    <n v="10"/>
    <n v="0"/>
    <n v="0"/>
    <n v="0"/>
    <n v="0"/>
    <n v="1250"/>
    <n v="12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6000000"/>
    <n v="4.8000000000000001E-2"/>
    <x v="1"/>
    <s v="Todo bien"/>
    <x v="0"/>
    <x v="2"/>
    <n v="544.5003136250001"/>
    <x v="1"/>
    <x v="2"/>
    <s v="Mediana"/>
    <x v="0"/>
    <n v="1250"/>
  </r>
  <r>
    <s v="Chintels Paradiso"/>
    <x v="406"/>
    <n v="7490"/>
    <n v="4"/>
    <x v="2"/>
    <x v="0"/>
    <s v=" Sector 109 Gurgaon"/>
    <n v="0"/>
    <n v="0"/>
    <n v="4"/>
    <n v="11"/>
    <n v="2"/>
    <x v="2"/>
    <n v="18"/>
    <n v="1"/>
    <n v="0"/>
    <n v="1"/>
    <n v="0"/>
    <n v="2630.173564753004"/>
    <m/>
    <n v="26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301735647530002E-2"/>
    <n v="19700000"/>
    <n v="7.4899999999999994E-2"/>
    <x v="3"/>
    <s v="Todo bien"/>
    <x v="1"/>
    <x v="1"/>
    <n v="1145.7042647169544"/>
    <x v="1"/>
    <x v="3"/>
    <s v="Pequeña"/>
    <x v="2"/>
    <n v="2630.173564753004"/>
  </r>
  <r>
    <s v="ILD Grand"/>
    <x v="12"/>
    <n v="7142"/>
    <n v="3"/>
    <x v="1"/>
    <x v="2"/>
    <s v=" Sector 37C Gurgaon"/>
    <n v="0"/>
    <n v="0"/>
    <n v="3"/>
    <n v="1"/>
    <n v="0"/>
    <x v="1"/>
    <n v="24"/>
    <n v="0"/>
    <n v="0"/>
    <n v="0"/>
    <n v="0"/>
    <n v="1890.2268272192664"/>
    <n v="182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2268272192602E-2"/>
    <n v="13500000"/>
    <n v="7.1419999999999997E-2"/>
    <x v="2"/>
    <s v="Todo bien"/>
    <x v="0"/>
    <x v="2"/>
    <n v="823.38328019462074"/>
    <x v="1"/>
    <x v="2"/>
    <s v="Grande"/>
    <x v="0"/>
    <n v="1890.2268272192664"/>
  </r>
  <r>
    <s v="Ramprastha The Edge Towers"/>
    <x v="29"/>
    <n v="5319"/>
    <n v="2"/>
    <x v="1"/>
    <x v="5"/>
    <s v=" Sector 37D Gurgaon"/>
    <n v="0"/>
    <n v="0"/>
    <n v="2"/>
    <n v="19"/>
    <n v="3"/>
    <x v="0"/>
    <n v="19"/>
    <n v="0"/>
    <n v="0"/>
    <n v="0"/>
    <n v="0"/>
    <n v="1410.0394811054709"/>
    <n v="141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03948110547E-2"/>
    <n v="7500000"/>
    <n v="5.3190000000000001E-2"/>
    <x v="1"/>
    <s v="Todo bien"/>
    <x v="0"/>
    <x v="2"/>
    <n v="614.21355174844859"/>
    <x v="1"/>
    <x v="2"/>
    <s v="Mediana"/>
    <x v="0"/>
    <n v="1410.0394811054709"/>
  </r>
  <r>
    <s v="Pioneer Park"/>
    <x v="26"/>
    <n v="11594"/>
    <n v="2"/>
    <x v="1"/>
    <x v="0"/>
    <s v=" Sector 61 Gurgaon"/>
    <n v="0"/>
    <n v="0"/>
    <n v="2"/>
    <n v="21"/>
    <n v="2"/>
    <x v="0"/>
    <n v="23"/>
    <n v="1"/>
    <n v="0"/>
    <n v="0"/>
    <n v="0"/>
    <n v="138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241504226299E-2"/>
    <n v="16000000"/>
    <n v="0.11594"/>
    <x v="3"/>
    <s v="Todo bien"/>
    <x v="0"/>
    <x v="4"/>
    <n v="601.13886617215701"/>
    <x v="1"/>
    <x v="2"/>
    <s v="Pequeña"/>
    <x v="0"/>
    <n v="1380.0241504226324"/>
  </r>
  <r>
    <s v="Trisara Our Homes "/>
    <x v="407"/>
    <n v="6561"/>
    <n v="2"/>
    <x v="8"/>
    <x v="2"/>
    <s v=" Sohna"/>
    <n v="0"/>
    <n v="0"/>
    <n v="2"/>
    <n v="0"/>
    <n v="1"/>
    <x v="0"/>
    <n v="5"/>
    <n v="0"/>
    <n v="0"/>
    <n v="0"/>
    <n v="0"/>
    <n v="602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10"/>
    <n v="1"/>
    <n v="0"/>
    <n v="0"/>
    <n v="0"/>
    <n v="0"/>
    <n v="1"/>
    <n v="1"/>
    <n v="0"/>
    <n v="0"/>
    <n v="0"/>
    <n v="0"/>
    <n v="0"/>
    <n v="0"/>
    <n v="2"/>
    <n v="6.0204237158969004E-3"/>
    <n v="3950000"/>
    <n v="6.5610000000000002E-2"/>
    <x v="0"/>
    <s v="Todo bien"/>
    <x v="1"/>
    <x v="4"/>
    <n v="262.24980811690006"/>
    <x v="0"/>
    <x v="0"/>
    <s v="Pequeña"/>
    <x v="0"/>
    <n v="602.0423715896967"/>
  </r>
  <r>
    <s v="Ashiana Anmol"/>
    <x v="48"/>
    <n v="8215"/>
    <n v="2"/>
    <x v="4"/>
    <x v="3"/>
    <s v=" Sohna"/>
    <n v="0"/>
    <n v="0"/>
    <n v="2"/>
    <n v="6"/>
    <n v="2"/>
    <x v="0"/>
    <n v="14"/>
    <n v="0"/>
    <n v="0"/>
    <n v="0"/>
    <n v="0"/>
    <n v="900"/>
    <m/>
    <n v="12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511259890444E-2"/>
    <n v="9900000"/>
    <n v="8.2150000000000001E-2"/>
    <x v="1"/>
    <s v="Todo bien"/>
    <x v="0"/>
    <x v="1"/>
    <n v="524.9473504455251"/>
    <x v="1"/>
    <x v="0"/>
    <s v="Pequeña"/>
    <x v="1"/>
    <n v="1205.1125989044431"/>
  </r>
  <r>
    <s v="Paras Dews"/>
    <x v="69"/>
    <n v="8917"/>
    <n v="4"/>
    <x v="3"/>
    <x v="0"/>
    <s v=" Sector 106 Gurgaon"/>
    <n v="0"/>
    <n v="0"/>
    <n v="6"/>
    <n v="6"/>
    <n v="3"/>
    <x v="2"/>
    <n v="24"/>
    <n v="1"/>
    <n v="0"/>
    <n v="0"/>
    <n v="0"/>
    <n v="2355.0521475832679"/>
    <m/>
    <n v="235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5214758326E-2"/>
    <n v="21000000"/>
    <n v="8.9169999999999999E-2"/>
    <x v="3"/>
    <s v="Todo bien"/>
    <x v="0"/>
    <x v="3"/>
    <n v="1025.8613063698519"/>
    <x v="1"/>
    <x v="2"/>
    <s v="Pequeña"/>
    <x v="2"/>
    <n v="2355.0521475832679"/>
  </r>
  <r>
    <s v="Umang Monsoon Breeze"/>
    <x v="174"/>
    <n v="5390"/>
    <n v="2"/>
    <x v="1"/>
    <x v="5"/>
    <s v=" Sector 78 Gurgaon"/>
    <n v="0"/>
    <n v="0"/>
    <n v="2"/>
    <n v="11"/>
    <n v="2"/>
    <x v="0"/>
    <n v="12"/>
    <n v="0"/>
    <n v="0"/>
    <n v="0"/>
    <n v="0"/>
    <n v="1280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014842300556E-2"/>
    <n v="6900000"/>
    <n v="5.3900000000000003E-2"/>
    <x v="1"/>
    <s v="Todo bien"/>
    <x v="0"/>
    <x v="3"/>
    <n v="557.6329742504613"/>
    <x v="1"/>
    <x v="2"/>
    <s v="Pequeña"/>
    <x v="0"/>
    <n v="1280.1484230055657"/>
  </r>
  <r>
    <s v="MM Soulitude"/>
    <x v="50"/>
    <n v="9066"/>
    <n v="2"/>
    <x v="1"/>
    <x v="2"/>
    <s v=" Sector 89 Gurgaon"/>
    <n v="0"/>
    <n v="0"/>
    <n v="2"/>
    <n v="2"/>
    <n v="2"/>
    <x v="0"/>
    <n v="4"/>
    <n v="0"/>
    <n v="1"/>
    <n v="0"/>
    <n v="0"/>
    <n v="110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22810500701E-2"/>
    <n v="10000000"/>
    <n v="9.0660000000000004E-2"/>
    <x v="1"/>
    <s v="Todo bien"/>
    <x v="0"/>
    <x v="1"/>
    <n v="480.47678237370087"/>
    <x v="0"/>
    <x v="0"/>
    <s v="Pequeña"/>
    <x v="0"/>
    <n v="1103.0222810500773"/>
  </r>
  <r>
    <s v="Signature Global Park "/>
    <x v="28"/>
    <n v="11333"/>
    <n v="3"/>
    <x v="1"/>
    <x v="2"/>
    <s v=" Sector 36 Sohna"/>
    <n v="0"/>
    <n v="0"/>
    <n v="2"/>
    <n v="1"/>
    <n v="3"/>
    <x v="1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0"/>
    <n v="1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02205947233003E-3"/>
    <n v="8500000"/>
    <n v="0.11333"/>
    <x v="1"/>
    <s v="Todo bien"/>
    <x v="0"/>
    <x v="2"/>
    <n v="326.70979728668169"/>
    <x v="0"/>
    <x v="0"/>
    <s v="Pequeña"/>
    <x v="0"/>
    <n v="750.02205947233745"/>
  </r>
  <r>
    <s v="HCBS Sports Ville"/>
    <x v="75"/>
    <n v="4301"/>
    <n v="2"/>
    <x v="1"/>
    <x v="0"/>
    <s v=" Sohna"/>
    <n v="0"/>
    <n v="0"/>
    <n v="2"/>
    <n v="3"/>
    <n v="1"/>
    <x v="0"/>
    <n v="13"/>
    <n v="0"/>
    <n v="0"/>
    <n v="0"/>
    <n v="0"/>
    <n v="744.01302022785399"/>
    <n v="743.99"/>
    <m/>
    <n v="0"/>
    <n v="0"/>
    <n v="1"/>
    <n v="1"/>
    <n v="1"/>
    <n v="0"/>
    <n v="1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401302022785E-3"/>
    <n v="3200000"/>
    <n v="4.301E-2"/>
    <x v="0"/>
    <s v="Todo bien"/>
    <x v="0"/>
    <x v="4"/>
    <n v="324.09225828411826"/>
    <x v="0"/>
    <x v="0"/>
    <s v="Pequeña"/>
    <x v="0"/>
    <n v="744.01302022785399"/>
  </r>
  <r>
    <s v="Raheja The Vedaanta Floors"/>
    <x v="4"/>
    <n v="4521"/>
    <n v="2"/>
    <x v="1"/>
    <x v="5"/>
    <s v=" Sector 108 Gurgaon"/>
    <n v="0"/>
    <n v="0"/>
    <n v="2"/>
    <n v="1"/>
    <n v="3"/>
    <x v="0"/>
    <n v="5"/>
    <n v="0"/>
    <n v="0"/>
    <n v="0"/>
    <n v="0"/>
    <n v="1548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1"/>
    <x v="1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483300154833001E-2"/>
    <n v="7000000"/>
    <n v="4.521E-2"/>
    <x v="1"/>
    <s v="Todo bien"/>
    <x v="1"/>
    <x v="2"/>
    <n v="674.45294322052644"/>
    <x v="1"/>
    <x v="2"/>
    <s v="Pequeña"/>
    <x v="0"/>
    <n v="1548.3300154833003"/>
  </r>
  <r>
    <s v="kamal residence"/>
    <x v="2"/>
    <n v="7633"/>
    <n v="2"/>
    <x v="2"/>
    <x v="2"/>
    <s v=" Sohna"/>
    <n v="0"/>
    <n v="0"/>
    <n v="2"/>
    <n v="0"/>
    <n v="1"/>
    <x v="0"/>
    <n v="4"/>
    <n v="0"/>
    <n v="0"/>
    <n v="0"/>
    <n v="0"/>
    <n v="524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2"/>
    <x v="2"/>
    <x v="2"/>
    <x v="2"/>
    <x v="2"/>
    <x v="2"/>
    <x v="2"/>
    <x v="2"/>
    <x v="2"/>
    <m/>
    <n v="2"/>
    <n v="1"/>
    <n v="2"/>
    <n v="1"/>
    <n v="0"/>
    <n v="0"/>
    <n v="0"/>
    <n v="0"/>
    <n v="10"/>
    <n v="1"/>
    <n v="0"/>
    <n v="2"/>
    <n v="1"/>
    <n v="0"/>
    <n v="1"/>
    <n v="1"/>
    <n v="0"/>
    <n v="0"/>
    <n v="0"/>
    <n v="0"/>
    <n v="0"/>
    <n v="0"/>
    <n v="1"/>
    <n v="5.2404035110703E-3"/>
    <n v="4000000"/>
    <n v="7.6329999999999995E-2"/>
    <x v="0"/>
    <s v="Todo bien"/>
    <x v="2"/>
    <x v="2"/>
    <n v="228.27210842394638"/>
    <x v="0"/>
    <x v="1"/>
    <s v="Pequeña"/>
    <x v="0"/>
    <n v="524.04035110703524"/>
  </r>
  <r>
    <s v="MM Soulitude"/>
    <x v="113"/>
    <n v="9978"/>
    <n v="3"/>
    <x v="1"/>
    <x v="2"/>
    <s v=" Sector 89 Gurgaon"/>
    <n v="0"/>
    <n v="0"/>
    <n v="3"/>
    <n v="3"/>
    <n v="2"/>
    <x v="1"/>
    <n v="4"/>
    <n v="0"/>
    <n v="0"/>
    <n v="0"/>
    <n v="0"/>
    <n v="1423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088795349E-2"/>
    <n v="14200000"/>
    <n v="9.9779999999999994E-2"/>
    <x v="2"/>
    <s v="Todo bien"/>
    <x v="0"/>
    <x v="2"/>
    <n v="619.91617185608004"/>
    <x v="1"/>
    <x v="2"/>
    <s v="Pequeña"/>
    <x v="0"/>
    <n v="1423.1308879534977"/>
  </r>
  <r>
    <s v="ROF Ananda"/>
    <x v="94"/>
    <n v="5899"/>
    <n v="2"/>
    <x v="1"/>
    <x v="0"/>
    <s v=" Sector 95 Gurgaon"/>
    <n v="0"/>
    <n v="0"/>
    <n v="2"/>
    <n v="5"/>
    <n v="2"/>
    <x v="0"/>
    <n v="14"/>
    <n v="0"/>
    <n v="1"/>
    <n v="0"/>
    <n v="0"/>
    <n v="644.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4417697914900002E-3"/>
    <n v="3800000"/>
    <n v="5.8990000000000001E-2"/>
    <x v="0"/>
    <s v="Todo bien"/>
    <x v="0"/>
    <x v="1"/>
    <n v="280.60365374130851"/>
    <x v="0"/>
    <x v="0"/>
    <s v="Pequeña"/>
    <x v="0"/>
    <n v="644.17697914900828"/>
  </r>
  <r>
    <s v="GLS Arawali Homes"/>
    <x v="79"/>
    <n v="4513"/>
    <n v="2"/>
    <x v="1"/>
    <x v="0"/>
    <s v=" Sohna"/>
    <n v="0"/>
    <n v="0"/>
    <n v="2"/>
    <n v="4"/>
    <n v="2"/>
    <x v="0"/>
    <n v="13"/>
    <n v="0"/>
    <n v="0"/>
    <n v="0"/>
    <n v="0"/>
    <n v="576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0"/>
    <n v="250.95516338133962"/>
    <x v="0"/>
    <x v="1"/>
    <s v="Pequeña"/>
    <x v="0"/>
    <n v="576.11345003323731"/>
  </r>
  <r>
    <s v="AVL  Gurgaon"/>
    <x v="1"/>
    <n v="8333"/>
    <n v="1"/>
    <x v="1"/>
    <x v="4"/>
    <s v=" Sector 36A Gurgaon"/>
    <n v="0"/>
    <n v="0"/>
    <n v="1"/>
    <n v="5"/>
    <n v="1"/>
    <x v="3"/>
    <n v="5"/>
    <n v="0"/>
    <n v="0"/>
    <n v="0"/>
    <n v="0"/>
    <n v="500"/>
    <n v="6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2"/>
    <n v="261.37060536421092"/>
    <x v="0"/>
    <x v="1"/>
    <s v="Pequeña"/>
    <x v="0"/>
    <n v="600.02400096003839"/>
  </r>
  <r>
    <s v="Tata Primanti"/>
    <x v="156"/>
    <n v="15294"/>
    <n v="4"/>
    <x v="4"/>
    <x v="0"/>
    <s v=" Sector 72 Gurgaon"/>
    <n v="0"/>
    <n v="0"/>
    <n v="4"/>
    <n v="0"/>
    <n v="3"/>
    <x v="2"/>
    <n v="40"/>
    <n v="1"/>
    <n v="1"/>
    <n v="1"/>
    <n v="0"/>
    <n v="4250.0326925591735"/>
    <m/>
    <n v="4250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2500326925591699E-2"/>
    <n v="65000000"/>
    <n v="0.15293999999999999"/>
    <x v="6"/>
    <s v="Todo bien"/>
    <x v="0"/>
    <x v="4"/>
    <n v="1851.3153072119771"/>
    <x v="3"/>
    <x v="3"/>
    <s v="Pequeña"/>
    <x v="3"/>
    <n v="4250.0326925591735"/>
  </r>
  <r>
    <s v="Bestech Altura"/>
    <x v="49"/>
    <n v="9000"/>
    <n v="3"/>
    <x v="1"/>
    <x v="2"/>
    <s v=" Sector 79 Gurgaon"/>
    <n v="0"/>
    <n v="0"/>
    <n v="4"/>
    <n v="11"/>
    <n v="2"/>
    <x v="1"/>
    <n v="17"/>
    <n v="1"/>
    <n v="0"/>
    <n v="0"/>
    <n v="0"/>
    <n v="21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11111111111101E-2"/>
    <n v="19000000"/>
    <n v="0.09"/>
    <x v="3"/>
    <s v="Todo bien"/>
    <x v="0"/>
    <x v="1"/>
    <n v="919.60052967777744"/>
    <x v="1"/>
    <x v="2"/>
    <s v="Pequeña"/>
    <x v="0"/>
    <n v="2111.1111111111113"/>
  </r>
  <r>
    <s v="Eldeco Accolade"/>
    <x v="28"/>
    <n v="6724"/>
    <n v="2"/>
    <x v="1"/>
    <x v="2"/>
    <s v=" Sohna"/>
    <n v="0"/>
    <n v="0"/>
    <n v="2"/>
    <n v="10"/>
    <n v="3"/>
    <x v="0"/>
    <n v="18"/>
    <n v="0"/>
    <n v="0"/>
    <n v="0"/>
    <n v="0"/>
    <n v="730"/>
    <m/>
    <n v="1264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284949434801E-2"/>
    <n v="8500000"/>
    <n v="6.7239999999999994E-2"/>
    <x v="1"/>
    <s v="Todo bien"/>
    <x v="0"/>
    <x v="3"/>
    <n v="550.65468956721929"/>
    <x v="1"/>
    <x v="0"/>
    <s v="Pequeña"/>
    <x v="1"/>
    <n v="1264.1284949434862"/>
  </r>
  <r>
    <s v="Adarsh nagar"/>
    <x v="53"/>
    <n v="6190"/>
    <n v="3"/>
    <x v="7"/>
    <x v="2"/>
    <s v=" Adarsh Nagar"/>
    <n v="0"/>
    <n v="0"/>
    <n v="3"/>
    <n v="1"/>
    <n v="1"/>
    <x v="1"/>
    <n v="4"/>
    <n v="0"/>
    <n v="0"/>
    <n v="0"/>
    <n v="0"/>
    <n v="10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5008077544426E-2"/>
    <n v="6500000"/>
    <n v="6.1899999999999997E-2"/>
    <x v="1"/>
    <s v="Todo bien"/>
    <x v="0"/>
    <x v="0"/>
    <n v="457.41544924878622"/>
    <x v="0"/>
    <x v="0"/>
    <s v="Pequeña"/>
    <x v="0"/>
    <n v="1050.0807754442651"/>
  </r>
  <r>
    <s v="g l s arawali homes"/>
    <x v="79"/>
    <n v="4513"/>
    <n v="2"/>
    <x v="1"/>
    <x v="5"/>
    <s v=" Sohna"/>
    <n v="0"/>
    <n v="0"/>
    <n v="2"/>
    <n v="1"/>
    <n v="2"/>
    <x v="0"/>
    <n v="5"/>
    <n v="0"/>
    <n v="0"/>
    <n v="0"/>
    <n v="0"/>
    <n v="576.11345003323731"/>
    <m/>
    <n v="576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2"/>
    <n v="250.95516338133962"/>
    <x v="0"/>
    <x v="1"/>
    <s v="Pequeña"/>
    <x v="0"/>
    <n v="576.11345003323731"/>
  </r>
  <r>
    <s v="GLS Arawali Homes"/>
    <x v="290"/>
    <n v="6076"/>
    <n v="2"/>
    <x v="1"/>
    <x v="2"/>
    <s v=" Sohna"/>
    <n v="0"/>
    <n v="0"/>
    <n v="2"/>
    <n v="12"/>
    <n v="2"/>
    <x v="0"/>
    <n v="13"/>
    <n v="0"/>
    <n v="0"/>
    <n v="0"/>
    <n v="0"/>
    <n v="576.036866359447"/>
    <m/>
    <n v="576"/>
    <n v="0"/>
    <n v="0"/>
    <n v="1"/>
    <n v="1"/>
    <n v="1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x v="0"/>
    <s v="Todo bien"/>
    <x v="0"/>
    <x v="0"/>
    <n v="250.92180351382186"/>
    <x v="0"/>
    <x v="1"/>
    <s v="Pequeña"/>
    <x v="0"/>
    <n v="576.036866359447"/>
  </r>
  <r>
    <s v="ILD Greens"/>
    <x v="16"/>
    <n v="7500"/>
    <n v="3"/>
    <x v="1"/>
    <x v="2"/>
    <s v=" Sector 37C Gurgaon"/>
    <n v="0"/>
    <n v="0"/>
    <n v="3"/>
    <n v="4"/>
    <n v="3"/>
    <x v="1"/>
    <n v="19"/>
    <n v="0"/>
    <n v="0"/>
    <n v="0"/>
    <n v="0"/>
    <n v="1400"/>
    <n v="1500"/>
    <n v="1875"/>
    <n v="0"/>
    <n v="0"/>
    <n v="0"/>
    <n v="0"/>
    <n v="0"/>
    <n v="0"/>
    <n v="0"/>
    <n v="0"/>
    <n v="0"/>
    <n v="0"/>
    <n v="0"/>
    <n v="0"/>
    <n v="1"/>
    <n v="1"/>
    <n v="0"/>
    <n v="0"/>
    <n v="0"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0500000"/>
    <n v="7.4999999999999997E-2"/>
    <x v="2"/>
    <s v="Todo bien"/>
    <x v="0"/>
    <x v="2"/>
    <n v="609.84035126000003"/>
    <x v="1"/>
    <x v="2"/>
    <s v="Mediana"/>
    <x v="1"/>
    <n v="1400"/>
  </r>
  <r>
    <s v="Piedmont Taksila heights"/>
    <x v="15"/>
    <n v="5855"/>
    <n v="3"/>
    <x v="6"/>
    <x v="5"/>
    <s v=" Sector 37C Gurgaon"/>
    <n v="0"/>
    <n v="0"/>
    <n v="3"/>
    <n v="9"/>
    <n v="3"/>
    <x v="1"/>
    <n v="15"/>
    <n v="0"/>
    <n v="0"/>
    <n v="0"/>
    <n v="0"/>
    <n v="1537.147736976943"/>
    <n v="1537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371477369769401E-2"/>
    <n v="9000000"/>
    <n v="5.8549999999999998E-2"/>
    <x v="1"/>
    <s v="Todo bien"/>
    <x v="1"/>
    <x v="1"/>
    <n v="669.58193989752237"/>
    <x v="1"/>
    <x v="2"/>
    <s v="Mediana"/>
    <x v="0"/>
    <n v="1537.147736976943"/>
  </r>
  <r>
    <s v="DLF The Arbour"/>
    <x v="361"/>
    <n v="21519"/>
    <n v="4"/>
    <x v="1"/>
    <x v="4"/>
    <s v=" Sector 63 Gurgaon"/>
    <n v="0"/>
    <n v="0"/>
    <n v="4"/>
    <n v="27"/>
    <n v="0"/>
    <x v="2"/>
    <n v="27"/>
    <n v="0"/>
    <n v="0"/>
    <n v="0"/>
    <n v="0"/>
    <n v="3949.9976764719549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976764719502E-2"/>
    <n v="85000000"/>
    <n v="0.21518999999999999"/>
    <x v="6"/>
    <s v="Todo bien"/>
    <x v="0"/>
    <x v="2"/>
    <n v="1720.6199789255986"/>
    <x v="3"/>
    <x v="3"/>
    <s v="Muy grande"/>
    <x v="0"/>
    <n v="3949.9976764719549"/>
  </r>
  <r>
    <s v="Suncity Avenue "/>
    <x v="29"/>
    <n v="10204"/>
    <n v="2"/>
    <x v="1"/>
    <x v="3"/>
    <s v=" Sector 76 Gurgaon"/>
    <n v="0"/>
    <n v="0"/>
    <n v="2"/>
    <n v="11"/>
    <n v="2"/>
    <x v="0"/>
    <n v="14"/>
    <n v="0"/>
    <n v="0"/>
    <n v="0"/>
    <n v="0"/>
    <n v="735.00588004704036"/>
    <m/>
    <n v="73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0588004703996E-3"/>
    <n v="7500000"/>
    <n v="0.10204000000000001"/>
    <x v="1"/>
    <s v="Todo bien"/>
    <x v="0"/>
    <x v="2"/>
    <n v="320.16874576146591"/>
    <x v="0"/>
    <x v="0"/>
    <s v="Pequeña"/>
    <x v="0"/>
    <n v="735.00588004704036"/>
  </r>
  <r>
    <s v="ILD Greens"/>
    <x v="47"/>
    <n v="4476"/>
    <n v="4"/>
    <x v="1"/>
    <x v="4"/>
    <s v=" Sector 37A Gurgaon"/>
    <n v="0"/>
    <n v="0"/>
    <n v="4"/>
    <n v="7"/>
    <n v="2"/>
    <x v="2"/>
    <n v="21"/>
    <n v="0"/>
    <n v="0"/>
    <n v="0"/>
    <n v="0"/>
    <n v="1764.9687220732797"/>
    <n v="17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496872207327E-2"/>
    <n v="7900000"/>
    <n v="4.4760000000000001E-2"/>
    <x v="1"/>
    <s v="Todo bien"/>
    <x v="0"/>
    <x v="2"/>
    <n v="768.82081816576886"/>
    <x v="1"/>
    <x v="2"/>
    <s v="Mediana"/>
    <x v="0"/>
    <n v="1764.9687220732797"/>
  </r>
  <r>
    <s v="ATS Marigold"/>
    <x v="78"/>
    <n v="8571"/>
    <n v="3"/>
    <x v="1"/>
    <x v="2"/>
    <s v=" Sector 89 A Gurgaon"/>
    <n v="0"/>
    <n v="0"/>
    <n v="3"/>
    <n v="2"/>
    <n v="3"/>
    <x v="1"/>
    <n v="24"/>
    <n v="0"/>
    <n v="0"/>
    <n v="0"/>
    <n v="0"/>
    <n v="17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15000000"/>
    <n v="8.5709999999999995E-2"/>
    <x v="2"/>
    <s v="Todo bien"/>
    <x v="0"/>
    <x v="1"/>
    <n v="762.33855600279639"/>
    <x v="1"/>
    <x v="2"/>
    <s v="Pequeña"/>
    <x v="0"/>
    <n v="1750.0875043752189"/>
  </r>
  <r>
    <s v="Godrej Summit"/>
    <x v="68"/>
    <n v="7530"/>
    <n v="4"/>
    <x v="1"/>
    <x v="2"/>
    <s v=" Sector 104 Gurgaon"/>
    <n v="0"/>
    <n v="0"/>
    <n v="5"/>
    <n v="1"/>
    <n v="3"/>
    <x v="2"/>
    <n v="17"/>
    <n v="1"/>
    <n v="0"/>
    <n v="0"/>
    <n v="0"/>
    <n v="2324"/>
    <m/>
    <m/>
    <n v="1"/>
    <n v="0"/>
    <n v="1"/>
    <n v="1"/>
    <n v="1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0371845949501E-2"/>
    <n v="17500000"/>
    <n v="7.5300000000000006E-2"/>
    <x v="3"/>
    <s v="Todo bien"/>
    <x v="0"/>
    <x v="3"/>
    <n v="1012.35118071049"/>
    <x v="1"/>
    <x v="2"/>
    <s v="Pequeña"/>
    <x v="0"/>
    <n v="2324.0371845949535"/>
  </r>
  <r>
    <s v="Bestech Altura"/>
    <x v="49"/>
    <n v="8837"/>
    <n v="3"/>
    <x v="2"/>
    <x v="3"/>
    <s v=" Sector 79 Gurgaon"/>
    <n v="0"/>
    <n v="0"/>
    <n v="4"/>
    <n v="11"/>
    <n v="3"/>
    <x v="1"/>
    <n v="19"/>
    <n v="0"/>
    <n v="0"/>
    <n v="0"/>
    <n v="0"/>
    <n v="2150.0509222586847"/>
    <m/>
    <n v="215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0509222586801E-2"/>
    <n v="19000000"/>
    <n v="8.8370000000000004E-2"/>
    <x v="3"/>
    <s v="Todo bien"/>
    <x v="0"/>
    <x v="4"/>
    <n v="936.56272118365746"/>
    <x v="1"/>
    <x v="2"/>
    <s v="Pequeña"/>
    <x v="2"/>
    <n v="2150.0509222586847"/>
  </r>
  <r>
    <s v="Godrej Nature Plus Serenity"/>
    <x v="59"/>
    <n v="8677"/>
    <n v="3"/>
    <x v="8"/>
    <x v="3"/>
    <s v=" Sector-33 Sohna"/>
    <n v="0"/>
    <n v="0"/>
    <n v="2"/>
    <n v="3"/>
    <n v="3"/>
    <x v="1"/>
    <n v="24"/>
    <n v="0"/>
    <n v="0"/>
    <n v="0"/>
    <n v="0"/>
    <n v="1671.0844762014522"/>
    <m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0844762014499E-2"/>
    <n v="14500000"/>
    <n v="8.677E-2"/>
    <x v="2"/>
    <s v="Todo bien"/>
    <x v="0"/>
    <x v="1"/>
    <n v="727.92481710844675"/>
    <x v="1"/>
    <x v="2"/>
    <s v="Pequeña"/>
    <x v="1"/>
    <n v="1671.0844762014522"/>
  </r>
  <r>
    <s v="Conscient Elevate"/>
    <x v="408"/>
    <n v="17500"/>
    <n v="3"/>
    <x v="1"/>
    <x v="3"/>
    <s v=" Sector 59 Gurgaon"/>
    <n v="0"/>
    <n v="0"/>
    <n v="3"/>
    <n v="3"/>
    <n v="1"/>
    <x v="1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714285714285E-2"/>
    <n v="40200000"/>
    <n v="0.17499999999999999"/>
    <x v="4"/>
    <s v="Todo bien"/>
    <x v="0"/>
    <x v="0"/>
    <n v="1000.6360049245684"/>
    <x v="1"/>
    <x v="2"/>
    <s v="Pequeña"/>
    <x v="0"/>
    <n v="2297.1428571428573"/>
  </r>
  <r>
    <s v="Sare Crescent Parc Royal Greens Phase "/>
    <x v="1"/>
    <n v="5000"/>
    <n v="2"/>
    <x v="2"/>
    <x v="4"/>
    <s v=" Sector 92 Gurgaon"/>
    <n v="0"/>
    <n v="0"/>
    <n v="2"/>
    <n v="2"/>
    <n v="3"/>
    <x v="0"/>
    <n v="2"/>
    <n v="0"/>
    <n v="0"/>
    <n v="0"/>
    <n v="0"/>
    <n v="999"/>
    <n v="10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2"/>
    <n v="435.60025090000005"/>
    <x v="0"/>
    <x v="0"/>
    <s v="Mediana"/>
    <x v="0"/>
    <n v="1000"/>
  </r>
  <r>
    <s v="Emaar MGF The Palm Drive"/>
    <x v="409"/>
    <n v="18090"/>
    <n v="3"/>
    <x v="3"/>
    <x v="5"/>
    <s v=" Sector 66 Gurgaon"/>
    <n v="0"/>
    <n v="0"/>
    <n v="4"/>
    <n v="2"/>
    <n v="3"/>
    <x v="1"/>
    <n v="17"/>
    <n v="1"/>
    <n v="0"/>
    <n v="0"/>
    <n v="0"/>
    <n v="2200.1105583195135"/>
    <m/>
    <n v="220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1"/>
    <x v="1"/>
    <n v="0"/>
    <n v="5"/>
    <n v="1"/>
    <n v="6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0011055831951E-2"/>
    <n v="39800000"/>
    <n v="0.18090000000000001"/>
    <x v="5"/>
    <s v="Todo bien"/>
    <x v="1"/>
    <x v="5"/>
    <n v="958.36871121171771"/>
    <x v="1"/>
    <x v="2"/>
    <s v="Pequeña"/>
    <x v="2"/>
    <n v="2200.1105583195135"/>
  </r>
  <r>
    <s v="Signature Global Park"/>
    <x v="410"/>
    <n v="7355"/>
    <n v="2"/>
    <x v="4"/>
    <x v="2"/>
    <s v=" Sohna"/>
    <n v="0"/>
    <n v="0"/>
    <n v="2"/>
    <n v="4"/>
    <n v="3"/>
    <x v="0"/>
    <n v="4"/>
    <n v="0"/>
    <n v="0"/>
    <n v="0"/>
    <n v="0"/>
    <n v="745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0"/>
    <n v="1"/>
    <n v="1"/>
    <n v="0"/>
    <n v="0"/>
    <n v="0"/>
    <n v="0"/>
    <n v="0"/>
    <n v="0"/>
    <n v="0"/>
    <n v="0"/>
    <n v="0"/>
    <n v="0"/>
    <n v="7.4507138001358997E-3"/>
    <n v="5480000"/>
    <n v="7.3550000000000004E-2"/>
    <x v="1"/>
    <s v="Todo bien"/>
    <x v="0"/>
    <x v="3"/>
    <n v="324.55328007232907"/>
    <x v="0"/>
    <x v="0"/>
    <s v="Pequeña"/>
    <x v="0"/>
    <n v="745.07138001359613"/>
  </r>
  <r>
    <s v="Godrej "/>
    <x v="3"/>
    <n v="16256"/>
    <n v="2"/>
    <x v="2"/>
    <x v="2"/>
    <s v=" Sector 79 Gurgaon"/>
    <n v="0"/>
    <n v="0"/>
    <n v="2"/>
    <n v="9"/>
    <n v="3"/>
    <x v="0"/>
    <n v="15"/>
    <n v="0"/>
    <n v="1"/>
    <n v="0"/>
    <n v="0"/>
    <n v="84.01"/>
    <m/>
    <m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428149606299E-3"/>
    <n v="14700000"/>
    <n v="0.16256000000000001"/>
    <x v="2"/>
    <s v="Todo bien"/>
    <x v="0"/>
    <x v="3"/>
    <n v="393.90524656926584"/>
    <x v="0"/>
    <x v="1"/>
    <s v="Pequeña"/>
    <x v="0"/>
    <n v="904.28149606299212"/>
  </r>
  <r>
    <s v="Lotus Homz"/>
    <x v="4"/>
    <n v="10057"/>
    <n v="2"/>
    <x v="4"/>
    <x v="0"/>
    <s v=" Sector 111 Gurgaon"/>
    <n v="0"/>
    <n v="0"/>
    <n v="2"/>
    <n v="8"/>
    <n v="2"/>
    <x v="0"/>
    <n v="10"/>
    <n v="0"/>
    <n v="0"/>
    <n v="0"/>
    <n v="0"/>
    <n v="696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603261409962999E-3"/>
    <n v="7000000"/>
    <n v="0.10057000000000001"/>
    <x v="1"/>
    <s v="Todo bien"/>
    <x v="0"/>
    <x v="1"/>
    <n v="303.19198133638173"/>
    <x v="0"/>
    <x v="0"/>
    <s v="Pequeña"/>
    <x v="0"/>
    <n v="696.03261409963204"/>
  </r>
  <r>
    <s v="Breez Global Hill View"/>
    <x v="153"/>
    <n v="46917"/>
    <n v="2"/>
    <x v="1"/>
    <x v="2"/>
    <s v=" Sohna"/>
    <n v="0"/>
    <n v="0"/>
    <n v="2"/>
    <n v="6"/>
    <n v="2"/>
    <x v="0"/>
    <n v="19"/>
    <n v="0"/>
    <n v="0"/>
    <n v="0"/>
    <n v="0"/>
    <n v="554.1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17013022998002E-3"/>
    <n v="26000000"/>
    <n v="0.46916999999999998"/>
    <x v="5"/>
    <s v="Todo bien"/>
    <x v="0"/>
    <x v="0"/>
    <n v="241.39664776946498"/>
    <x v="0"/>
    <x v="1"/>
    <s v="Pequeña"/>
    <x v="0"/>
    <n v="554.1701302299806"/>
  </r>
  <r>
    <s v="Smart World Gems"/>
    <x v="8"/>
    <n v="9972"/>
    <n v="2"/>
    <x v="1"/>
    <x v="2"/>
    <s v=" Sector 89 Gurgaon"/>
    <n v="0"/>
    <n v="0"/>
    <n v="2"/>
    <n v="3"/>
    <n v="2"/>
    <x v="0"/>
    <n v="4"/>
    <n v="0"/>
    <n v="0"/>
    <n v="0"/>
    <n v="1"/>
    <n v="1103"/>
    <m/>
    <m/>
    <n v="1"/>
    <n v="0"/>
    <n v="1"/>
    <n v="1"/>
    <n v="1"/>
    <n v="0"/>
    <n v="1"/>
    <n v="1"/>
    <n v="1"/>
    <n v="0"/>
    <n v="0"/>
    <n v="0"/>
    <n v="1"/>
    <n v="0"/>
    <n v="1"/>
    <n v="1"/>
    <n v="1"/>
    <n v="2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x v="2"/>
    <s v="Todo bien"/>
    <x v="0"/>
    <x v="1"/>
    <n v="480.5056919273959"/>
    <x v="0"/>
    <x v="0"/>
    <s v="Pequeña"/>
    <x v="0"/>
    <n v="1103.088648215002"/>
  </r>
  <r>
    <s v="Krisumi Waterfall Residences"/>
    <x v="18"/>
    <n v="14874"/>
    <n v="2"/>
    <x v="5"/>
    <x v="2"/>
    <s v=" Sector 36A Gurgaon"/>
    <n v="0"/>
    <n v="0"/>
    <n v="2"/>
    <n v="23"/>
    <n v="2"/>
    <x v="0"/>
    <n v="34"/>
    <n v="0"/>
    <n v="0"/>
    <n v="0"/>
    <n v="0"/>
    <n v="1479.0910313298373"/>
    <m/>
    <n v="1479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7909103132983E-2"/>
    <n v="22000000.000000004"/>
    <n v="0.14874000000000001"/>
    <x v="3"/>
    <s v="Todo bien"/>
    <x v="0"/>
    <x v="2"/>
    <n v="644.29242435121375"/>
    <x v="1"/>
    <x v="2"/>
    <s v="Pequeña"/>
    <x v="1"/>
    <n v="1479.0910313298373"/>
  </r>
  <r>
    <s v="ROF Ananda"/>
    <x v="52"/>
    <n v="5500"/>
    <n v="3"/>
    <x v="4"/>
    <x v="2"/>
    <s v=" Sector 95 Gurgaon"/>
    <n v="0"/>
    <n v="0"/>
    <n v="2"/>
    <n v="14"/>
    <n v="2"/>
    <x v="1"/>
    <n v="14"/>
    <n v="0"/>
    <n v="1"/>
    <n v="0"/>
    <n v="0"/>
    <n v="745"/>
    <m/>
    <n v="100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1"/>
    <n v="1"/>
    <n v="1"/>
    <n v="2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0.01"/>
    <n v="5500000"/>
    <n v="5.5E-2"/>
    <x v="1"/>
    <s v="Todo bien"/>
    <x v="1"/>
    <x v="2"/>
    <n v="435.60025090000005"/>
    <x v="0"/>
    <x v="0"/>
    <s v="Pequeña"/>
    <x v="0"/>
    <n v="1000"/>
  </r>
  <r>
    <s v="ROF Ananda"/>
    <x v="52"/>
    <n v="8527"/>
    <n v="3"/>
    <x v="4"/>
    <x v="2"/>
    <s v=" Sector 95 Gurgaon"/>
    <n v="0"/>
    <n v="0"/>
    <n v="2"/>
    <n v="14"/>
    <n v="2"/>
    <x v="1"/>
    <n v="14"/>
    <n v="0"/>
    <n v="1"/>
    <n v="0"/>
    <n v="0"/>
    <n v="645"/>
    <m/>
    <n v="1000"/>
    <n v="0"/>
    <n v="0"/>
    <n v="1"/>
    <n v="1"/>
    <n v="0"/>
    <n v="0"/>
    <n v="1"/>
    <n v="1"/>
    <n v="0"/>
    <n v="1"/>
    <n v="1"/>
    <n v="1"/>
    <n v="1"/>
    <n v="1"/>
    <n v="1"/>
    <n v="0"/>
    <n v="0"/>
    <n v="38"/>
    <x v="1"/>
    <x v="0"/>
    <x v="1"/>
    <x v="1"/>
    <x v="1"/>
    <x v="1"/>
    <x v="1"/>
    <x v="0"/>
    <x v="1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6.4500996833587003E-3"/>
    <n v="5500000"/>
    <n v="8.5269999999999999E-2"/>
    <x v="1"/>
    <s v="Todo bien"/>
    <x v="1"/>
    <x v="3"/>
    <n v="280.96650404010603"/>
    <x v="0"/>
    <x v="0"/>
    <s v="Pequeña"/>
    <x v="0"/>
    <n v="645.00996833587431"/>
  </r>
  <r>
    <s v="Smart World Gems"/>
    <x v="201"/>
    <n v="8151"/>
    <n v="3"/>
    <x v="3"/>
    <x v="3"/>
    <s v=" Sector 89 Gurgaon"/>
    <n v="0"/>
    <n v="0"/>
    <n v="3"/>
    <n v="3"/>
    <n v="2"/>
    <x v="1"/>
    <n v="4"/>
    <n v="0"/>
    <n v="1"/>
    <n v="0"/>
    <n v="0"/>
    <n v="1423"/>
    <m/>
    <m/>
    <n v="1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826524352E-2"/>
    <n v="11600000"/>
    <n v="8.1509999999999999E-2"/>
    <x v="2"/>
    <s v="Todo bien"/>
    <x v="0"/>
    <x v="3"/>
    <n v="619.91938540546812"/>
    <x v="1"/>
    <x v="2"/>
    <s v="Pequeña"/>
    <x v="0"/>
    <n v="1423.1382652435284"/>
  </r>
  <r>
    <s v="Pareena Mi Casa"/>
    <x v="8"/>
    <n v="9020"/>
    <n v="2"/>
    <x v="4"/>
    <x v="2"/>
    <s v=" Sector 68 Gurgaon"/>
    <n v="0"/>
    <n v="0"/>
    <n v="2"/>
    <n v="13"/>
    <n v="3"/>
    <x v="0"/>
    <n v="22"/>
    <n v="0"/>
    <n v="0"/>
    <n v="0"/>
    <n v="0"/>
    <n v="1225"/>
    <m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951219512195E-2"/>
    <n v="11000000"/>
    <n v="9.0200000000000002E-2"/>
    <x v="2"/>
    <s v="Todo bien"/>
    <x v="0"/>
    <x v="5"/>
    <n v="531.21981817073129"/>
    <x v="1"/>
    <x v="2"/>
    <s v="Pequeña"/>
    <x v="1"/>
    <n v="1219.5121951219512"/>
  </r>
  <r>
    <s v="Godrej Nature Plus"/>
    <x v="56"/>
    <n v="13369"/>
    <n v="2"/>
    <x v="1"/>
    <x v="3"/>
    <s v=" Sector-33 Sohna"/>
    <n v="0"/>
    <n v="0"/>
    <n v="2"/>
    <n v="11"/>
    <n v="0"/>
    <x v="0"/>
    <n v="18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759892288128994E-3"/>
    <n v="12000000"/>
    <n v="0.13369"/>
    <x v="2"/>
    <s v="Todo bien"/>
    <x v="0"/>
    <x v="2"/>
    <n v="390.99431601465966"/>
    <x v="0"/>
    <x v="1"/>
    <s v="Pequeña"/>
    <x v="0"/>
    <n v="897.59892288129254"/>
  </r>
  <r>
    <s v="Antriksh Green"/>
    <x v="39"/>
    <n v="7826"/>
    <n v="4"/>
    <x v="5"/>
    <x v="1"/>
    <s v=" Sector 45 Gurgaon"/>
    <n v="0"/>
    <n v="0"/>
    <n v="4"/>
    <n v="9"/>
    <n v="2"/>
    <x v="2"/>
    <n v="12"/>
    <n v="1"/>
    <n v="0"/>
    <n v="0"/>
    <n v="0"/>
    <n v="287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0"/>
    <x v="1"/>
    <x v="1"/>
    <x v="0"/>
    <n v="1"/>
    <n v="2"/>
    <n v="1"/>
    <n v="4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8750319447993802E-2"/>
    <n v="22500000"/>
    <n v="7.8259999999999996E-2"/>
    <x v="3"/>
    <s v="Todo bien"/>
    <x v="2"/>
    <x v="2"/>
    <n v="1252.364636500125"/>
    <x v="1"/>
    <x v="3"/>
    <s v="Pequeña"/>
    <x v="0"/>
    <n v="2875.031944799387"/>
  </r>
  <r>
    <s v="Whiteland The Aspen"/>
    <x v="84"/>
    <n v="17615"/>
    <n v="3"/>
    <x v="2"/>
    <x v="3"/>
    <s v=" Sector 76 Gurgaon"/>
    <n v="0"/>
    <n v="0"/>
    <n v="4"/>
    <n v="5"/>
    <n v="3"/>
    <x v="1"/>
    <n v="30"/>
    <n v="1"/>
    <n v="0"/>
    <n v="0"/>
    <n v="0"/>
    <n v="1900"/>
    <m/>
    <m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1"/>
    <x v="1"/>
    <n v="0"/>
    <n v="4"/>
    <n v="1"/>
    <n v="3"/>
    <n v="1"/>
    <n v="1"/>
    <n v="1"/>
    <n v="1"/>
    <n v="1"/>
    <n v="0"/>
    <n v="0"/>
    <n v="1"/>
    <n v="0"/>
    <n v="0"/>
    <n v="1"/>
    <n v="1"/>
    <n v="1"/>
    <n v="0"/>
    <n v="0"/>
    <n v="0"/>
    <n v="0"/>
    <n v="0"/>
    <n v="0"/>
    <n v="1"/>
    <n v="1.9017882486517101E-2"/>
    <n v="33500000"/>
    <n v="0.17615"/>
    <x v="5"/>
    <s v="Todo bien"/>
    <x v="2"/>
    <x v="5"/>
    <n v="828.41943827135651"/>
    <x v="1"/>
    <x v="2"/>
    <s v="Pequeña"/>
    <x v="0"/>
    <n v="1901.7882486517174"/>
  </r>
  <r>
    <s v="Bestech Altura"/>
    <x v="411"/>
    <n v="12500"/>
    <n v="3"/>
    <x v="1"/>
    <x v="2"/>
    <s v=" Sector 79 Gurgaon"/>
    <n v="0"/>
    <n v="0"/>
    <n v="4"/>
    <n v="3"/>
    <n v="3"/>
    <x v="1"/>
    <n v="20"/>
    <n v="1"/>
    <n v="0"/>
    <n v="0"/>
    <n v="0"/>
    <n v="215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0000000000001E-2"/>
    <n v="26900000"/>
    <n v="0.125"/>
    <x v="5"/>
    <s v="Todo bien"/>
    <x v="0"/>
    <x v="1"/>
    <n v="937.41173993680013"/>
    <x v="1"/>
    <x v="2"/>
    <s v="Pequeña"/>
    <x v="2"/>
    <n v="2152"/>
  </r>
  <r>
    <s v="Ansal Height "/>
    <x v="42"/>
    <n v="5882"/>
    <n v="2"/>
    <x v="1"/>
    <x v="4"/>
    <s v=" Sector 86 Gurgaon"/>
    <n v="0"/>
    <n v="0"/>
    <n v="2"/>
    <n v="1"/>
    <n v="0"/>
    <x v="0"/>
    <n v="14"/>
    <n v="0"/>
    <n v="0"/>
    <n v="0"/>
    <n v="0"/>
    <n v="1360.0816048962938"/>
    <n v="136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8160489629E-2"/>
    <n v="8000000"/>
    <n v="5.8819999999999997E-2"/>
    <x v="1"/>
    <s v="Todo bien"/>
    <x v="0"/>
    <x v="2"/>
    <n v="592.45188833729867"/>
    <x v="1"/>
    <x v="2"/>
    <s v="Mediana"/>
    <x v="0"/>
    <n v="1360.0816048962938"/>
  </r>
  <r>
    <s v="Ramsons Kshitij"/>
    <x v="290"/>
    <n v="5495"/>
    <n v="2"/>
    <x v="1"/>
    <x v="4"/>
    <s v=" Sector 95 Gurgaon"/>
    <n v="0"/>
    <n v="0"/>
    <n v="2"/>
    <n v="5"/>
    <n v="0"/>
    <x v="0"/>
    <n v="15"/>
    <n v="0"/>
    <n v="0"/>
    <n v="0"/>
    <n v="0"/>
    <n v="636.9426751592357"/>
    <n v="6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94267515922998E-3"/>
    <n v="3500000"/>
    <n v="5.4949999999999999E-2"/>
    <x v="0"/>
    <s v="Todo bien"/>
    <x v="0"/>
    <x v="2"/>
    <n v="277.45238910827777"/>
    <x v="0"/>
    <x v="0"/>
    <s v="Pequeña"/>
    <x v="0"/>
    <n v="636.9426751592357"/>
  </r>
  <r>
    <s v="Vipul Lavanya"/>
    <x v="91"/>
    <n v="6666"/>
    <n v="2"/>
    <x v="1"/>
    <x v="3"/>
    <s v=" Sector 81 Gurgaon"/>
    <n v="0"/>
    <n v="0"/>
    <n v="2"/>
    <n v="0"/>
    <n v="1"/>
    <x v="0"/>
    <n v="15"/>
    <n v="0"/>
    <n v="0"/>
    <n v="0"/>
    <n v="0"/>
    <n v="900.09000900090018"/>
    <m/>
    <n v="9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6000000"/>
    <n v="6.6659999999999997E-2"/>
    <x v="1"/>
    <s v="Todo bien"/>
    <x v="0"/>
    <x v="2"/>
    <n v="392.07943375337533"/>
    <x v="0"/>
    <x v="0"/>
    <s v="Pequeña"/>
    <x v="0"/>
    <n v="900.09000900090018"/>
  </r>
  <r>
    <s v="Breez Global Heights"/>
    <x v="60"/>
    <n v="6478"/>
    <n v="2"/>
    <x v="4"/>
    <x v="0"/>
    <s v=" Sohna"/>
    <n v="0"/>
    <n v="0"/>
    <n v="2"/>
    <n v="6"/>
    <n v="2"/>
    <x v="0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7.1009570855202001E-3"/>
    <n v="4600000"/>
    <n v="6.4780000000000004E-2"/>
    <x v="0"/>
    <s v="Todo bien"/>
    <x v="2"/>
    <x v="1"/>
    <n v="309.3178688082732"/>
    <x v="0"/>
    <x v="0"/>
    <s v="Pequeña"/>
    <x v="0"/>
    <n v="710.09570855202219"/>
  </r>
  <r>
    <s v="Conscient Heritage Max"/>
    <x v="51"/>
    <n v="11633"/>
    <n v="3"/>
    <x v="2"/>
    <x v="2"/>
    <s v=" Sector 102 Gurgaon"/>
    <n v="0"/>
    <n v="0"/>
    <n v="4"/>
    <n v="25"/>
    <n v="3"/>
    <x v="1"/>
    <n v="25"/>
    <n v="1"/>
    <n v="1"/>
    <n v="0"/>
    <n v="0"/>
    <n v="2149.0587122840197"/>
    <m/>
    <n v="2149"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0587122840101E-2"/>
    <n v="25000000"/>
    <n v="0.11633"/>
    <x v="3"/>
    <s v="Todo bien"/>
    <x v="1"/>
    <x v="1"/>
    <n v="936.13051426974573"/>
    <x v="1"/>
    <x v="2"/>
    <s v="Pequeña"/>
    <x v="2"/>
    <n v="2149.0587122840197"/>
  </r>
  <r>
    <s v="Vipul Lavanya"/>
    <x v="91"/>
    <n v="6666"/>
    <n v="2"/>
    <x v="4"/>
    <x v="0"/>
    <s v=" Sector 81 Gurgaon"/>
    <n v="0"/>
    <n v="0"/>
    <n v="2"/>
    <n v="0"/>
    <n v="1"/>
    <x v="0"/>
    <n v="14"/>
    <n v="0"/>
    <n v="0"/>
    <n v="0"/>
    <n v="0"/>
    <n v="9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9.0009000900089994E-3"/>
    <n v="6000000"/>
    <n v="6.6659999999999997E-2"/>
    <x v="1"/>
    <s v="Todo bien"/>
    <x v="0"/>
    <x v="1"/>
    <n v="392.07943375337533"/>
    <x v="0"/>
    <x v="0"/>
    <s v="Pequeña"/>
    <x v="0"/>
    <n v="900.09000900090018"/>
  </r>
  <r>
    <s v="Pareena Mi Casa"/>
    <x v="50"/>
    <n v="8163"/>
    <n v="2"/>
    <x v="1"/>
    <x v="2"/>
    <s v=" Sector 68 Gurgaon"/>
    <n v="0"/>
    <n v="0"/>
    <n v="2"/>
    <n v="16"/>
    <n v="2"/>
    <x v="0"/>
    <n v="35"/>
    <n v="1"/>
    <n v="0"/>
    <n v="0"/>
    <n v="0"/>
    <n v="1225"/>
    <m/>
    <m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3981379394E-2"/>
    <n v="10000000"/>
    <n v="8.1629999999999994E-2"/>
    <x v="1"/>
    <s v="Todo bien"/>
    <x v="0"/>
    <x v="1"/>
    <n v="533.62765025112958"/>
    <x v="1"/>
    <x v="2"/>
    <s v="Pequeña"/>
    <x v="0"/>
    <n v="1225.0398137939485"/>
  </r>
  <r>
    <s v="Ashiana Anmol"/>
    <x v="55"/>
    <n v="7294"/>
    <n v="2"/>
    <x v="1"/>
    <x v="3"/>
    <s v=" Sohna"/>
    <n v="0"/>
    <n v="0"/>
    <n v="2"/>
    <n v="9"/>
    <n v="2"/>
    <x v="0"/>
    <n v="14"/>
    <n v="0"/>
    <n v="0"/>
    <n v="0"/>
    <n v="0"/>
    <n v="875"/>
    <n v="1000"/>
    <n v="127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205648478201E-2"/>
    <n v="9300000"/>
    <n v="7.2940000000000005E-2"/>
    <x v="1"/>
    <s v="Todo bien"/>
    <x v="0"/>
    <x v="0"/>
    <n v="555.39927795037022"/>
    <x v="1"/>
    <x v="0"/>
    <s v="Mediana"/>
    <x v="1"/>
    <n v="1275.02056484782"/>
  </r>
  <r>
    <s v="Smart World Orchard"/>
    <x v="412"/>
    <n v="15500"/>
    <n v="3"/>
    <x v="1"/>
    <x v="3"/>
    <s v=" Sector 61 Gurgaon"/>
    <n v="0"/>
    <n v="0"/>
    <n v="3"/>
    <n v="2"/>
    <n v="3"/>
    <x v="1"/>
    <n v="4"/>
    <n v="0"/>
    <n v="0"/>
    <n v="0"/>
    <n v="1"/>
    <n v="164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7096774193501E-2"/>
    <n v="25400000"/>
    <n v="0.155"/>
    <x v="5"/>
    <s v="Todo bien"/>
    <x v="0"/>
    <x v="2"/>
    <n v="713.82234663612701"/>
    <x v="1"/>
    <x v="2"/>
    <s v="Pequeña"/>
    <x v="0"/>
    <n v="1638.7096774193549"/>
  </r>
  <r>
    <s v="Ansal Sushant Residency"/>
    <x v="78"/>
    <n v="6775"/>
    <n v="3"/>
    <x v="1"/>
    <x v="5"/>
    <s v=" Sushant Lok Phase 3"/>
    <n v="0"/>
    <n v="0"/>
    <n v="2"/>
    <n v="1"/>
    <n v="3"/>
    <x v="1"/>
    <n v="3"/>
    <n v="0"/>
    <n v="0"/>
    <n v="0"/>
    <n v="0"/>
    <n v="246"/>
    <m/>
    <m/>
    <n v="0"/>
    <n v="0"/>
    <n v="0"/>
    <n v="0"/>
    <n v="0"/>
    <n v="0"/>
    <n v="1"/>
    <n v="1"/>
    <n v="0"/>
    <n v="1"/>
    <n v="1"/>
    <n v="1"/>
    <n v="0"/>
    <n v="1"/>
    <n v="1"/>
    <n v="0"/>
    <n v="0"/>
    <n v="20"/>
    <x v="0"/>
    <x v="0"/>
    <x v="0"/>
    <x v="0"/>
    <x v="0"/>
    <x v="0"/>
    <x v="0"/>
    <x v="0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40221402214E-2"/>
    <n v="15000000"/>
    <n v="6.7750000000000005E-2"/>
    <x v="2"/>
    <s v="Todo bien"/>
    <x v="0"/>
    <x v="0"/>
    <n v="964.42859977859689"/>
    <x v="1"/>
    <x v="1"/>
    <s v="Pequeña"/>
    <x v="0"/>
    <n v="2214.022140221402"/>
  </r>
  <r>
    <s v="Shree Vardhman Flora"/>
    <x v="4"/>
    <n v="5177"/>
    <n v="2"/>
    <x v="4"/>
    <x v="2"/>
    <s v=" Sector 90 Gurgaon"/>
    <n v="0"/>
    <n v="0"/>
    <n v="2"/>
    <n v="9"/>
    <n v="3"/>
    <x v="0"/>
    <n v="13"/>
    <n v="0"/>
    <n v="1"/>
    <n v="0"/>
    <n v="0"/>
    <n v="1352.1344407958277"/>
    <m/>
    <n v="1352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213444079582E-2"/>
    <n v="7000000"/>
    <n v="5.1769999999999997E-2"/>
    <x v="1"/>
    <s v="Todo bien"/>
    <x v="0"/>
    <x v="4"/>
    <n v="588.99010166119035"/>
    <x v="1"/>
    <x v="2"/>
    <s v="Pequeña"/>
    <x v="1"/>
    <n v="1352.1344407958277"/>
  </r>
  <r>
    <s v="MM Heights"/>
    <x v="222"/>
    <n v="15200"/>
    <n v="3"/>
    <x v="1"/>
    <x v="4"/>
    <s v=" Sector 65 Gurgaon"/>
    <n v="0"/>
    <n v="0"/>
    <n v="3"/>
    <n v="44"/>
    <n v="3"/>
    <x v="1"/>
    <n v="47"/>
    <n v="0"/>
    <n v="0"/>
    <n v="0"/>
    <n v="0"/>
    <n v="1828.9473684210527"/>
    <m/>
    <n v="1828"/>
    <n v="0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9473684210501E-2"/>
    <n v="27800000"/>
    <n v="0.152"/>
    <x v="5"/>
    <s v="Todo bien"/>
    <x v="0"/>
    <x v="0"/>
    <n v="796.68993256710428"/>
    <x v="1"/>
    <x v="2"/>
    <s v="Pequeña"/>
    <x v="1"/>
    <n v="1828.9473684210527"/>
  </r>
  <r>
    <s v="MVN Athens"/>
    <x v="36"/>
    <n v="5198"/>
    <n v="2"/>
    <x v="1"/>
    <x v="0"/>
    <s v=" Sohna"/>
    <n v="0"/>
    <n v="0"/>
    <n v="2"/>
    <n v="0"/>
    <n v="0"/>
    <x v="0"/>
    <n v="19"/>
    <n v="0"/>
    <n v="0"/>
    <n v="0"/>
    <n v="0"/>
    <n v="480.95421315890729"/>
    <n v="481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095421315890001E-3"/>
    <n v="2500000"/>
    <n v="5.1979999999999998E-2"/>
    <x v="0"/>
    <s v="Todo bien"/>
    <x v="0"/>
    <x v="0"/>
    <n v="209.50377592342895"/>
    <x v="0"/>
    <x v="1"/>
    <s v="Pequeña"/>
    <x v="0"/>
    <n v="480.95421315890729"/>
  </r>
  <r>
    <s v="Sare Crescent Parc"/>
    <x v="15"/>
    <n v="4260"/>
    <n v="4"/>
    <x v="1"/>
    <x v="0"/>
    <s v=" Sector 92 Gurgaon"/>
    <n v="0"/>
    <n v="0"/>
    <n v="5"/>
    <n v="3"/>
    <n v="3"/>
    <x v="2"/>
    <n v="14"/>
    <n v="1"/>
    <n v="0"/>
    <n v="0"/>
    <n v="0"/>
    <n v="2112.676056338028"/>
    <m/>
    <n v="199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26760563380202E-2"/>
    <n v="9000000"/>
    <n v="4.2599999999999999E-2"/>
    <x v="1"/>
    <s v="Todo bien"/>
    <x v="0"/>
    <x v="2"/>
    <n v="920.28222021126419"/>
    <x v="1"/>
    <x v="2"/>
    <s v="Pequeña"/>
    <x v="1"/>
    <n v="2112.676056338028"/>
  </r>
  <r>
    <s v="Shree Vardhman Flora"/>
    <x v="10"/>
    <n v="5120"/>
    <n v="3"/>
    <x v="5"/>
    <x v="2"/>
    <s v=" Sector 90 Gurgaon"/>
    <n v="0"/>
    <n v="0"/>
    <n v="4"/>
    <n v="3"/>
    <n v="3"/>
    <x v="1"/>
    <n v="13"/>
    <n v="1"/>
    <n v="0"/>
    <n v="0"/>
    <n v="0"/>
    <n v="1875"/>
    <m/>
    <n v="1875"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49999999999999E-2"/>
    <n v="9600000"/>
    <n v="5.1200000000000002E-2"/>
    <x v="1"/>
    <s v="Todo bien"/>
    <x v="0"/>
    <x v="3"/>
    <n v="816.75047043749998"/>
    <x v="1"/>
    <x v="2"/>
    <s v="Pequeña"/>
    <x v="1"/>
    <n v="1875"/>
  </r>
  <r>
    <s v="Ramprastha Skyz"/>
    <x v="56"/>
    <n v="6000"/>
    <n v="3"/>
    <x v="4"/>
    <x v="3"/>
    <s v=" Sector 37D Gurgaon"/>
    <n v="0"/>
    <n v="0"/>
    <n v="2"/>
    <n v="9"/>
    <n v="1"/>
    <x v="1"/>
    <n v="19"/>
    <n v="1"/>
    <n v="0"/>
    <n v="0"/>
    <n v="0"/>
    <n v="1850"/>
    <n v="1900"/>
    <n v="2000"/>
    <n v="1"/>
    <n v="0"/>
    <n v="0"/>
    <n v="0"/>
    <n v="0"/>
    <n v="0"/>
    <n v="1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2000000"/>
    <n v="0.06"/>
    <x v="2"/>
    <s v="Todo bien"/>
    <x v="0"/>
    <x v="1"/>
    <n v="871.2005018000001"/>
    <x v="1"/>
    <x v="2"/>
    <s v="Grande"/>
    <x v="1"/>
    <n v="2000"/>
  </r>
  <r>
    <s v="Ashray Apartment"/>
    <x v="62"/>
    <n v="7529"/>
    <n v="2"/>
    <x v="5"/>
    <x v="5"/>
    <s v=" Carterpuri Village"/>
    <n v="0"/>
    <n v="0"/>
    <n v="2"/>
    <n v="3"/>
    <n v="1"/>
    <x v="0"/>
    <n v="4"/>
    <n v="0"/>
    <n v="0"/>
    <n v="0"/>
    <n v="0"/>
    <n v="8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8.5004648691725006E-3"/>
    <n v="6400000"/>
    <n v="7.5289999999999996E-2"/>
    <x v="1"/>
    <s v="Todo bien"/>
    <x v="1"/>
    <x v="0"/>
    <n v="370.28046297781771"/>
    <x v="0"/>
    <x v="0"/>
    <s v="Pequeña"/>
    <x v="0"/>
    <n v="850.04648691725333"/>
  </r>
  <r>
    <s v="MM Woodshire"/>
    <x v="15"/>
    <n v="6590"/>
    <n v="2"/>
    <x v="1"/>
    <x v="0"/>
    <s v=" Sector 107 Gurgaon"/>
    <n v="0"/>
    <n v="0"/>
    <n v="2"/>
    <n v="10"/>
    <n v="3"/>
    <x v="0"/>
    <n v="14"/>
    <n v="0"/>
    <n v="0"/>
    <n v="0"/>
    <n v="0"/>
    <n v="1365.7056145675265"/>
    <m/>
    <n v="1366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1"/>
    <n v="0"/>
    <n v="4"/>
    <n v="1"/>
    <n v="2"/>
    <n v="1"/>
    <n v="0"/>
    <n v="0"/>
    <n v="0"/>
    <n v="1"/>
    <n v="0"/>
    <n v="0"/>
    <n v="1"/>
    <n v="1"/>
    <n v="1"/>
    <n v="1"/>
    <n v="3"/>
    <n v="1"/>
    <n v="0"/>
    <n v="0"/>
    <n v="0"/>
    <n v="0"/>
    <n v="0"/>
    <n v="0"/>
    <n v="2"/>
    <n v="1.36570561456752E-2"/>
    <n v="9000000"/>
    <n v="6.59E-2"/>
    <x v="1"/>
    <s v="Todo bien"/>
    <x v="1"/>
    <x v="2"/>
    <n v="594.90170836115044"/>
    <x v="1"/>
    <x v="2"/>
    <s v="Pequeña"/>
    <x v="1"/>
    <n v="1365.7056145675265"/>
  </r>
  <r>
    <s v="ROF Aalayas"/>
    <x v="0"/>
    <n v="6000"/>
    <n v="1"/>
    <x v="1"/>
    <x v="4"/>
    <s v=" Sector 102 Gurgaon"/>
    <n v="0"/>
    <n v="0"/>
    <n v="1"/>
    <n v="6"/>
    <n v="2"/>
    <x v="3"/>
    <n v="6"/>
    <n v="0"/>
    <n v="0"/>
    <n v="0"/>
    <n v="0"/>
    <n v="750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x v="0"/>
    <s v="Todo bien"/>
    <x v="0"/>
    <x v="2"/>
    <n v="326.70018817499999"/>
    <x v="0"/>
    <x v="0"/>
    <s v="Pequeña"/>
    <x v="0"/>
    <n v="750"/>
  </r>
  <r>
    <s v="Global Hill View"/>
    <x v="89"/>
    <n v="5150"/>
    <n v="2"/>
    <x v="1"/>
    <x v="4"/>
    <s v=" Sector 11 Gurgaon"/>
    <n v="0"/>
    <n v="0"/>
    <n v="2"/>
    <n v="15"/>
    <n v="0"/>
    <x v="0"/>
    <n v="15"/>
    <n v="0"/>
    <n v="0"/>
    <n v="0"/>
    <n v="0"/>
    <n v="699.02912621359224"/>
    <n v="69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02912621358998E-3"/>
    <n v="3600000"/>
    <n v="5.1499999999999997E-2"/>
    <x v="0"/>
    <s v="Todo bien"/>
    <x v="0"/>
    <x v="2"/>
    <n v="304.49726276504759"/>
    <x v="0"/>
    <x v="0"/>
    <s v="Pequeña"/>
    <x v="0"/>
    <n v="699.02912621359224"/>
  </r>
  <r>
    <s v="Paras Quartier"/>
    <x v="159"/>
    <n v="11028"/>
    <n v="4"/>
    <x v="1"/>
    <x v="5"/>
    <s v=" Gwal Pahari"/>
    <n v="0"/>
    <n v="0"/>
    <n v="4"/>
    <n v="0"/>
    <n v="3"/>
    <x v="2"/>
    <n v="1"/>
    <n v="0"/>
    <n v="0"/>
    <n v="0"/>
    <n v="0"/>
    <n v="5350.0181356546973"/>
    <n v="5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500181356546897E-2"/>
    <n v="59000000"/>
    <n v="0.11028"/>
    <x v="4"/>
    <s v="Todo bien"/>
    <x v="0"/>
    <x v="2"/>
    <n v="2330.4692422107332"/>
    <x v="3"/>
    <x v="3"/>
    <s v="Muy grande"/>
    <x v="0"/>
    <n v="5350.0181356546973"/>
  </r>
  <r>
    <s v="GLS Arawali Homes"/>
    <x v="75"/>
    <n v="6722"/>
    <n v="2"/>
    <x v="1"/>
    <x v="4"/>
    <s v=" Sohna"/>
    <n v="0"/>
    <n v="0"/>
    <n v="1"/>
    <n v="0"/>
    <n v="0"/>
    <x v="0"/>
    <n v="1"/>
    <n v="0"/>
    <n v="0"/>
    <n v="0"/>
    <n v="0"/>
    <n v="476.04879500148763"/>
    <n v="476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604879500148002E-3"/>
    <n v="3200000"/>
    <n v="6.7220000000000002E-2"/>
    <x v="0"/>
    <s v="Todo bien"/>
    <x v="0"/>
    <x v="2"/>
    <n v="207.36697454328737"/>
    <x v="0"/>
    <x v="1"/>
    <s v="Pequeña"/>
    <x v="0"/>
    <n v="476.04879500148763"/>
  </r>
  <r>
    <s v="ILD Grand"/>
    <x v="56"/>
    <n v="6593"/>
    <n v="3"/>
    <x v="1"/>
    <x v="3"/>
    <s v=" Sector 37C Gurgaon"/>
    <n v="0"/>
    <n v="0"/>
    <n v="3"/>
    <n v="7"/>
    <n v="3"/>
    <x v="1"/>
    <n v="15"/>
    <n v="0"/>
    <n v="0"/>
    <n v="0"/>
    <n v="0"/>
    <n v="1820.1122402548156"/>
    <m/>
    <n v="18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01122402548099E-2"/>
    <n v="12000000"/>
    <n v="6.5930000000000002E-2"/>
    <x v="2"/>
    <s v="Todo bien"/>
    <x v="0"/>
    <x v="2"/>
    <n v="792.84134852115631"/>
    <x v="1"/>
    <x v="2"/>
    <s v="Pequeña"/>
    <x v="1"/>
    <n v="1820.1122402548156"/>
  </r>
  <r>
    <s v="Sidhartha NCR Greens"/>
    <x v="57"/>
    <n v="5656"/>
    <n v="2"/>
    <x v="1"/>
    <x v="2"/>
    <s v=" Sector 95 Gurgaon"/>
    <n v="0"/>
    <n v="0"/>
    <n v="2"/>
    <n v="13"/>
    <n v="3"/>
    <x v="0"/>
    <n v="21"/>
    <n v="0"/>
    <n v="0"/>
    <n v="0"/>
    <n v="0"/>
    <n v="990.09900990099015"/>
    <m/>
    <n v="990"/>
    <n v="1"/>
    <n v="0"/>
    <n v="0"/>
    <n v="0"/>
    <n v="1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5600000"/>
    <n v="5.6559999999999999E-2"/>
    <x v="1"/>
    <s v="Todo bien"/>
    <x v="0"/>
    <x v="2"/>
    <n v="431.28737712871282"/>
    <x v="0"/>
    <x v="0"/>
    <s v="Pequeña"/>
    <x v="0"/>
    <n v="990.09900990099015"/>
  </r>
  <r>
    <s v="Mapsko Mount Ville"/>
    <x v="100"/>
    <n v="9395"/>
    <n v="3"/>
    <x v="5"/>
    <x v="2"/>
    <s v=" Sector 79 Gurgaon"/>
    <n v="0"/>
    <n v="0"/>
    <n v="3"/>
    <n v="2"/>
    <n v="3"/>
    <x v="1"/>
    <n v="20"/>
    <n v="0"/>
    <n v="0"/>
    <n v="0"/>
    <n v="0"/>
    <n v="149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4901543374135099E-2"/>
    <n v="14000000"/>
    <n v="9.3950000000000006E-2"/>
    <x v="2"/>
    <s v="Todo bien"/>
    <x v="1"/>
    <x v="4"/>
    <n v="649.11160325704827"/>
    <x v="1"/>
    <x v="2"/>
    <s v="Pequeña"/>
    <x v="0"/>
    <n v="1490.1543374135179"/>
  </r>
  <r>
    <s v="CGHS Hewo Apartments"/>
    <x v="43"/>
    <n v="11574"/>
    <n v="2"/>
    <x v="1"/>
    <x v="1"/>
    <s v=" Sector 31 Gurgaon"/>
    <n v="0"/>
    <n v="0"/>
    <n v="2"/>
    <n v="2"/>
    <n v="2"/>
    <x v="0"/>
    <n v="4"/>
    <n v="0"/>
    <n v="0"/>
    <n v="0"/>
    <n v="0"/>
    <n v="1080"/>
    <m/>
    <m/>
    <n v="0"/>
    <n v="0"/>
    <n v="0"/>
    <n v="1"/>
    <n v="0"/>
    <n v="0"/>
    <n v="0"/>
    <n v="1"/>
    <n v="0"/>
    <n v="1"/>
    <n v="1"/>
    <n v="0"/>
    <n v="0"/>
    <n v="0"/>
    <n v="0"/>
    <n v="0"/>
    <n v="0"/>
    <n v="21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069120442299E-2"/>
    <n v="12500000"/>
    <n v="0.11574"/>
    <x v="2"/>
    <s v="Todo bien"/>
    <x v="0"/>
    <x v="1"/>
    <n v="470.45128186020082"/>
    <x v="0"/>
    <x v="0"/>
    <s v="Pequeña"/>
    <x v="0"/>
    <n v="1080.0069120442372"/>
  </r>
  <r>
    <s v="Godrej Nature Plus"/>
    <x v="78"/>
    <n v="10200"/>
    <n v="2"/>
    <x v="3"/>
    <x v="3"/>
    <s v=" Sector-33 Sohna"/>
    <n v="0"/>
    <n v="0"/>
    <n v="2"/>
    <n v="2"/>
    <n v="3"/>
    <x v="0"/>
    <n v="22"/>
    <n v="0"/>
    <n v="0"/>
    <n v="0"/>
    <n v="0"/>
    <n v="1385"/>
    <m/>
    <m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058823529411E-2"/>
    <n v="15000000"/>
    <n v="0.10199999999999999"/>
    <x v="2"/>
    <s v="Todo bien"/>
    <x v="0"/>
    <x v="3"/>
    <n v="640.58860426470255"/>
    <x v="1"/>
    <x v="2"/>
    <s v="Pequeña"/>
    <x v="0"/>
    <n v="1470.5882352941178"/>
  </r>
  <r>
    <s v="MM The Marina"/>
    <x v="229"/>
    <n v="14322"/>
    <n v="3"/>
    <x v="4"/>
    <x v="0"/>
    <s v=" Sector 68 Gurgaon"/>
    <n v="0"/>
    <n v="0"/>
    <n v="2"/>
    <n v="4"/>
    <n v="3"/>
    <x v="1"/>
    <n v="29"/>
    <n v="0"/>
    <n v="0"/>
    <n v="0"/>
    <n v="0"/>
    <n v="1550.0628403854214"/>
    <m/>
    <n v="15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628403854201E-2"/>
    <n v="22200000.000000004"/>
    <n v="0.14321999999999999"/>
    <x v="3"/>
    <s v="Todo bien"/>
    <x v="0"/>
    <x v="1"/>
    <n v="675.20776218265564"/>
    <x v="1"/>
    <x v="2"/>
    <s v="Pequeña"/>
    <x v="1"/>
    <n v="1550.0628403854214"/>
  </r>
  <r>
    <s v="Valley View Estate"/>
    <x v="78"/>
    <n v="8278"/>
    <n v="4"/>
    <x v="5"/>
    <x v="1"/>
    <s v=" Valley View Estate"/>
    <n v="0"/>
    <n v="0"/>
    <n v="4"/>
    <n v="9"/>
    <n v="3"/>
    <x v="2"/>
    <n v="15"/>
    <n v="1"/>
    <n v="1"/>
    <n v="0"/>
    <n v="0"/>
    <n v="1812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20318917612899E-2"/>
    <n v="15000000"/>
    <n v="8.2780000000000006E-2"/>
    <x v="2"/>
    <s v="Todo bien"/>
    <x v="0"/>
    <x v="4"/>
    <n v="789.32154669001955"/>
    <x v="1"/>
    <x v="2"/>
    <s v="Pequeña"/>
    <x v="0"/>
    <n v="1812.0318917612949"/>
  </r>
  <r>
    <s v="Mapsko Mount Ville"/>
    <x v="20"/>
    <n v="9641"/>
    <n v="3"/>
    <x v="1"/>
    <x v="2"/>
    <s v=" Sector 79 Gurgaon"/>
    <n v="0"/>
    <n v="0"/>
    <n v="4"/>
    <n v="21"/>
    <n v="3"/>
    <x v="1"/>
    <n v="22"/>
    <n v="1"/>
    <n v="0"/>
    <n v="1"/>
    <n v="0"/>
    <n v="1918.8880821491548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1.9188880821491502E-2"/>
    <n v="18500000"/>
    <n v="9.6409999999999996E-2"/>
    <x v="3"/>
    <s v="Todo bien"/>
    <x v="1"/>
    <x v="1"/>
    <n v="835.86813003318969"/>
    <x v="1"/>
    <x v="2"/>
    <s v="Pequeña"/>
    <x v="1"/>
    <n v="1918.8880821491548"/>
  </r>
  <r>
    <s v="Smart World Orchard"/>
    <x v="26"/>
    <n v="13913"/>
    <n v="2"/>
    <x v="1"/>
    <x v="3"/>
    <s v=" Sector 61 Gurgaon"/>
    <n v="0"/>
    <n v="0"/>
    <n v="2"/>
    <n v="4"/>
    <n v="2"/>
    <x v="0"/>
    <n v="4"/>
    <n v="0"/>
    <n v="0"/>
    <n v="0"/>
    <n v="0"/>
    <n v="115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2"/>
    <n v="500.94185397829352"/>
    <x v="1"/>
    <x v="0"/>
    <s v="Pequeña"/>
    <x v="0"/>
    <n v="1150.0035937612304"/>
  </r>
  <r>
    <s v="Raheja Vedas"/>
    <x v="86"/>
    <n v="4134"/>
    <n v="3"/>
    <x v="4"/>
    <x v="0"/>
    <s v=" Sector 108 Gurgaon"/>
    <n v="0"/>
    <n v="0"/>
    <n v="4"/>
    <n v="12"/>
    <n v="3"/>
    <x v="1"/>
    <n v="14"/>
    <n v="0"/>
    <n v="1"/>
    <n v="0"/>
    <n v="0"/>
    <n v="4000"/>
    <n v="4600"/>
    <n v="5200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7740686985902E-2"/>
    <n v="21500000"/>
    <n v="4.1340000000000002E-2"/>
    <x v="3"/>
    <s v="Todo bien"/>
    <x v="0"/>
    <x v="2"/>
    <n v="2265.45848919932"/>
    <x v="3"/>
    <x v="3"/>
    <s v="Muy grande"/>
    <x v="3"/>
    <n v="5200.7740686985971"/>
  </r>
  <r>
    <s v="GLS Arawali Homes"/>
    <x v="45"/>
    <n v="6243"/>
    <n v="2"/>
    <x v="4"/>
    <x v="0"/>
    <s v=" Sohna"/>
    <n v="0"/>
    <n v="0"/>
    <n v="2"/>
    <n v="4"/>
    <n v="2"/>
    <x v="0"/>
    <n v="14"/>
    <n v="0"/>
    <n v="0"/>
    <n v="0"/>
    <n v="0"/>
    <n v="480.53"/>
    <m/>
    <n v="567"/>
    <n v="0"/>
    <n v="1"/>
    <n v="1"/>
    <n v="1"/>
    <n v="0"/>
    <n v="0"/>
    <n v="1"/>
    <n v="1"/>
    <n v="1"/>
    <n v="1"/>
    <n v="1"/>
    <n v="0"/>
    <n v="1"/>
    <n v="1"/>
    <n v="1"/>
    <n v="0"/>
    <n v="1"/>
    <n v="37"/>
    <x v="1"/>
    <x v="0"/>
    <x v="1"/>
    <x v="1"/>
    <x v="1"/>
    <x v="1"/>
    <x v="1"/>
    <x v="0"/>
    <x v="1"/>
    <n v="0"/>
    <n v="1"/>
    <n v="1"/>
    <n v="2"/>
    <n v="1"/>
    <n v="0"/>
    <n v="0"/>
    <n v="1"/>
    <n v="1"/>
    <n v="1"/>
    <n v="1"/>
    <n v="1"/>
    <n v="1"/>
    <n v="1"/>
    <n v="1"/>
    <n v="0"/>
    <n v="0"/>
    <n v="0"/>
    <n v="0"/>
    <n v="0"/>
    <n v="0"/>
    <n v="0"/>
    <n v="0"/>
    <n v="1"/>
    <n v="4.8053820278711997E-3"/>
    <n v="3000000"/>
    <n v="6.2429999999999999E-2"/>
    <x v="0"/>
    <s v="Todo bien"/>
    <x v="2"/>
    <x v="3"/>
    <n v="209.32256170110455"/>
    <x v="0"/>
    <x v="1"/>
    <s v="Pequeña"/>
    <x v="0"/>
    <n v="480.53820278712158"/>
  </r>
  <r>
    <s v="Ganga Apartment"/>
    <x v="33"/>
    <n v="6040"/>
    <n v="3"/>
    <x v="2"/>
    <x v="0"/>
    <s v=" Shanti Nagar"/>
    <n v="0"/>
    <n v="0"/>
    <n v="3"/>
    <n v="0"/>
    <n v="2"/>
    <x v="1"/>
    <n v="3"/>
    <n v="0"/>
    <n v="0"/>
    <n v="0"/>
    <n v="0"/>
    <n v="122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1655629139E-2"/>
    <n v="7400000"/>
    <n v="6.0400000000000002E-2"/>
    <x v="1"/>
    <s v="Todo bien"/>
    <x v="1"/>
    <x v="0"/>
    <n v="533.68242659933458"/>
    <x v="1"/>
    <x v="2"/>
    <s v="Pequeña"/>
    <x v="0"/>
    <n v="1225.1655629139073"/>
  </r>
  <r>
    <s v="Surbhi Apartment"/>
    <x v="34"/>
    <n v="12264"/>
    <n v="4"/>
    <x v="4"/>
    <x v="1"/>
    <s v=" Sushant Lok"/>
    <n v="0"/>
    <n v="0"/>
    <n v="3"/>
    <n v="6"/>
    <n v="3"/>
    <x v="2"/>
    <n v="6"/>
    <n v="0"/>
    <n v="0"/>
    <n v="0"/>
    <n v="0"/>
    <n v="2000"/>
    <n v="2650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92628832354799E-2"/>
    <n v="32000000"/>
    <n v="0.12264"/>
    <x v="5"/>
    <s v="Todo bien"/>
    <x v="0"/>
    <x v="1"/>
    <n v="1136.5955666014324"/>
    <x v="1"/>
    <x v="2"/>
    <s v="Muy grande"/>
    <x v="0"/>
    <n v="2609.2628832354858"/>
  </r>
  <r>
    <s v="Espire South"/>
    <x v="98"/>
    <n v="9050"/>
    <n v="2"/>
    <x v="1"/>
    <x v="2"/>
    <s v=" Sector 68 Gurgaon"/>
    <n v="0"/>
    <n v="0"/>
    <n v="2"/>
    <n v="9"/>
    <n v="2"/>
    <x v="0"/>
    <n v="13"/>
    <n v="0"/>
    <n v="0"/>
    <n v="0"/>
    <n v="0"/>
    <n v="1458.5635359116022"/>
    <n v="146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5635359116E-2"/>
    <n v="13200000"/>
    <n v="9.0499999999999997E-2"/>
    <x v="2"/>
    <s v="Todo bien"/>
    <x v="0"/>
    <x v="2"/>
    <n v="635.35064219668413"/>
    <x v="1"/>
    <x v="2"/>
    <s v="Mediana"/>
    <x v="0"/>
    <n v="1458.5635359116022"/>
  </r>
  <r>
    <s v="Adani Brahma Samsara Vilasa"/>
    <x v="101"/>
    <n v="16666"/>
    <n v="3"/>
    <x v="4"/>
    <x v="2"/>
    <s v=" Sector 63 Gurgaon"/>
    <n v="0"/>
    <n v="0"/>
    <n v="3"/>
    <n v="3"/>
    <n v="3"/>
    <x v="1"/>
    <n v="4"/>
    <n v="0"/>
    <n v="0"/>
    <n v="0"/>
    <n v="0"/>
    <n v="1800"/>
    <m/>
    <m/>
    <n v="1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00720028801102E-2"/>
    <n v="30000000"/>
    <n v="0.16666"/>
    <x v="5"/>
    <s v="Todo bien"/>
    <x v="0"/>
    <x v="2"/>
    <n v="784.11181609264156"/>
    <x v="1"/>
    <x v="2"/>
    <s v="Pequeña"/>
    <x v="0"/>
    <n v="1800.0720028801152"/>
  </r>
  <r>
    <s v="Smart World Gems"/>
    <x v="56"/>
    <n v="8432"/>
    <n v="3"/>
    <x v="4"/>
    <x v="2"/>
    <s v=" Sector 89 Gurgaon"/>
    <n v="0"/>
    <n v="0"/>
    <n v="3"/>
    <n v="3"/>
    <n v="2"/>
    <x v="1"/>
    <n v="4"/>
    <n v="0"/>
    <n v="1"/>
    <n v="0"/>
    <n v="0"/>
    <n v="1423.1499051233395"/>
    <n v="1423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0"/>
    <n v="619.92445574003375"/>
    <x v="1"/>
    <x v="2"/>
    <s v="Mediana"/>
    <x v="0"/>
    <n v="1423.1499051233395"/>
  </r>
  <r>
    <s v="Godrej Nature Plus Serenity"/>
    <x v="274"/>
    <n v="11583"/>
    <n v="3"/>
    <x v="4"/>
    <x v="3"/>
    <s v=" Sector-33 Sohna"/>
    <n v="0"/>
    <n v="0"/>
    <n v="2"/>
    <n v="23"/>
    <n v="3"/>
    <x v="1"/>
    <n v="24"/>
    <n v="0"/>
    <n v="0"/>
    <n v="0"/>
    <n v="0"/>
    <n v="1200"/>
    <m/>
    <m/>
    <n v="1"/>
    <n v="0"/>
    <n v="1"/>
    <n v="0"/>
    <n v="0"/>
    <n v="0"/>
    <n v="0"/>
    <n v="1"/>
    <n v="1"/>
    <n v="1"/>
    <n v="1"/>
    <n v="1"/>
    <n v="1"/>
    <n v="1"/>
    <n v="1"/>
    <n v="1"/>
    <n v="1"/>
    <n v="39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45333678599E-2"/>
    <n v="13900000"/>
    <n v="0.11583"/>
    <x v="2"/>
    <s v="Todo bien"/>
    <x v="0"/>
    <x v="3"/>
    <n v="522.73534382370428"/>
    <x v="1"/>
    <x v="0"/>
    <s v="Pequeña"/>
    <x v="0"/>
    <n v="1200.0345333678667"/>
  </r>
  <r>
    <s v="MM Skycity"/>
    <x v="101"/>
    <n v="16411"/>
    <n v="3"/>
    <x v="4"/>
    <x v="3"/>
    <s v=" Sector 65 Gurgaon"/>
    <n v="0"/>
    <n v="0"/>
    <n v="3"/>
    <n v="17"/>
    <n v="3"/>
    <x v="1"/>
    <n v="47"/>
    <n v="0"/>
    <n v="0"/>
    <n v="0"/>
    <n v="0"/>
    <n v="1828.0421668393151"/>
    <m/>
    <n v="1828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421668393099E-2"/>
    <n v="30000000"/>
    <n v="0.16411000000000001"/>
    <x v="5"/>
    <s v="Todo bien"/>
    <x v="0"/>
    <x v="4"/>
    <n v="796.2956265309831"/>
    <x v="1"/>
    <x v="2"/>
    <s v="Pequeña"/>
    <x v="1"/>
    <n v="1828.0421668393151"/>
  </r>
  <r>
    <s v="NBCC Heights"/>
    <x v="78"/>
    <n v="7058"/>
    <n v="3"/>
    <x v="1"/>
    <x v="0"/>
    <s v=" Sector 89 Gurgaon"/>
    <n v="0"/>
    <n v="0"/>
    <n v="3"/>
    <n v="8"/>
    <n v="3"/>
    <x v="1"/>
    <n v="13"/>
    <n v="1"/>
    <n v="1"/>
    <n v="0"/>
    <n v="0"/>
    <n v="2125.2479455936523"/>
    <m/>
    <n v="2125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2479455936502E-2"/>
    <n v="15000000"/>
    <n v="7.0580000000000004E-2"/>
    <x v="2"/>
    <s v="Todo bien"/>
    <x v="1"/>
    <x v="4"/>
    <n v="925.75853832530356"/>
    <x v="1"/>
    <x v="2"/>
    <s v="Pequeña"/>
    <x v="2"/>
    <n v="2125.2479455936523"/>
  </r>
  <r>
    <s v="The Castle Society"/>
    <x v="6"/>
    <n v="8695"/>
    <n v="4"/>
    <x v="1"/>
    <x v="3"/>
    <s v=" Sector 56 Gurgaon"/>
    <n v="0"/>
    <n v="0"/>
    <n v="4"/>
    <n v="4"/>
    <n v="2"/>
    <x v="2"/>
    <n v="6"/>
    <n v="0"/>
    <n v="0"/>
    <n v="0"/>
    <n v="0"/>
    <n v="2300.1725129384704"/>
    <m/>
    <n v="2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725129384702E-2"/>
    <n v="20000000"/>
    <n v="8.695E-2"/>
    <x v="3"/>
    <s v="Todo bien"/>
    <x v="0"/>
    <x v="2"/>
    <n v="1001.9557237492811"/>
    <x v="1"/>
    <x v="2"/>
    <s v="Pequeña"/>
    <x v="2"/>
    <n v="2300.1725129384704"/>
  </r>
  <r>
    <s v="ESS The Leafel Towers"/>
    <x v="76"/>
    <n v="12500"/>
    <n v="4"/>
    <x v="4"/>
    <x v="1"/>
    <s v=" Mehrauli Gurgaon Road"/>
    <n v="0"/>
    <n v="0"/>
    <n v="5"/>
    <n v="8"/>
    <n v="3"/>
    <x v="2"/>
    <n v="14"/>
    <n v="1"/>
    <n v="1"/>
    <n v="0"/>
    <n v="0"/>
    <n v="2200"/>
    <n v="2200"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6"/>
    <n v="1"/>
    <n v="9"/>
    <n v="1"/>
    <n v="0"/>
    <n v="0"/>
    <n v="0"/>
    <n v="1"/>
    <n v="1"/>
    <n v="1"/>
    <n v="1"/>
    <n v="0"/>
    <n v="0"/>
    <n v="1"/>
    <n v="4"/>
    <n v="1"/>
    <n v="1"/>
    <n v="0"/>
    <n v="0"/>
    <n v="0"/>
    <n v="0"/>
    <n v="0"/>
    <n v="1"/>
    <n v="2.1999999999999999E-2"/>
    <n v="27500000"/>
    <n v="0.125"/>
    <x v="5"/>
    <s v="Todo bien"/>
    <x v="2"/>
    <x v="4"/>
    <n v="958.32055198"/>
    <x v="1"/>
    <x v="2"/>
    <s v="Grande"/>
    <x v="0"/>
    <n v="2200"/>
  </r>
  <r>
    <s v="Lotus Homz"/>
    <x v="89"/>
    <n v="8888"/>
    <n v="1"/>
    <x v="1"/>
    <x v="0"/>
    <s v=" Sector 111 Gurgaon"/>
    <n v="0"/>
    <n v="0"/>
    <n v="1"/>
    <n v="10"/>
    <n v="1"/>
    <x v="3"/>
    <n v="10"/>
    <n v="0"/>
    <n v="0"/>
    <n v="0"/>
    <n v="0"/>
    <n v="40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504050405040003E-3"/>
    <n v="3600000"/>
    <n v="8.8880000000000001E-2"/>
    <x v="0"/>
    <s v="Todo bien"/>
    <x v="0"/>
    <x v="1"/>
    <n v="176.43574518901673"/>
    <x v="0"/>
    <x v="1"/>
    <s v="Pequeña"/>
    <x v="0"/>
    <n v="405.04050405040505"/>
  </r>
  <r>
    <s v="ShreeRam Apartment II"/>
    <x v="240"/>
    <n v="4666"/>
    <n v="1"/>
    <x v="1"/>
    <x v="0"/>
    <s v=" Laxman Vihar Phase 2"/>
    <n v="0"/>
    <n v="0"/>
    <n v="1"/>
    <n v="2"/>
    <n v="1"/>
    <x v="3"/>
    <n v="4"/>
    <n v="0"/>
    <n v="0"/>
    <n v="0"/>
    <n v="0"/>
    <n v="4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6429489927004E-3"/>
    <n v="2100000"/>
    <n v="4.666E-2"/>
    <x v="0"/>
    <s v="Todo bien"/>
    <x v="0"/>
    <x v="2"/>
    <n v="196.04811977925362"/>
    <x v="0"/>
    <x v="1"/>
    <s v="Pequeña"/>
    <x v="0"/>
    <n v="450.06429489927132"/>
  </r>
  <r>
    <s v="Zara Aavaas"/>
    <x v="413"/>
    <n v="7807"/>
    <n v="1"/>
    <x v="2"/>
    <x v="0"/>
    <s v=" Sector 104 Gurgaon"/>
    <n v="0"/>
    <n v="0"/>
    <n v="1"/>
    <n v="0"/>
    <n v="2"/>
    <x v="3"/>
    <n v="4"/>
    <n v="0"/>
    <n v="0"/>
    <n v="0"/>
    <n v="0"/>
    <n v="326.62994748302805"/>
    <n v="301"/>
    <m/>
    <n v="0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3.2662994748302002E-3"/>
    <n v="2550000"/>
    <n v="7.8070000000000001E-2"/>
    <x v="0"/>
    <s v="Todo bien"/>
    <x v="0"/>
    <x v="4"/>
    <n v="142.28008707505737"/>
    <x v="0"/>
    <x v="1"/>
    <s v="Pequeña"/>
    <x v="0"/>
    <n v="326.62994748302805"/>
  </r>
  <r>
    <s v="ROF Ananda"/>
    <x v="414"/>
    <n v="58"/>
    <n v="2"/>
    <x v="4"/>
    <x v="2"/>
    <s v=" Sector 95 Gurgaon"/>
    <n v="0"/>
    <n v="0"/>
    <n v="2"/>
    <n v="10"/>
    <n v="2"/>
    <x v="0"/>
    <n v="14"/>
    <n v="0"/>
    <n v="1"/>
    <n v="0"/>
    <n v="0"/>
    <n v="6452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4655172413793105"/>
    <n v="3750000"/>
    <n v="5.8E-4"/>
    <x v="0"/>
    <s v="Todo bien"/>
    <x v="0"/>
    <x v="2"/>
    <n v="28163.809325431037"/>
    <x v="2"/>
    <x v="3"/>
    <s v="Pequeña"/>
    <x v="0"/>
    <n v="64655.172413793101"/>
  </r>
  <r>
    <s v="MM Woodshire"/>
    <x v="7"/>
    <n v="7623"/>
    <n v="3"/>
    <x v="1"/>
    <x v="0"/>
    <s v=" Sector 107 Gurgaon"/>
    <n v="0"/>
    <n v="0"/>
    <n v="4"/>
    <n v="2"/>
    <n v="3"/>
    <x v="1"/>
    <n v="14"/>
    <n v="1"/>
    <n v="0"/>
    <n v="0"/>
    <n v="0"/>
    <n v="1384"/>
    <m/>
    <n v="2361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8000000"/>
    <n v="7.6230000000000006E-2"/>
    <x v="3"/>
    <s v="Todo bien"/>
    <x v="0"/>
    <x v="5"/>
    <n v="1028.5720210153459"/>
    <x v="1"/>
    <x v="2"/>
    <s v="Pequeña"/>
    <x v="2"/>
    <n v="2361.2750885478158"/>
  </r>
  <r>
    <s v="Krisumi Waterfall Residences"/>
    <x v="118"/>
    <n v="15500"/>
    <n v="3"/>
    <x v="1"/>
    <x v="2"/>
    <s v=" Sector 36A Gurgaon"/>
    <n v="0"/>
    <n v="0"/>
    <n v="4"/>
    <n v="30"/>
    <n v="3"/>
    <x v="1"/>
    <n v="34"/>
    <n v="0"/>
    <n v="1"/>
    <n v="0"/>
    <n v="0"/>
    <n v="253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4"/>
    <n v="1"/>
    <n v="1"/>
    <n v="1"/>
    <n v="1"/>
    <n v="1"/>
    <n v="1"/>
    <n v="1"/>
    <n v="1"/>
    <n v="0"/>
    <n v="0"/>
    <n v="1"/>
    <n v="4"/>
    <n v="1"/>
    <n v="1"/>
    <n v="0"/>
    <n v="0"/>
    <n v="0"/>
    <n v="0"/>
    <n v="0"/>
    <n v="1"/>
    <n v="2.6451612903225799E-2"/>
    <n v="41000000"/>
    <n v="0.155"/>
    <x v="4"/>
    <s v="Todo bien"/>
    <x v="2"/>
    <x v="1"/>
    <n v="1152.2329217354836"/>
    <x v="1"/>
    <x v="3"/>
    <s v="Pequeña"/>
    <x v="0"/>
    <n v="2645.1612903225805"/>
  </r>
  <r>
    <s v="Godrej "/>
    <x v="35"/>
    <n v="8269"/>
    <n v="2"/>
    <x v="2"/>
    <x v="2"/>
    <s v=" Sector 79 Gurgaon"/>
    <n v="0"/>
    <n v="0"/>
    <n v="2"/>
    <n v="3"/>
    <n v="3"/>
    <x v="0"/>
    <n v="15"/>
    <n v="0"/>
    <n v="1"/>
    <n v="0"/>
    <n v="0"/>
    <n v="1572.1368968436329"/>
    <m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1368968436299E-2"/>
    <n v="13000000"/>
    <n v="8.269E-2"/>
    <x v="2"/>
    <s v="Todo bien"/>
    <x v="0"/>
    <x v="1"/>
    <n v="684.82322671423265"/>
    <x v="1"/>
    <x v="2"/>
    <s v="Pequeña"/>
    <x v="1"/>
    <n v="1572.1368968436329"/>
  </r>
  <r>
    <s v="The Roselia "/>
    <x v="0"/>
    <n v="6475"/>
    <n v="2"/>
    <x v="5"/>
    <x v="4"/>
    <s v=" Sector 95A Gurgaon"/>
    <n v="0"/>
    <n v="0"/>
    <n v="2"/>
    <n v="19"/>
    <n v="2"/>
    <x v="0"/>
    <n v="19"/>
    <n v="0"/>
    <n v="0"/>
    <n v="0"/>
    <n v="0"/>
    <n v="595"/>
    <n v="6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498069498069E-3"/>
    <n v="4500000"/>
    <n v="6.4750000000000002E-2"/>
    <x v="0"/>
    <s v="Todo bien"/>
    <x v="0"/>
    <x v="2"/>
    <n v="302.73376510424498"/>
    <x v="0"/>
    <x v="1"/>
    <s v="Pequeña"/>
    <x v="0"/>
    <n v="694.98069498069492"/>
  </r>
  <r>
    <s v="Signature Global Solera"/>
    <x v="91"/>
    <n v="8000"/>
    <n v="3"/>
    <x v="1"/>
    <x v="4"/>
    <s v=" Sector 107 Gurgaon"/>
    <n v="0"/>
    <n v="0"/>
    <n v="2"/>
    <n v="8"/>
    <n v="2"/>
    <x v="1"/>
    <n v="8"/>
    <n v="0"/>
    <n v="0"/>
    <n v="0"/>
    <n v="0"/>
    <n v="650"/>
    <n v="750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x v="1"/>
    <s v="Todo bien"/>
    <x v="0"/>
    <x v="2"/>
    <n v="326.70018817499999"/>
    <x v="0"/>
    <x v="0"/>
    <s v="Pequeña"/>
    <x v="0"/>
    <n v="750"/>
  </r>
  <r>
    <s v="Signature Global Solera"/>
    <x v="2"/>
    <n v="6644"/>
    <n v="2"/>
    <x v="1"/>
    <x v="0"/>
    <s v=" Sector 107 Gurgaon"/>
    <n v="0"/>
    <n v="0"/>
    <n v="2"/>
    <n v="7"/>
    <n v="1"/>
    <x v="0"/>
    <n v="7"/>
    <n v="0"/>
    <n v="0"/>
    <n v="0"/>
    <n v="0"/>
    <n v="548"/>
    <m/>
    <n v="602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0"/>
    <n v="6.0204695966284997E-3"/>
    <n v="4000000"/>
    <n v="6.6439999999999999E-2"/>
    <x v="0"/>
    <s v="Todo bien"/>
    <x v="0"/>
    <x v="2"/>
    <n v="262.25180668271963"/>
    <x v="0"/>
    <x v="1"/>
    <s v="Pequeña"/>
    <x v="0"/>
    <n v="602.04695966285374"/>
  </r>
  <r>
    <s v="Ambience Creacions"/>
    <x v="37"/>
    <n v="14420"/>
    <n v="2"/>
    <x v="2"/>
    <x v="2"/>
    <s v=" Sector 22 Gurgaon"/>
    <n v="0"/>
    <n v="0"/>
    <n v="2"/>
    <n v="9"/>
    <n v="2"/>
    <x v="0"/>
    <n v="20"/>
    <n v="1"/>
    <n v="1"/>
    <n v="1"/>
    <n v="0"/>
    <n v="1280"/>
    <n v="1285"/>
    <n v="138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0"/>
    <x v="0"/>
    <x v="1"/>
    <n v="0"/>
    <n v="1"/>
    <n v="1"/>
    <n v="1"/>
    <n v="1"/>
    <n v="1"/>
    <n v="1"/>
    <n v="0"/>
    <n v="0"/>
    <n v="1"/>
    <n v="1"/>
    <n v="0"/>
    <n v="1"/>
    <n v="1"/>
    <n v="0"/>
    <n v="1"/>
    <n v="1"/>
    <n v="0"/>
    <n v="0"/>
    <n v="0"/>
    <n v="0"/>
    <n v="0"/>
    <n v="0"/>
    <n v="0"/>
    <n v="1.3800277392510401E-2"/>
    <n v="19900000"/>
    <n v="0.14419999999999999"/>
    <x v="3"/>
    <s v="Todo bien"/>
    <x v="0"/>
    <x v="2"/>
    <n v="601.14042946671282"/>
    <x v="1"/>
    <x v="2"/>
    <s v="Mediana"/>
    <x v="1"/>
    <n v="1380.0277392510402"/>
  </r>
  <r>
    <s v="Ambience Creacions"/>
    <x v="37"/>
    <n v="15546"/>
    <n v="2"/>
    <x v="2"/>
    <x v="2"/>
    <s v=" Sector 22 Gurgaon"/>
    <n v="0"/>
    <n v="0"/>
    <n v="2"/>
    <n v="9"/>
    <n v="2"/>
    <x v="0"/>
    <n v="20"/>
    <n v="0"/>
    <n v="0"/>
    <n v="0"/>
    <n v="0"/>
    <n v="1280"/>
    <n v="1285"/>
    <n v="13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800720442557499E-2"/>
    <n v="19900000"/>
    <n v="0.15545999999999999"/>
    <x v="3"/>
    <s v="Todo bien"/>
    <x v="0"/>
    <x v="1"/>
    <n v="557.59970364788057"/>
    <x v="1"/>
    <x v="2"/>
    <s v="Mediana"/>
    <x v="1"/>
    <n v="1280.0720442557572"/>
  </r>
  <r>
    <s v="Mvn athens sohna gurgaon"/>
    <x v="63"/>
    <n v="5833"/>
    <n v="2"/>
    <x v="1"/>
    <x v="0"/>
    <s v=" Sector-5 Sohna"/>
    <n v="0"/>
    <n v="0"/>
    <n v="2"/>
    <n v="2"/>
    <n v="1"/>
    <x v="0"/>
    <n v="12"/>
    <n v="0"/>
    <n v="0"/>
    <n v="0"/>
    <n v="0"/>
    <n v="48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2743013886E-3"/>
    <n v="2800000"/>
    <n v="5.833E-2"/>
    <x v="0"/>
    <s v="Todo bien"/>
    <x v="0"/>
    <x v="0"/>
    <n v="209.10006900736965"/>
    <x v="0"/>
    <x v="1"/>
    <s v="Pequeña"/>
    <x v="0"/>
    <n v="480.0274301388651"/>
  </r>
  <r>
    <s v="Ashiana Mulberry"/>
    <x v="33"/>
    <n v="6016"/>
    <n v="2"/>
    <x v="1"/>
    <x v="0"/>
    <s v=" Sohna"/>
    <n v="0"/>
    <n v="0"/>
    <n v="2"/>
    <n v="12"/>
    <n v="3"/>
    <x v="0"/>
    <n v="12"/>
    <n v="0"/>
    <n v="0"/>
    <n v="0"/>
    <n v="0"/>
    <n v="1230"/>
    <m/>
    <m/>
    <n v="1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3005319148936E-2"/>
    <n v="7400000"/>
    <n v="6.0159999999999998E-2"/>
    <x v="1"/>
    <s v="Todo bien"/>
    <x v="0"/>
    <x v="1"/>
    <n v="535.81147883311098"/>
    <x v="1"/>
    <x v="2"/>
    <s v="Pequeña"/>
    <x v="0"/>
    <n v="1230.0531914893618"/>
  </r>
  <r>
    <s v="MM Soulitude"/>
    <x v="154"/>
    <n v="8827"/>
    <n v="3"/>
    <x v="1"/>
    <x v="3"/>
    <s v=" Sector 89 Gurgaon"/>
    <n v="0"/>
    <n v="0"/>
    <n v="3"/>
    <n v="4"/>
    <n v="2"/>
    <x v="1"/>
    <n v="4"/>
    <n v="0"/>
    <n v="1"/>
    <n v="0"/>
    <n v="0"/>
    <n v="1450"/>
    <m/>
    <m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962954571201E-2"/>
    <n v="12800000"/>
    <n v="8.8270000000000001E-2"/>
    <x v="2"/>
    <s v="Todo bien"/>
    <x v="0"/>
    <x v="5"/>
    <n v="631.66231013028209"/>
    <x v="1"/>
    <x v="2"/>
    <s v="Pequeña"/>
    <x v="0"/>
    <n v="1450.0962954571203"/>
  </r>
  <r>
    <s v="Smart World Orchard"/>
    <x v="26"/>
    <n v="13913"/>
    <n v="2"/>
    <x v="2"/>
    <x v="2"/>
    <s v=" Sector 61 Gurgaon"/>
    <n v="0"/>
    <n v="0"/>
    <n v="2"/>
    <n v="4"/>
    <n v="2"/>
    <x v="0"/>
    <n v="4"/>
    <n v="0"/>
    <n v="1"/>
    <n v="0"/>
    <n v="0"/>
    <n v="115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0"/>
    <n v="500.94185397829352"/>
    <x v="1"/>
    <x v="0"/>
    <s v="Pequeña"/>
    <x v="0"/>
    <n v="1150.0035937612304"/>
  </r>
  <r>
    <s v="Ace Palm Floors"/>
    <x v="415"/>
    <n v="7863"/>
    <n v="2"/>
    <x v="1"/>
    <x v="2"/>
    <s v=" Sector 89 Gurgaon"/>
    <n v="0"/>
    <n v="0"/>
    <n v="2"/>
    <n v="1"/>
    <n v="2"/>
    <x v="0"/>
    <n v="3"/>
    <n v="0"/>
    <n v="1"/>
    <n v="0"/>
    <n v="0"/>
    <n v="1234"/>
    <m/>
    <m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0"/>
    <x v="1"/>
    <x v="0"/>
    <x v="0"/>
    <x v="0"/>
    <x v="1"/>
    <x v="0"/>
    <x v="0"/>
    <n v="1"/>
    <n v="1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413455424138E-2"/>
    <n v="9704000"/>
    <n v="7.8630000000000005E-2"/>
    <x v="1"/>
    <s v="Todo bien"/>
    <x v="1"/>
    <x v="1"/>
    <n v="537.58932147190478"/>
    <x v="1"/>
    <x v="2"/>
    <s v="Pequeña"/>
    <x v="0"/>
    <n v="1234.1345542413837"/>
  </r>
  <r>
    <s v="Umang Winter Hills"/>
    <x v="21"/>
    <n v="6408"/>
    <n v="2"/>
    <x v="1"/>
    <x v="2"/>
    <s v=" Sector 77 Gurgaon"/>
    <n v="0"/>
    <n v="0"/>
    <n v="2"/>
    <n v="16"/>
    <n v="2"/>
    <x v="0"/>
    <n v="18"/>
    <n v="0"/>
    <n v="0"/>
    <n v="0"/>
    <n v="0"/>
    <n v="1342.0724094881398"/>
    <m/>
    <n v="1342"/>
    <n v="0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0724094881299E-2"/>
    <n v="8600000"/>
    <n v="6.4079999999999998E-2"/>
    <x v="1"/>
    <s v="Todo bien"/>
    <x v="1"/>
    <x v="3"/>
    <n v="584.60707829899695"/>
    <x v="1"/>
    <x v="2"/>
    <s v="Pequeña"/>
    <x v="1"/>
    <n v="1342.0724094881398"/>
  </r>
  <r>
    <s v="AIPL Zen Residences"/>
    <x v="43"/>
    <n v="9904"/>
    <n v="2"/>
    <x v="1"/>
    <x v="2"/>
    <s v=" Sector 70A Gurgaon"/>
    <n v="0"/>
    <n v="0"/>
    <n v="2"/>
    <n v="19"/>
    <n v="2"/>
    <x v="0"/>
    <n v="30"/>
    <n v="0"/>
    <n v="0"/>
    <n v="0"/>
    <n v="0"/>
    <n v="1262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621163166397401E-2"/>
    <n v="12500000"/>
    <n v="9.9040000000000003E-2"/>
    <x v="2"/>
    <s v="Todo bien"/>
    <x v="1"/>
    <x v="0"/>
    <n v="549.77818419325467"/>
    <x v="1"/>
    <x v="2"/>
    <s v="Pequeña"/>
    <x v="0"/>
    <n v="1262.1163166397414"/>
  </r>
  <r>
    <s v="Ansal Valley View Estate"/>
    <x v="91"/>
    <n v="6452"/>
    <n v="2"/>
    <x v="1"/>
    <x v="4"/>
    <s v=" Gurgaon Faridabad Road"/>
    <n v="0"/>
    <n v="0"/>
    <n v="2"/>
    <n v="9"/>
    <n v="0"/>
    <x v="0"/>
    <n v="9"/>
    <n v="0"/>
    <n v="0"/>
    <n v="0"/>
    <n v="0"/>
    <n v="929.9442033477992"/>
    <n v="93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994420334779008E-3"/>
    <n v="6000000"/>
    <n v="6.4519999999999994E-2"/>
    <x v="1"/>
    <s v="Todo bien"/>
    <x v="0"/>
    <x v="2"/>
    <n v="405.08392830129799"/>
    <x v="0"/>
    <x v="0"/>
    <s v="Mediana"/>
    <x v="0"/>
    <n v="929.9442033477992"/>
  </r>
  <r>
    <s v="Birla Navya"/>
    <x v="416"/>
    <n v="26875"/>
    <n v="3"/>
    <x v="0"/>
    <x v="2"/>
    <s v=" Sector 63A Gurgaon"/>
    <n v="0"/>
    <n v="0"/>
    <n v="3"/>
    <n v="4"/>
    <n v="3"/>
    <x v="1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18604651162701E-2"/>
    <n v="32300000"/>
    <n v="0.26874999999999999"/>
    <x v="5"/>
    <s v="Todo bien"/>
    <x v="0"/>
    <x v="0"/>
    <n v="523.530720151438"/>
    <x v="1"/>
    <x v="0"/>
    <s v="Pequeña"/>
    <x v="2"/>
    <n v="1201.8604651162791"/>
  </r>
  <r>
    <s v="Signature Global Solera"/>
    <x v="36"/>
    <n v="7862"/>
    <n v="1"/>
    <x v="1"/>
    <x v="4"/>
    <s v=" Sector 107 Gurgaon"/>
    <n v="0"/>
    <n v="0"/>
    <n v="1"/>
    <n v="0"/>
    <n v="0"/>
    <x v="3"/>
    <n v="4"/>
    <n v="0"/>
    <n v="0"/>
    <n v="0"/>
    <n v="0"/>
    <n v="317.98524548460955"/>
    <n v="318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98524548460002E-3"/>
    <n v="2500000"/>
    <n v="7.8619999999999995E-2"/>
    <x v="0"/>
    <s v="Todo bien"/>
    <x v="0"/>
    <x v="2"/>
    <n v="138.51445271558987"/>
    <x v="0"/>
    <x v="1"/>
    <s v="Pequeña"/>
    <x v="0"/>
    <n v="317.98524548460955"/>
  </r>
  <r>
    <s v="Capital Residences "/>
    <x v="8"/>
    <n v="7586"/>
    <n v="2"/>
    <x v="1"/>
    <x v="2"/>
    <s v=" Sector 70A Gurgaon"/>
    <n v="0"/>
    <n v="0"/>
    <n v="2"/>
    <n v="8"/>
    <n v="3"/>
    <x v="0"/>
    <n v="22"/>
    <n v="0"/>
    <n v="0"/>
    <n v="0"/>
    <n v="0"/>
    <n v="1450.0395465330873"/>
    <m/>
    <n v="1450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2"/>
    <x v="2"/>
    <x v="2"/>
    <x v="2"/>
    <x v="2"/>
    <x v="2"/>
    <x v="2"/>
    <x v="2"/>
    <x v="2"/>
    <m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0395465330799E-2"/>
    <n v="11000000"/>
    <n v="7.5859999999999997E-2"/>
    <x v="2"/>
    <s v="Todo bien"/>
    <x v="0"/>
    <x v="1"/>
    <n v="631.63759028473191"/>
    <x v="1"/>
    <x v="2"/>
    <s v="Pequeña"/>
    <x v="1"/>
    <n v="1450.0395465330873"/>
  </r>
  <r>
    <s v="Signature Global Synera"/>
    <x v="314"/>
    <n v="8450"/>
    <n v="2"/>
    <x v="3"/>
    <x v="0"/>
    <s v=" Sector 81 Gurgaon"/>
    <n v="0"/>
    <n v="0"/>
    <n v="2"/>
    <n v="7"/>
    <n v="1"/>
    <x v="0"/>
    <n v="12"/>
    <n v="0"/>
    <n v="0"/>
    <n v="0"/>
    <n v="0"/>
    <n v="568"/>
    <m/>
    <n v="657"/>
    <n v="0"/>
    <n v="1"/>
    <n v="0"/>
    <n v="0"/>
    <n v="0"/>
    <n v="0"/>
    <n v="1"/>
    <n v="1"/>
    <n v="0"/>
    <n v="1"/>
    <n v="0"/>
    <n v="1"/>
    <n v="1"/>
    <n v="0"/>
    <n v="1"/>
    <n v="0"/>
    <n v="0"/>
    <n v="2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04733727809998E-3"/>
    <n v="4800000"/>
    <n v="8.4500000000000006E-2"/>
    <x v="0"/>
    <s v="Todo bien"/>
    <x v="0"/>
    <x v="0"/>
    <n v="247.44156264141728"/>
    <x v="0"/>
    <x v="1"/>
    <s v="Pequeña"/>
    <x v="0"/>
    <n v="568.04733727810651"/>
  </r>
  <r>
    <s v="MM Skycity"/>
    <x v="7"/>
    <n v="13700"/>
    <n v="2"/>
    <x v="1"/>
    <x v="2"/>
    <s v=" Sector 65 Gurgaon"/>
    <n v="0"/>
    <n v="0"/>
    <n v="2"/>
    <n v="13"/>
    <n v="3"/>
    <x v="0"/>
    <n v="47"/>
    <n v="0"/>
    <n v="0"/>
    <n v="0"/>
    <n v="0"/>
    <n v="1310"/>
    <m/>
    <m/>
    <n v="0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8686131386801E-2"/>
    <n v="18000000"/>
    <n v="0.13700000000000001"/>
    <x v="3"/>
    <s v="Todo bien"/>
    <x v="0"/>
    <x v="5"/>
    <n v="572.32149753284409"/>
    <x v="1"/>
    <x v="2"/>
    <s v="Pequeña"/>
    <x v="0"/>
    <n v="1313.868613138686"/>
  </r>
  <r>
    <s v="dlf the arbour"/>
    <x v="417"/>
    <n v="20000"/>
    <n v="4"/>
    <x v="1"/>
    <x v="3"/>
    <s v=" Sector 63 Gurgaon"/>
    <n v="0"/>
    <n v="0"/>
    <n v="4"/>
    <n v="34"/>
    <n v="3"/>
    <x v="2"/>
    <n v="42"/>
    <n v="0"/>
    <n v="0"/>
    <n v="0"/>
    <n v="0"/>
    <n v="2900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E-2"/>
    <n v="79000000"/>
    <n v="0.2"/>
    <x v="6"/>
    <s v="Todo bien"/>
    <x v="0"/>
    <x v="2"/>
    <n v="1720.6209910550001"/>
    <x v="3"/>
    <x v="3"/>
    <s v="Muy grande"/>
    <x v="0"/>
    <n v="3950"/>
  </r>
  <r>
    <s v="ILD Greens"/>
    <x v="13"/>
    <n v="9223"/>
    <n v="2"/>
    <x v="6"/>
    <x v="0"/>
    <s v=" Sector 37C Gurgaon"/>
    <n v="0"/>
    <n v="0"/>
    <n v="2"/>
    <n v="11"/>
    <n v="3"/>
    <x v="0"/>
    <n v="14"/>
    <n v="0"/>
    <n v="0"/>
    <n v="1"/>
    <n v="1"/>
    <n v="1030"/>
    <m/>
    <n v="13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1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3003361162311E-2"/>
    <n v="9500000"/>
    <n v="9.2230000000000006E-2"/>
    <x v="1"/>
    <s v="Todo bien"/>
    <x v="1"/>
    <x v="5"/>
    <n v="448.68289965845986"/>
    <x v="0"/>
    <x v="0"/>
    <s v="Pequeña"/>
    <x v="1"/>
    <n v="1030.033611623116"/>
  </r>
  <r>
    <s v="ROF Ananda"/>
    <x v="319"/>
    <n v="5658"/>
    <n v="2"/>
    <x v="4"/>
    <x v="2"/>
    <s v=" Sector 95 Gurgaon"/>
    <n v="0"/>
    <n v="0"/>
    <n v="2"/>
    <n v="10"/>
    <n v="2"/>
    <x v="0"/>
    <n v="14"/>
    <n v="0"/>
    <n v="1"/>
    <n v="0"/>
    <n v="0"/>
    <n v="645"/>
    <m/>
    <m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10427712972003E-3"/>
    <n v="3650000"/>
    <n v="5.6579999999999998E-2"/>
    <x v="0"/>
    <s v="Todo bien"/>
    <x v="0"/>
    <x v="3"/>
    <n v="281.00758497436919"/>
    <x v="0"/>
    <x v="0"/>
    <s v="Pequeña"/>
    <x v="0"/>
    <n v="645.10427712972785"/>
  </r>
  <r>
    <s v="Breez Global Heights"/>
    <x v="72"/>
    <n v="5825"/>
    <n v="1"/>
    <x v="1"/>
    <x v="2"/>
    <s v=" Sector 36 Gurgaon"/>
    <n v="0"/>
    <n v="0"/>
    <n v="1"/>
    <n v="8"/>
    <n v="1"/>
    <x v="3"/>
    <n v="11"/>
    <n v="0"/>
    <n v="0"/>
    <n v="0"/>
    <n v="0"/>
    <n v="412"/>
    <m/>
    <m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1201716738197003E-3"/>
    <n v="2400000"/>
    <n v="5.8250000000000003E-2"/>
    <x v="0"/>
    <s v="Todo bien"/>
    <x v="0"/>
    <x v="1"/>
    <n v="179.47478148669344"/>
    <x v="0"/>
    <x v="1"/>
    <s v="Pequeña"/>
    <x v="0"/>
    <n v="412.01716738197422"/>
  </r>
  <r>
    <s v="Global height"/>
    <x v="0"/>
    <n v="6338"/>
    <n v="2"/>
    <x v="4"/>
    <x v="0"/>
    <s v=" Sohna"/>
    <n v="0"/>
    <n v="0"/>
    <n v="2"/>
    <n v="6"/>
    <n v="2"/>
    <x v="0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1"/>
    <n v="0"/>
    <n v="0"/>
    <n v="1"/>
    <n v="2"/>
    <n v="1"/>
    <n v="1"/>
    <n v="0"/>
    <n v="0"/>
    <n v="0"/>
    <n v="0"/>
    <n v="0"/>
    <n v="2"/>
    <n v="7.1000315556957998E-3"/>
    <n v="4500000"/>
    <n v="6.3380000000000006E-2"/>
    <x v="0"/>
    <s v="Todo bien"/>
    <x v="1"/>
    <x v="1"/>
    <n v="309.2775527059008"/>
    <x v="0"/>
    <x v="0"/>
    <s v="Pequeña"/>
    <x v="0"/>
    <n v="710.00315556958026"/>
  </r>
  <r>
    <s v="Signature Global the Millennia"/>
    <x v="53"/>
    <n v="10906"/>
    <n v="2"/>
    <x v="1"/>
    <x v="2"/>
    <s v=" Sector 37D Gurgaon"/>
    <n v="0"/>
    <n v="0"/>
    <n v="2"/>
    <n v="0"/>
    <n v="3"/>
    <x v="0"/>
    <n v="16"/>
    <n v="0"/>
    <n v="0"/>
    <n v="0"/>
    <n v="0"/>
    <n v="596"/>
    <m/>
    <n v="6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600220062350998E-3"/>
    <n v="6500000"/>
    <n v="0.10906"/>
    <x v="1"/>
    <s v="Todo bien"/>
    <x v="0"/>
    <x v="1"/>
    <n v="259.61870812855312"/>
    <x v="0"/>
    <x v="1"/>
    <s v="Pequeña"/>
    <x v="0"/>
    <n v="596.00220062351002"/>
  </r>
  <r>
    <s v="MM Heights"/>
    <x v="160"/>
    <n v="13500"/>
    <n v="2"/>
    <x v="2"/>
    <x v="2"/>
    <s v=" Sector 65 Gurgaon"/>
    <n v="0"/>
    <n v="0"/>
    <n v="2"/>
    <n v="8"/>
    <n v="3"/>
    <x v="0"/>
    <n v="40"/>
    <n v="0"/>
    <n v="1"/>
    <n v="0"/>
    <n v="0"/>
    <n v="1433"/>
    <m/>
    <n v="151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888888888888801E-2"/>
    <n v="20100000"/>
    <n v="0.13500000000000001"/>
    <x v="3"/>
    <s v="Todo bien"/>
    <x v="0"/>
    <x v="1"/>
    <n v="648.56037356221839"/>
    <x v="1"/>
    <x v="2"/>
    <s v="Pequeña"/>
    <x v="1"/>
    <n v="1488.8888888888887"/>
  </r>
  <r>
    <s v="Smart World Gems"/>
    <x v="50"/>
    <n v="9033"/>
    <n v="2"/>
    <x v="1"/>
    <x v="3"/>
    <s v=" Sector 89 Gurgaon"/>
    <n v="0"/>
    <n v="0"/>
    <n v="2"/>
    <n v="1"/>
    <n v="2"/>
    <x v="0"/>
    <n v="4"/>
    <n v="0"/>
    <n v="1"/>
    <n v="0"/>
    <n v="0"/>
    <n v="1107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70519207350801E-2"/>
    <n v="10000000"/>
    <n v="9.0329999999999994E-2"/>
    <x v="1"/>
    <s v="Todo bien"/>
    <x v="0"/>
    <x v="0"/>
    <n v="482.2320944315278"/>
    <x v="0"/>
    <x v="0"/>
    <s v="Pequeña"/>
    <x v="0"/>
    <n v="1107.0519207350826"/>
  </r>
  <r>
    <s v="Aashirwad Residency"/>
    <x v="15"/>
    <n v="11250"/>
    <n v="3"/>
    <x v="1"/>
    <x v="5"/>
    <s v=" Sector 5 chowk Gurgaon"/>
    <n v="0"/>
    <n v="0"/>
    <n v="2"/>
    <n v="4"/>
    <n v="2"/>
    <x v="1"/>
    <n v="4"/>
    <n v="0"/>
    <n v="0"/>
    <n v="0"/>
    <n v="0"/>
    <n v="800"/>
    <m/>
    <m/>
    <n v="0"/>
    <n v="0"/>
    <n v="0"/>
    <n v="1"/>
    <n v="0"/>
    <n v="0"/>
    <n v="0"/>
    <n v="0"/>
    <n v="0"/>
    <n v="1"/>
    <n v="1"/>
    <n v="0"/>
    <n v="1"/>
    <n v="0"/>
    <n v="1"/>
    <n v="0"/>
    <n v="0"/>
    <n v="21"/>
    <x v="2"/>
    <x v="2"/>
    <x v="2"/>
    <x v="2"/>
    <x v="2"/>
    <x v="2"/>
    <x v="2"/>
    <x v="2"/>
    <x v="2"/>
    <m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8.0000000000000002E-3"/>
    <n v="9000000"/>
    <n v="0.1125"/>
    <x v="1"/>
    <s v="Todo bien"/>
    <x v="0"/>
    <x v="1"/>
    <n v="348.48020072000003"/>
    <x v="0"/>
    <x v="0"/>
    <s v="Pequeña"/>
    <x v="0"/>
    <n v="800"/>
  </r>
  <r>
    <s v="Tulip Monsella"/>
    <x v="418"/>
    <n v="20816"/>
    <n v="3"/>
    <x v="1"/>
    <x v="3"/>
    <s v=" Sector 53 Gurgaon"/>
    <n v="0"/>
    <n v="0"/>
    <n v="3"/>
    <n v="29"/>
    <n v="3"/>
    <x v="1"/>
    <n v="39"/>
    <n v="0"/>
    <n v="0"/>
    <n v="0"/>
    <n v="0"/>
    <n v="2892.0061491160645"/>
    <n v="289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920061491160599E-2"/>
    <n v="60200000"/>
    <n v="0.20816000000000001"/>
    <x v="6"/>
    <s v="Todo bien"/>
    <x v="0"/>
    <x v="2"/>
    <n v="1259.7586041592986"/>
    <x v="1"/>
    <x v="3"/>
    <s v="Muy grande"/>
    <x v="0"/>
    <n v="2892.0061491160645"/>
  </r>
  <r>
    <s v="Smart World Gems"/>
    <x v="15"/>
    <n v="8145"/>
    <n v="2"/>
    <x v="1"/>
    <x v="4"/>
    <s v=" Sector 89 Gurgaon"/>
    <n v="0"/>
    <n v="0"/>
    <n v="2"/>
    <n v="1"/>
    <n v="2"/>
    <x v="0"/>
    <n v="1"/>
    <n v="0"/>
    <n v="0"/>
    <n v="0"/>
    <n v="0"/>
    <n v="1104.9723756906078"/>
    <n v="1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9723756906001E-2"/>
    <n v="9000000"/>
    <n v="8.1449999999999995E-2"/>
    <x v="1"/>
    <s v="Todo bien"/>
    <x v="0"/>
    <x v="2"/>
    <n v="481.3262440883945"/>
    <x v="0"/>
    <x v="0"/>
    <s v="Mediana"/>
    <x v="0"/>
    <n v="1104.9723756906078"/>
  </r>
  <r>
    <s v="Whiteland  The ASPEN"/>
    <x v="151"/>
    <n v="11917"/>
    <n v="3"/>
    <x v="1"/>
    <x v="4"/>
    <s v=" Sector 76 Gurgaon"/>
    <n v="0"/>
    <n v="0"/>
    <n v="4"/>
    <n v="8"/>
    <n v="3"/>
    <x v="1"/>
    <n v="8"/>
    <n v="0"/>
    <n v="0"/>
    <n v="0"/>
    <n v="0"/>
    <n v="1762"/>
    <n v="29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369807837543001E-2"/>
    <n v="35000000"/>
    <n v="0.11917"/>
    <x v="5"/>
    <s v="Todo bien"/>
    <x v="0"/>
    <x v="2"/>
    <n v="1279.3495662918519"/>
    <x v="1"/>
    <x v="2"/>
    <s v="Muy grande"/>
    <x v="0"/>
    <n v="2936.9807837543008"/>
  </r>
  <r>
    <s v="Godrej Air"/>
    <x v="35"/>
    <n v="14541"/>
    <n v="2"/>
    <x v="1"/>
    <x v="3"/>
    <s v=" Sector 85 Gurgaon"/>
    <n v="0"/>
    <n v="0"/>
    <n v="2"/>
    <n v="30"/>
    <n v="3"/>
    <x v="0"/>
    <n v="32"/>
    <n v="0"/>
    <n v="0"/>
    <n v="0"/>
    <n v="0"/>
    <n v="894"/>
    <m/>
    <n v="140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402379478715002E-3"/>
    <n v="13000000"/>
    <n v="0.14541000000000001"/>
    <x v="2"/>
    <s v="Todo bien"/>
    <x v="0"/>
    <x v="4"/>
    <n v="389.43698931985267"/>
    <x v="0"/>
    <x v="0"/>
    <s v="Pequeña"/>
    <x v="1"/>
    <n v="894.02379478715352"/>
  </r>
  <r>
    <s v="Pyramid Urban Homes "/>
    <x v="1"/>
    <n v="9698"/>
    <n v="2"/>
    <x v="1"/>
    <x v="1"/>
    <s v=" Sector 86 Gurgaon"/>
    <n v="0"/>
    <n v="0"/>
    <n v="2"/>
    <n v="6"/>
    <n v="2"/>
    <x v="0"/>
    <n v="15"/>
    <n v="0"/>
    <n v="0"/>
    <n v="0"/>
    <n v="0"/>
    <n v="515.57000000000005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557022066404997E-3"/>
    <n v="5000000"/>
    <n v="9.6979999999999997E-2"/>
    <x v="1"/>
    <s v="Todo bien"/>
    <x v="0"/>
    <x v="2"/>
    <n v="224.58251747782856"/>
    <x v="0"/>
    <x v="1"/>
    <s v="Pequeña"/>
    <x v="0"/>
    <n v="515.57022066405443"/>
  </r>
  <r>
    <s v="Breez Global Hill View"/>
    <x v="290"/>
    <n v="5319"/>
    <n v="2"/>
    <x v="1"/>
    <x v="2"/>
    <s v=" Sohna"/>
    <n v="0"/>
    <n v="0"/>
    <n v="2"/>
    <n v="18"/>
    <n v="2"/>
    <x v="0"/>
    <n v="19"/>
    <n v="0"/>
    <n v="0"/>
    <n v="0"/>
    <n v="0"/>
    <n v="554.16999999999996"/>
    <n v="658"/>
    <m/>
    <n v="0"/>
    <n v="0"/>
    <n v="1"/>
    <n v="0"/>
    <n v="1"/>
    <n v="0"/>
    <n v="0"/>
    <n v="1"/>
    <n v="0"/>
    <n v="0"/>
    <n v="0"/>
    <n v="0"/>
    <n v="1"/>
    <n v="0"/>
    <n v="0"/>
    <n v="0"/>
    <n v="0"/>
    <n v="1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801842451587997E-3"/>
    <n v="3500000"/>
    <n v="5.3190000000000001E-2"/>
    <x v="0"/>
    <s v="Todo bien"/>
    <x v="0"/>
    <x v="2"/>
    <n v="286.63299081594005"/>
    <x v="0"/>
    <x v="1"/>
    <s v="Pequeña"/>
    <x v="0"/>
    <n v="658.01842451588641"/>
  </r>
  <r>
    <s v="HCBS Sports Ville"/>
    <x v="36"/>
    <n v="4166"/>
    <n v="1"/>
    <x v="1"/>
    <x v="0"/>
    <s v=" Sohna"/>
    <n v="0"/>
    <n v="0"/>
    <n v="1"/>
    <n v="12"/>
    <n v="1"/>
    <x v="3"/>
    <n v="13"/>
    <n v="0"/>
    <n v="0"/>
    <n v="0"/>
    <n v="0"/>
    <n v="600.09601536245793"/>
    <n v="600"/>
    <m/>
    <n v="0"/>
    <n v="0"/>
    <n v="1"/>
    <n v="1"/>
    <n v="1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9601536244999E-3"/>
    <n v="2500000"/>
    <n v="4.1660000000000003E-2"/>
    <x v="0"/>
    <s v="Todo bien"/>
    <x v="0"/>
    <x v="1"/>
    <n v="261.40197485597349"/>
    <x v="0"/>
    <x v="0"/>
    <s v="Pequeña"/>
    <x v="0"/>
    <n v="600.09601536245793"/>
  </r>
  <r>
    <s v="Eden Landmark"/>
    <x v="1"/>
    <n v="3847"/>
    <n v="2"/>
    <x v="1"/>
    <x v="3"/>
    <s v=" Manesar"/>
    <n v="0"/>
    <n v="0"/>
    <n v="2"/>
    <n v="7"/>
    <n v="0"/>
    <x v="0"/>
    <n v="11"/>
    <n v="0"/>
    <n v="0"/>
    <n v="0"/>
    <n v="0"/>
    <n v="1299.7140629061607"/>
    <n v="13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71406290616E-2"/>
    <n v="5000000"/>
    <n v="3.8469999999999997E-2"/>
    <x v="1"/>
    <s v="Todo bien"/>
    <x v="0"/>
    <x v="2"/>
    <n v="566.15577190018178"/>
    <x v="1"/>
    <x v="2"/>
    <s v="Mediana"/>
    <x v="0"/>
    <n v="1299.7140629061607"/>
  </r>
  <r>
    <s v="Pivotal Devaan"/>
    <x v="96"/>
    <n v="7964"/>
    <n v="1"/>
    <x v="2"/>
    <x v="0"/>
    <s v=" Sector 84 Gurgaon"/>
    <n v="0"/>
    <n v="0"/>
    <n v="1"/>
    <n v="13"/>
    <n v="1"/>
    <x v="3"/>
    <n v="15"/>
    <n v="0"/>
    <n v="0"/>
    <n v="0"/>
    <n v="0"/>
    <n v="339"/>
    <m/>
    <n v="439"/>
    <n v="0"/>
    <n v="0"/>
    <n v="1"/>
    <n v="0"/>
    <n v="0"/>
    <n v="0"/>
    <n v="0"/>
    <n v="0"/>
    <n v="0"/>
    <n v="0"/>
    <n v="0"/>
    <n v="0"/>
    <n v="0"/>
    <n v="0"/>
    <n v="1"/>
    <n v="0"/>
    <n v="1"/>
    <n v="10"/>
    <x v="0"/>
    <x v="0"/>
    <x v="1"/>
    <x v="1"/>
    <x v="0"/>
    <x v="0"/>
    <x v="1"/>
    <x v="0"/>
    <x v="1"/>
    <n v="0"/>
    <n v="0"/>
    <n v="0"/>
    <n v="2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3.3902561526870001E-3"/>
    <n v="2700000"/>
    <n v="7.9640000000000002E-2"/>
    <x v="0"/>
    <s v="Todo bien"/>
    <x v="2"/>
    <x v="2"/>
    <n v="147.67964307257262"/>
    <x v="0"/>
    <x v="1"/>
    <s v="Pequeña"/>
    <x v="0"/>
    <n v="339.0256152687092"/>
  </r>
  <r>
    <s v="CGHS Vidya Enclave"/>
    <x v="74"/>
    <n v="10967"/>
    <n v="3"/>
    <x v="1"/>
    <x v="1"/>
    <s v=" Sector 56 Gurgaon"/>
    <n v="0"/>
    <n v="0"/>
    <n v="2"/>
    <n v="6"/>
    <n v="3"/>
    <x v="1"/>
    <n v="9"/>
    <n v="0"/>
    <n v="0"/>
    <n v="0"/>
    <n v="1"/>
    <n v="1550"/>
    <m/>
    <n v="1600"/>
    <n v="1"/>
    <n v="0"/>
    <n v="1"/>
    <n v="1"/>
    <n v="0"/>
    <n v="1"/>
    <n v="1"/>
    <n v="1"/>
    <n v="0"/>
    <n v="1"/>
    <n v="0"/>
    <n v="0"/>
    <n v="1"/>
    <n v="0"/>
    <n v="1"/>
    <n v="0"/>
    <n v="0"/>
    <n v="34"/>
    <x v="0"/>
    <x v="0"/>
    <x v="0"/>
    <x v="0"/>
    <x v="0"/>
    <x v="0"/>
    <x v="0"/>
    <x v="1"/>
    <x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048600346399E-2"/>
    <n v="17000000"/>
    <n v="0.10967"/>
    <x v="3"/>
    <s v="Todo bien"/>
    <x v="0"/>
    <x v="3"/>
    <n v="675.22606595239859"/>
    <x v="1"/>
    <x v="2"/>
    <s v="Pequeña"/>
    <x v="1"/>
    <n v="1550.1048600346494"/>
  </r>
  <r>
    <s v="Smart World Gems"/>
    <x v="201"/>
    <n v="10500"/>
    <n v="3"/>
    <x v="1"/>
    <x v="2"/>
    <s v=" Sector 89 Gurgaon"/>
    <n v="0"/>
    <n v="0"/>
    <n v="2"/>
    <n v="1"/>
    <n v="3"/>
    <x v="1"/>
    <n v="4"/>
    <n v="0"/>
    <n v="1"/>
    <n v="0"/>
    <n v="0"/>
    <n v="1104.7619047619048"/>
    <m/>
    <n v="1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7619047619001E-2"/>
    <n v="11600000"/>
    <n v="0.105"/>
    <x v="2"/>
    <s v="Todo bien"/>
    <x v="0"/>
    <x v="1"/>
    <n v="481.23456289904561"/>
    <x v="0"/>
    <x v="0"/>
    <s v="Pequeña"/>
    <x v="1"/>
    <n v="1104.7619047619048"/>
  </r>
  <r>
    <s v="MM Woodshire"/>
    <x v="19"/>
    <n v="7394"/>
    <n v="2"/>
    <x v="1"/>
    <x v="2"/>
    <s v=" Sector 107 Gurgaon"/>
    <n v="0"/>
    <n v="0"/>
    <n v="2"/>
    <n v="11"/>
    <n v="3"/>
    <x v="0"/>
    <n v="15"/>
    <n v="0"/>
    <n v="0"/>
    <n v="0"/>
    <n v="0"/>
    <n v="1365.9724100622125"/>
    <n v="1200"/>
    <n v="1366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9724100622101E-2"/>
    <n v="10100000"/>
    <n v="7.3940000000000006E-2"/>
    <x v="2"/>
    <s v="Todo bien"/>
    <x v="0"/>
    <x v="4"/>
    <n v="595.01792454557642"/>
    <x v="1"/>
    <x v="2"/>
    <s v="Mediana"/>
    <x v="1"/>
    <n v="1365.9724100622125"/>
  </r>
  <r>
    <s v="Vasant Apartment"/>
    <x v="68"/>
    <n v="7608"/>
    <n v="5"/>
    <x v="4"/>
    <x v="1"/>
    <s v=" old delhi road, opp sector-14"/>
    <n v="0"/>
    <n v="0"/>
    <n v="5"/>
    <n v="3"/>
    <n v="2"/>
    <x v="4"/>
    <n v="3"/>
    <n v="0"/>
    <n v="1"/>
    <n v="1"/>
    <n v="1"/>
    <n v="2300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0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2103049421602E-2"/>
    <n v="17500000"/>
    <n v="7.6079999999999995E-2"/>
    <x v="3"/>
    <s v="Todo bien"/>
    <x v="1"/>
    <x v="1"/>
    <n v="1001.9721859555706"/>
    <x v="1"/>
    <x v="2"/>
    <s v="Pequeña"/>
    <x v="0"/>
    <n v="2300.2103049421662"/>
  </r>
  <r>
    <s v="Signature Global Solera "/>
    <x v="1"/>
    <n v="8928"/>
    <n v="2"/>
    <x v="1"/>
    <x v="2"/>
    <s v=" Sector 107 Gurgaon"/>
    <n v="0"/>
    <n v="0"/>
    <n v="2"/>
    <n v="13"/>
    <n v="2"/>
    <x v="0"/>
    <n v="13"/>
    <n v="0"/>
    <n v="0"/>
    <n v="0"/>
    <n v="0"/>
    <n v="56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003584229390004E-3"/>
    <n v="5000000"/>
    <n v="8.9279999999999998E-2"/>
    <x v="1"/>
    <s v="Todo bien"/>
    <x v="0"/>
    <x v="2"/>
    <n v="243.95175341621569"/>
    <x v="0"/>
    <x v="1"/>
    <s v="Pequeña"/>
    <x v="0"/>
    <n v="560.03584229390685"/>
  </r>
  <r>
    <s v="Signature Global Park "/>
    <x v="30"/>
    <n v="7585"/>
    <n v="3"/>
    <x v="1"/>
    <x v="2"/>
    <s v=" Sector 36 Sohna"/>
    <n v="0"/>
    <n v="0"/>
    <n v="2"/>
    <n v="2"/>
    <n v="3"/>
    <x v="1"/>
    <n v="4"/>
    <n v="0"/>
    <n v="0"/>
    <n v="0"/>
    <n v="0"/>
    <n v="1081"/>
    <m/>
    <m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x v="1"/>
    <s v="Todo bien"/>
    <x v="0"/>
    <x v="2"/>
    <n v="470.91919016216167"/>
    <x v="0"/>
    <x v="0"/>
    <s v="Pequeña"/>
    <x v="0"/>
    <n v="1081.081081081081"/>
  </r>
  <r>
    <s v="Orris Carnation Residency"/>
    <x v="8"/>
    <n v="6686"/>
    <n v="3"/>
    <x v="4"/>
    <x v="5"/>
    <s v=" Sector 85 Gurgaon"/>
    <n v="0"/>
    <n v="0"/>
    <n v="4"/>
    <n v="6"/>
    <n v="3"/>
    <x v="1"/>
    <n v="12"/>
    <n v="1"/>
    <n v="0"/>
    <n v="0"/>
    <n v="0"/>
    <n v="1300"/>
    <m/>
    <n v="164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3"/>
    <n v="1"/>
    <n v="0"/>
    <n v="0"/>
    <n v="1"/>
    <n v="1"/>
    <n v="0"/>
    <n v="0"/>
    <n v="0"/>
    <n v="0"/>
    <n v="0"/>
    <n v="1"/>
    <n v="1"/>
    <n v="1"/>
    <n v="1"/>
    <n v="0"/>
    <n v="0"/>
    <n v="0"/>
    <n v="0"/>
    <n v="0"/>
    <n v="1"/>
    <n v="1.6452288363745099E-2"/>
    <n v="11000000"/>
    <n v="6.6860000000000003E-2"/>
    <x v="2"/>
    <s v="Todo bien"/>
    <x v="2"/>
    <x v="3"/>
    <n v="716.66209391265159"/>
    <x v="1"/>
    <x v="2"/>
    <s v="Pequeña"/>
    <x v="1"/>
    <n v="1645.2288363745138"/>
  </r>
  <r>
    <s v="IRWO Westend Towers"/>
    <x v="53"/>
    <n v="12059"/>
    <n v="1"/>
    <x v="1"/>
    <x v="1"/>
    <s v=" Sector 47 Gurgaon"/>
    <n v="0"/>
    <n v="0"/>
    <n v="1"/>
    <n v="3"/>
    <n v="2"/>
    <x v="3"/>
    <n v="4"/>
    <n v="0"/>
    <n v="0"/>
    <n v="0"/>
    <n v="0"/>
    <n v="539"/>
    <m/>
    <m/>
    <n v="0"/>
    <n v="0"/>
    <n v="1"/>
    <n v="1"/>
    <n v="1"/>
    <n v="0"/>
    <n v="1"/>
    <n v="1"/>
    <n v="0"/>
    <n v="1"/>
    <n v="0"/>
    <n v="0"/>
    <n v="1"/>
    <n v="1"/>
    <n v="1"/>
    <n v="0"/>
    <n v="0"/>
    <n v="2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901650219752E-3"/>
    <n v="6500000"/>
    <n v="0.12059"/>
    <x v="1"/>
    <s v="Todo bien"/>
    <x v="0"/>
    <x v="1"/>
    <n v="234.79572359648012"/>
    <x v="0"/>
    <x v="1"/>
    <s v="Pequeña"/>
    <x v="0"/>
    <n v="539.01650219752878"/>
  </r>
  <r>
    <s v="Smart World Orchard"/>
    <x v="234"/>
    <n v="13739"/>
    <n v="2"/>
    <x v="8"/>
    <x v="2"/>
    <s v=" Sector 61 Gurgaon"/>
    <n v="0"/>
    <n v="0"/>
    <n v="2"/>
    <n v="3"/>
    <n v="2"/>
    <x v="0"/>
    <n v="4"/>
    <n v="0"/>
    <n v="1"/>
    <n v="0"/>
    <n v="0"/>
    <n v="115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09178251601E-2"/>
    <n v="15800000"/>
    <n v="0.13739000000000001"/>
    <x v="3"/>
    <s v="Todo bien"/>
    <x v="0"/>
    <x v="2"/>
    <n v="500.94504434237905"/>
    <x v="1"/>
    <x v="0"/>
    <s v="Pequeña"/>
    <x v="0"/>
    <n v="1150.0109178251691"/>
  </r>
  <r>
    <s v="AFNHB Jalvayu Vihar"/>
    <x v="28"/>
    <n v="12859"/>
    <n v="2"/>
    <x v="0"/>
    <x v="1"/>
    <s v=" Sector 30 Gurgaon"/>
    <n v="0"/>
    <n v="0"/>
    <n v="2"/>
    <n v="2"/>
    <n v="1"/>
    <x v="0"/>
    <n v="4"/>
    <n v="0"/>
    <n v="0"/>
    <n v="0"/>
    <n v="0"/>
    <n v="661"/>
    <m/>
    <m/>
    <n v="1"/>
    <n v="0"/>
    <n v="0"/>
    <n v="0"/>
    <n v="0"/>
    <n v="0"/>
    <n v="0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6101563107551003E-3"/>
    <n v="8500000"/>
    <n v="0.12859000000000001"/>
    <x v="1"/>
    <s v="Todo bien"/>
    <x v="1"/>
    <x v="0"/>
    <n v="287.93857474531404"/>
    <x v="0"/>
    <x v="0"/>
    <s v="Pequeña"/>
    <x v="0"/>
    <n v="661.01563107551124"/>
  </r>
  <r>
    <s v="Godrej , Sector "/>
    <x v="43"/>
    <n v="9038"/>
    <n v="2"/>
    <x v="4"/>
    <x v="4"/>
    <s v=" Sector 79 Gurgaon"/>
    <n v="0"/>
    <n v="0"/>
    <n v="2"/>
    <n v="1"/>
    <n v="3"/>
    <x v="0"/>
    <n v="16"/>
    <n v="0"/>
    <n v="0"/>
    <n v="0"/>
    <n v="0"/>
    <n v="1383.0493472007081"/>
    <n v="138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493472007E-2"/>
    <n v="12500000"/>
    <n v="9.0380000000000002E-2"/>
    <x v="2"/>
    <s v="Todo bien"/>
    <x v="0"/>
    <x v="2"/>
    <n v="602.45664264770619"/>
    <x v="1"/>
    <x v="2"/>
    <s v="Mediana"/>
    <x v="0"/>
    <n v="1383.0493472007081"/>
  </r>
  <r>
    <s v="Signature Global Park "/>
    <x v="108"/>
    <n v="6660"/>
    <n v="3"/>
    <x v="1"/>
    <x v="3"/>
    <s v=" Sector 36 Sohna"/>
    <n v="0"/>
    <n v="0"/>
    <n v="2"/>
    <n v="3"/>
    <n v="3"/>
    <x v="1"/>
    <n v="4"/>
    <n v="0"/>
    <n v="0"/>
    <n v="0"/>
    <n v="0"/>
    <n v="1081.081081081081"/>
    <m/>
    <n v="1081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7200000"/>
    <n v="6.6600000000000006E-2"/>
    <x v="1"/>
    <s v="Todo bien"/>
    <x v="0"/>
    <x v="2"/>
    <n v="470.91919016216167"/>
    <x v="0"/>
    <x v="0"/>
    <s v="Pequeña"/>
    <x v="1"/>
    <n v="1081.081081081081"/>
  </r>
  <r>
    <s v="Satya Element One"/>
    <x v="147"/>
    <n v="19333"/>
    <n v="1"/>
    <x v="1"/>
    <x v="0"/>
    <s v=" Sector 49 Gurgaon"/>
    <n v="0"/>
    <n v="0"/>
    <n v="1"/>
    <n v="2"/>
    <n v="1"/>
    <x v="3"/>
    <n v="12"/>
    <n v="0"/>
    <n v="0"/>
    <n v="0"/>
    <n v="0"/>
    <n v="450"/>
    <m/>
    <m/>
    <n v="0"/>
    <n v="0"/>
    <n v="1"/>
    <n v="1"/>
    <n v="1"/>
    <n v="0"/>
    <n v="0"/>
    <n v="0"/>
    <n v="0"/>
    <n v="0"/>
    <n v="0"/>
    <n v="0"/>
    <n v="1"/>
    <n v="0"/>
    <n v="0"/>
    <n v="0"/>
    <n v="1"/>
    <n v="18"/>
    <x v="1"/>
    <x v="0"/>
    <x v="1"/>
    <x v="1"/>
    <x v="0"/>
    <x v="0"/>
    <x v="1"/>
    <x v="0"/>
    <x v="0"/>
    <n v="0"/>
    <n v="1"/>
    <n v="1"/>
    <n v="1"/>
    <n v="1"/>
    <n v="1"/>
    <n v="1"/>
    <n v="1"/>
    <n v="0"/>
    <n v="1"/>
    <n v="1"/>
    <n v="0"/>
    <n v="1"/>
    <n v="1"/>
    <n v="1"/>
    <n v="1"/>
    <n v="1"/>
    <n v="0"/>
    <n v="0"/>
    <n v="0"/>
    <n v="0"/>
    <n v="0"/>
    <n v="0"/>
    <n v="1"/>
    <n v="4.5000775875445997E-3"/>
    <n v="8700000"/>
    <n v="0.19333"/>
    <x v="1"/>
    <s v="Todo bien"/>
    <x v="2"/>
    <x v="0"/>
    <n v="196.02349262038945"/>
    <x v="0"/>
    <x v="1"/>
    <s v="Pequeña"/>
    <x v="0"/>
    <n v="450.00775875446129"/>
  </r>
  <r>
    <s v="Godrej Aria"/>
    <x v="74"/>
    <n v="7426"/>
    <n v="3"/>
    <x v="4"/>
    <x v="2"/>
    <s v=" Sector 79 Gurgaon"/>
    <n v="0"/>
    <n v="0"/>
    <n v="4"/>
    <n v="6"/>
    <n v="3"/>
    <x v="1"/>
    <n v="15"/>
    <n v="1"/>
    <n v="0"/>
    <n v="0"/>
    <n v="0"/>
    <n v="1121"/>
    <m/>
    <n v="2289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2539725289499E-2"/>
    <n v="17000000"/>
    <n v="7.4260000000000007E-2"/>
    <x v="3"/>
    <s v="Todo bien"/>
    <x v="0"/>
    <x v="3"/>
    <n v="997.19960480743237"/>
    <x v="1"/>
    <x v="0"/>
    <s v="Pequeña"/>
    <x v="2"/>
    <n v="2289.2539725289521"/>
  </r>
  <r>
    <s v="Tulip Ivory"/>
    <x v="168"/>
    <n v="9791"/>
    <n v="4"/>
    <x v="4"/>
    <x v="5"/>
    <s v=" Sector 70 Gurgaon"/>
    <n v="0"/>
    <n v="0"/>
    <n v="4"/>
    <n v="10"/>
    <n v="3"/>
    <x v="2"/>
    <n v="12"/>
    <n v="1"/>
    <n v="0"/>
    <n v="0"/>
    <n v="0"/>
    <n v="2400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1634153814701E-2"/>
    <n v="23500000"/>
    <n v="9.7909999999999997E-2"/>
    <x v="3"/>
    <s v="Todo bien"/>
    <x v="1"/>
    <x v="3"/>
    <n v="1045.5117859411694"/>
    <x v="1"/>
    <x v="2"/>
    <s v="Pequeña"/>
    <x v="0"/>
    <n v="2400.163415381473"/>
  </r>
  <r>
    <s v="Breez Global Heights A"/>
    <x v="1"/>
    <n v="8375"/>
    <n v="3"/>
    <x v="1"/>
    <x v="3"/>
    <s v=" Sector 88A Gurgaon"/>
    <n v="0"/>
    <n v="0"/>
    <n v="2"/>
    <n v="2"/>
    <n v="2"/>
    <x v="1"/>
    <n v="19"/>
    <n v="0"/>
    <n v="0"/>
    <n v="0"/>
    <n v="0"/>
    <n v="597"/>
    <m/>
    <m/>
    <n v="0"/>
    <n v="0"/>
    <n v="1"/>
    <n v="0"/>
    <n v="0"/>
    <n v="0"/>
    <n v="0"/>
    <n v="0"/>
    <n v="1"/>
    <n v="0"/>
    <n v="0"/>
    <n v="0"/>
    <n v="1"/>
    <n v="0"/>
    <n v="0"/>
    <n v="0"/>
    <n v="1"/>
    <n v="1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1492537313E-3"/>
    <n v="5000000"/>
    <n v="8.3750000000000005E-2"/>
    <x v="1"/>
    <s v="Todo bien"/>
    <x v="0"/>
    <x v="2"/>
    <n v="260.0598512835802"/>
    <x v="0"/>
    <x v="1"/>
    <s v="Pequeña"/>
    <x v="0"/>
    <n v="597.01492537313425"/>
  </r>
  <r>
    <s v="Godrej "/>
    <x v="110"/>
    <n v="9000"/>
    <n v="2"/>
    <x v="1"/>
    <x v="2"/>
    <s v=" Sector 79 Gurgaon"/>
    <n v="0"/>
    <n v="0"/>
    <n v="2"/>
    <n v="3"/>
    <n v="3"/>
    <x v="0"/>
    <n v="14"/>
    <n v="0"/>
    <n v="1"/>
    <n v="0"/>
    <n v="0"/>
    <n v="1572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666666666666E-2"/>
    <n v="14100000"/>
    <n v="0.09"/>
    <x v="2"/>
    <s v="Todo bien"/>
    <x v="0"/>
    <x v="5"/>
    <n v="682.44039307666378"/>
    <x v="1"/>
    <x v="2"/>
    <s v="Pequeña"/>
    <x v="0"/>
    <n v="1566.6666666666667"/>
  </r>
  <r>
    <s v="Signature Global City "/>
    <x v="48"/>
    <n v="6622"/>
    <n v="3"/>
    <x v="4"/>
    <x v="2"/>
    <s v=" Sector 92 Gurgaon"/>
    <n v="0"/>
    <n v="0"/>
    <n v="2"/>
    <n v="1"/>
    <n v="3"/>
    <x v="1"/>
    <n v="4"/>
    <n v="0"/>
    <n v="0"/>
    <n v="0"/>
    <n v="0"/>
    <n v="149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0166112956799E-2"/>
    <n v="9900000"/>
    <n v="6.6220000000000001E-2"/>
    <x v="1"/>
    <s v="Todo bien"/>
    <x v="1"/>
    <x v="0"/>
    <n v="651.22961098006601"/>
    <x v="1"/>
    <x v="2"/>
    <s v="Pequeña"/>
    <x v="0"/>
    <n v="1495.0166112956811"/>
  </r>
  <r>
    <s v="Tulip Violet"/>
    <x v="27"/>
    <n v="10105"/>
    <n v="4"/>
    <x v="1"/>
    <x v="0"/>
    <s v=" Sector 69 Gurgaon"/>
    <n v="0"/>
    <n v="0"/>
    <n v="5"/>
    <n v="14"/>
    <n v="3"/>
    <x v="2"/>
    <n v="14"/>
    <n v="0"/>
    <n v="0"/>
    <n v="1"/>
    <n v="0"/>
    <n v="3216.2295893122218"/>
    <m/>
    <n v="3216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2295893122202E-2"/>
    <n v="32500000"/>
    <n v="0.10105"/>
    <x v="5"/>
    <s v="Todo bien"/>
    <x v="0"/>
    <x v="2"/>
    <n v="1400.9904160564072"/>
    <x v="1"/>
    <x v="3"/>
    <s v="Pequeña"/>
    <x v="3"/>
    <n v="3216.2295893122218"/>
  </r>
  <r>
    <s v="Birla Navya"/>
    <x v="151"/>
    <n v="25925"/>
    <n v="3"/>
    <x v="1"/>
    <x v="3"/>
    <s v=" Sector 63A Gurgaon"/>
    <n v="0"/>
    <n v="0"/>
    <n v="3"/>
    <n v="1"/>
    <n v="3"/>
    <x v="1"/>
    <n v="4"/>
    <n v="0"/>
    <n v="0"/>
    <n v="0"/>
    <n v="0"/>
    <n v="135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4821600771E-2"/>
    <n v="35000000"/>
    <n v="0.25924999999999998"/>
    <x v="5"/>
    <s v="Todo bien"/>
    <x v="1"/>
    <x v="0"/>
    <n v="588.08134162005592"/>
    <x v="1"/>
    <x v="2"/>
    <s v="Pequeña"/>
    <x v="0"/>
    <n v="1350.0482160077147"/>
  </r>
  <r>
    <s v="Parsvnath Green Ville"/>
    <x v="51"/>
    <n v="12820"/>
    <n v="4"/>
    <x v="3"/>
    <x v="5"/>
    <s v=" Sector 48 Gurgaon"/>
    <n v="0"/>
    <n v="0"/>
    <n v="5"/>
    <n v="1"/>
    <n v="3"/>
    <x v="2"/>
    <n v="19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4"/>
    <n v="1"/>
    <n v="5"/>
    <n v="1"/>
    <n v="1"/>
    <n v="1"/>
    <n v="0"/>
    <n v="0"/>
    <n v="15"/>
    <n v="1"/>
    <n v="0"/>
    <n v="3"/>
    <n v="1"/>
    <n v="0"/>
    <n v="3"/>
    <n v="1"/>
    <n v="0"/>
    <n v="0"/>
    <n v="0"/>
    <n v="0"/>
    <n v="0"/>
    <n v="0"/>
    <n v="1"/>
    <n v="1.95007800312012E-2"/>
    <n v="25000000"/>
    <n v="0.12820000000000001"/>
    <x v="3"/>
    <s v="Todo bien"/>
    <x v="2"/>
    <x v="1"/>
    <n v="849.4544674336953"/>
    <x v="1"/>
    <x v="2"/>
    <s v="Pequeña"/>
    <x v="0"/>
    <n v="1950.0780031201248"/>
  </r>
  <r>
    <s v="Pyramid Pride"/>
    <x v="1"/>
    <n v="6578"/>
    <n v="2"/>
    <x v="5"/>
    <x v="3"/>
    <s v=" Sector 76 Gurgaon"/>
    <n v="0"/>
    <n v="0"/>
    <n v="2"/>
    <n v="8"/>
    <n v="1"/>
    <x v="0"/>
    <n v="14"/>
    <n v="0"/>
    <n v="0"/>
    <n v="0"/>
    <n v="0"/>
    <n v="760"/>
    <m/>
    <m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10945576161998E-3"/>
    <n v="5000000"/>
    <n v="6.5780000000000005E-2"/>
    <x v="1"/>
    <s v="Todo bien"/>
    <x v="0"/>
    <x v="4"/>
    <n v="331.10386964122415"/>
    <x v="0"/>
    <x v="0"/>
    <s v="Pequeña"/>
    <x v="0"/>
    <n v="760.10945576162965"/>
  </r>
  <r>
    <s v="Suposhaa Smartworld Orchard"/>
    <x v="39"/>
    <n v="14525"/>
    <n v="3"/>
    <x v="1"/>
    <x v="3"/>
    <s v=" Sector 61 Gurgaon"/>
    <n v="0"/>
    <n v="0"/>
    <n v="3"/>
    <n v="3"/>
    <n v="2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533562822701E-2"/>
    <n v="22500000"/>
    <n v="0.14524999999999999"/>
    <x v="3"/>
    <s v="Todo bien"/>
    <x v="0"/>
    <x v="2"/>
    <n v="674.76803065404397"/>
    <x v="1"/>
    <x v="2"/>
    <s v="Pequeña"/>
    <x v="0"/>
    <n v="1549.053356282272"/>
  </r>
  <r>
    <s v="Mittal Surya Vihar"/>
    <x v="100"/>
    <n v="5833"/>
    <n v="5"/>
    <x v="1"/>
    <x v="5"/>
    <s v=" Sector 21 Gurgaon"/>
    <n v="0"/>
    <n v="0"/>
    <n v="4"/>
    <n v="2"/>
    <n v="2"/>
    <x v="4"/>
    <n v="3"/>
    <n v="0"/>
    <n v="0"/>
    <n v="0"/>
    <n v="0"/>
    <n v="2400.1371506943256"/>
    <m/>
    <n v="2400"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3715069432E-2"/>
    <n v="14000000"/>
    <n v="5.833E-2"/>
    <x v="2"/>
    <s v="Todo bien"/>
    <x v="0"/>
    <x v="2"/>
    <n v="1045.500345036857"/>
    <x v="1"/>
    <x v="2"/>
    <s v="Pequeña"/>
    <x v="2"/>
    <n v="2400.1371506943256"/>
  </r>
  <r>
    <s v="Orris Carnation Residency"/>
    <x v="15"/>
    <n v="6428"/>
    <n v="3"/>
    <x v="1"/>
    <x v="0"/>
    <s v=" Sector 85 Gurgaon"/>
    <n v="0"/>
    <n v="0"/>
    <n v="3"/>
    <n v="12"/>
    <n v="2"/>
    <x v="1"/>
    <n v="12"/>
    <n v="0"/>
    <n v="0"/>
    <n v="0"/>
    <n v="0"/>
    <n v="1400"/>
    <n v="1402"/>
    <n v="148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0012445550715E-2"/>
    <n v="9000000"/>
    <n v="6.4280000000000004E-2"/>
    <x v="1"/>
    <s v="Todo bien"/>
    <x v="1"/>
    <x v="5"/>
    <n v="609.89456411014044"/>
    <x v="1"/>
    <x v="2"/>
    <s v="Mediana"/>
    <x v="1"/>
    <n v="1400.1244555071562"/>
  </r>
  <r>
    <s v="Trisara Our Homes "/>
    <x v="89"/>
    <n v="5980"/>
    <n v="2"/>
    <x v="1"/>
    <x v="2"/>
    <s v=" Sohna"/>
    <n v="0"/>
    <n v="0"/>
    <n v="2"/>
    <n v="1"/>
    <n v="1"/>
    <x v="0"/>
    <n v="4"/>
    <n v="0"/>
    <n v="0"/>
    <n v="0"/>
    <n v="0"/>
    <n v="450"/>
    <m/>
    <n v="602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1"/>
    <x v="0"/>
    <x v="0"/>
    <x v="0"/>
    <x v="1"/>
    <x v="0"/>
    <n v="0"/>
    <n v="0"/>
    <n v="0"/>
    <n v="4"/>
    <n v="1"/>
    <n v="0"/>
    <n v="0"/>
    <n v="1"/>
    <n v="0"/>
    <n v="1"/>
    <n v="1"/>
    <n v="0"/>
    <n v="0"/>
    <n v="0"/>
    <n v="1"/>
    <n v="0"/>
    <n v="0"/>
    <n v="0"/>
    <n v="0"/>
    <n v="0"/>
    <n v="0"/>
    <n v="0"/>
    <n v="0"/>
    <n v="2"/>
    <n v="6.0200668896320999E-3"/>
    <n v="3600000"/>
    <n v="5.9799999999999999E-2"/>
    <x v="0"/>
    <s v="Todo bien"/>
    <x v="1"/>
    <x v="1"/>
    <n v="262.23426475585256"/>
    <x v="0"/>
    <x v="1"/>
    <s v="Pequeña"/>
    <x v="0"/>
    <n v="602.00668896321076"/>
  </r>
  <r>
    <s v="Kendriya Vihar"/>
    <x v="53"/>
    <n v="8609"/>
    <n v="1"/>
    <x v="1"/>
    <x v="5"/>
    <s v=" Sector 56 Gurgaon"/>
    <n v="0"/>
    <n v="0"/>
    <n v="1"/>
    <n v="0"/>
    <n v="1"/>
    <x v="3"/>
    <n v="4"/>
    <n v="0"/>
    <n v="0"/>
    <n v="0"/>
    <n v="0"/>
    <n v="755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502381228945998E-3"/>
    <n v="6500000"/>
    <n v="8.609E-2"/>
    <x v="1"/>
    <s v="Todo bien"/>
    <x v="0"/>
    <x v="4"/>
    <n v="328.88856206876329"/>
    <x v="0"/>
    <x v="0"/>
    <s v="Pequeña"/>
    <x v="0"/>
    <n v="755.02381228946456"/>
  </r>
  <r>
    <s v="Godrej Aria"/>
    <x v="35"/>
    <n v="8843"/>
    <n v="2"/>
    <x v="1"/>
    <x v="0"/>
    <s v=" Sector 79 Gurgaon"/>
    <n v="0"/>
    <n v="0"/>
    <n v="2"/>
    <n v="7"/>
    <n v="2"/>
    <x v="0"/>
    <n v="15"/>
    <n v="0"/>
    <n v="1"/>
    <n v="0"/>
    <n v="0"/>
    <n v="1470.089336198123"/>
    <m/>
    <n v="1470"/>
    <n v="1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0"/>
    <n v="1"/>
    <n v="1"/>
    <n v="1"/>
    <n v="1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1.47008933619812E-2"/>
    <n v="13000000"/>
    <n v="8.8429999999999995E-2"/>
    <x v="2"/>
    <s v="Todo bien"/>
    <x v="1"/>
    <x v="3"/>
    <n v="640.3712836933156"/>
    <x v="1"/>
    <x v="2"/>
    <s v="Pequeña"/>
    <x v="1"/>
    <n v="1470.089336198123"/>
  </r>
  <r>
    <s v="Ansal Heights "/>
    <x v="346"/>
    <n v="5100"/>
    <n v="2"/>
    <x v="1"/>
    <x v="0"/>
    <s v=" Sector 86 Gurgaon"/>
    <n v="0"/>
    <n v="0"/>
    <n v="2"/>
    <n v="10"/>
    <n v="1"/>
    <x v="0"/>
    <n v="14"/>
    <n v="0"/>
    <n v="0"/>
    <n v="0"/>
    <n v="0"/>
    <n v="1313.7254901960785"/>
    <m/>
    <n v="136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72549019607E-2"/>
    <n v="6700000"/>
    <n v="5.0999999999999997E-2"/>
    <x v="1"/>
    <s v="Todo bien"/>
    <x v="0"/>
    <x v="4"/>
    <n v="572.25915314313363"/>
    <x v="1"/>
    <x v="2"/>
    <s v="Pequeña"/>
    <x v="1"/>
    <n v="1313.7254901960785"/>
  </r>
  <r>
    <s v="Breez Global Heights"/>
    <x v="36"/>
    <n v="7002"/>
    <n v="1"/>
    <x v="1"/>
    <x v="0"/>
    <s v=" Sohna"/>
    <n v="0"/>
    <n v="0"/>
    <n v="1"/>
    <n v="1"/>
    <n v="1"/>
    <x v="3"/>
    <n v="10"/>
    <n v="0"/>
    <n v="0"/>
    <n v="0"/>
    <n v="0"/>
    <n v="357"/>
    <m/>
    <n v="414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704084547272001E-3"/>
    <n v="2500000"/>
    <n v="7.0019999999999999E-2"/>
    <x v="0"/>
    <s v="Todo bien"/>
    <x v="0"/>
    <x v="1"/>
    <n v="155.52708186946498"/>
    <x v="0"/>
    <x v="1"/>
    <s v="Pequeña"/>
    <x v="0"/>
    <n v="357.04084547272208"/>
  </r>
  <r>
    <s v="Kendriya Vihar"/>
    <x v="399"/>
    <n v="9586"/>
    <n v="1"/>
    <x v="1"/>
    <x v="1"/>
    <s v=" Sector 56 Gurgaon"/>
    <n v="0"/>
    <n v="0"/>
    <n v="1"/>
    <n v="1"/>
    <n v="1"/>
    <x v="3"/>
    <n v="4"/>
    <n v="0"/>
    <n v="0"/>
    <n v="0"/>
    <n v="0"/>
    <n v="605"/>
    <m/>
    <m/>
    <n v="1"/>
    <n v="0"/>
    <n v="1"/>
    <n v="0"/>
    <n v="0"/>
    <n v="0"/>
    <n v="0"/>
    <n v="1"/>
    <n v="0"/>
    <n v="1"/>
    <n v="1"/>
    <n v="1"/>
    <n v="0"/>
    <n v="0"/>
    <n v="1"/>
    <n v="0"/>
    <n v="1"/>
    <n v="30"/>
    <x v="0"/>
    <x v="0"/>
    <x v="0"/>
    <x v="0"/>
    <x v="0"/>
    <x v="0"/>
    <x v="0"/>
    <x v="1"/>
    <x v="0"/>
    <n v="1"/>
    <n v="0"/>
    <n v="0"/>
    <n v="0"/>
    <n v="0"/>
    <n v="0"/>
    <n v="0"/>
    <n v="0"/>
    <n v="1"/>
    <n v="0"/>
    <n v="0"/>
    <n v="0"/>
    <n v="0"/>
    <n v="0"/>
    <n v="0"/>
    <n v="1"/>
    <n v="1"/>
    <n v="0"/>
    <n v="0"/>
    <n v="0"/>
    <n v="0"/>
    <n v="0"/>
    <n v="0"/>
    <n v="0"/>
    <n v="6.0504902983516996E-3"/>
    <n v="5800000"/>
    <n v="9.5860000000000001E-2"/>
    <x v="1"/>
    <s v="Todo bien"/>
    <x v="0"/>
    <x v="1"/>
    <n v="263.55950920300165"/>
    <x v="0"/>
    <x v="0"/>
    <s v="Pequeña"/>
    <x v="0"/>
    <n v="605.04902983517627"/>
  </r>
  <r>
    <s v="om apartment Dayanand colony"/>
    <x v="413"/>
    <n v="4373"/>
    <n v="1"/>
    <x v="2"/>
    <x v="0"/>
    <s v=" Sector 5 Gurgaon"/>
    <n v="0"/>
    <n v="0"/>
    <n v="1"/>
    <n v="3"/>
    <n v="1"/>
    <x v="3"/>
    <n v="4"/>
    <n v="0"/>
    <n v="0"/>
    <n v="0"/>
    <n v="0"/>
    <n v="583"/>
    <m/>
    <m/>
    <n v="0"/>
    <n v="0"/>
    <n v="0"/>
    <n v="0"/>
    <n v="0"/>
    <n v="0"/>
    <n v="0"/>
    <n v="1"/>
    <n v="0"/>
    <n v="0"/>
    <n v="1"/>
    <n v="1"/>
    <n v="0"/>
    <n v="0"/>
    <n v="0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12371369768998E-3"/>
    <n v="2550000"/>
    <n v="4.3729999999999998E-2"/>
    <x v="0"/>
    <s v="Todo bien"/>
    <x v="0"/>
    <x v="0"/>
    <n v="254.00883599245353"/>
    <x v="0"/>
    <x v="1"/>
    <s v="Pequeña"/>
    <x v="0"/>
    <n v="583.12371369769039"/>
  </r>
  <r>
    <s v="Pyramid Urban Homes "/>
    <x v="91"/>
    <n v="8000"/>
    <n v="3"/>
    <x v="4"/>
    <x v="2"/>
    <s v=" Sector 86 Gurgaon"/>
    <n v="0"/>
    <n v="0"/>
    <n v="2"/>
    <n v="2"/>
    <n v="2"/>
    <x v="1"/>
    <n v="11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x v="1"/>
    <s v="Todo bien"/>
    <x v="0"/>
    <x v="2"/>
    <n v="326.70018817499999"/>
    <x v="0"/>
    <x v="0"/>
    <s v="Pequeña"/>
    <x v="0"/>
    <n v="750"/>
  </r>
  <r>
    <s v="Pyramid Urban Homes "/>
    <x v="1"/>
    <n v="8319"/>
    <n v="2"/>
    <x v="4"/>
    <x v="0"/>
    <s v=" Sector 86 Gurgaon"/>
    <n v="0"/>
    <n v="0"/>
    <n v="2"/>
    <n v="2"/>
    <n v="1"/>
    <x v="0"/>
    <n v="13"/>
    <n v="0"/>
    <n v="0"/>
    <n v="0"/>
    <n v="0"/>
    <n v="601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3377809832001E-3"/>
    <n v="5000000"/>
    <n v="8.319E-2"/>
    <x v="1"/>
    <s v="Todo bien"/>
    <x v="0"/>
    <x v="0"/>
    <n v="261.81046453900314"/>
    <x v="0"/>
    <x v="0"/>
    <s v="Pequeña"/>
    <x v="0"/>
    <n v="601.03377809832909"/>
  </r>
  <r>
    <s v="Godrej Nature Plus"/>
    <x v="12"/>
    <n v="8231"/>
    <n v="3"/>
    <x v="2"/>
    <x v="3"/>
    <s v=" Sector-33 Sohna"/>
    <n v="0"/>
    <n v="0"/>
    <n v="2"/>
    <n v="7"/>
    <n v="3"/>
    <x v="1"/>
    <n v="26"/>
    <n v="0"/>
    <n v="0"/>
    <n v="1"/>
    <n v="0"/>
    <n v="1640.1409306281134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4093062811E-2"/>
    <n v="13500000"/>
    <n v="8.2309999999999994E-2"/>
    <x v="2"/>
    <s v="Todo bien"/>
    <x v="0"/>
    <x v="1"/>
    <n v="714.44580089296426"/>
    <x v="1"/>
    <x v="2"/>
    <s v="Pequeña"/>
    <x v="1"/>
    <n v="1640.1409306281134"/>
  </r>
  <r>
    <s v="Unitech South Park"/>
    <x v="281"/>
    <n v="7000"/>
    <n v="3"/>
    <x v="1"/>
    <x v="3"/>
    <s v=" Sector 70 Gurgaon"/>
    <n v="0"/>
    <n v="0"/>
    <n v="3"/>
    <n v="1"/>
    <n v="2"/>
    <x v="1"/>
    <n v="19"/>
    <n v="0"/>
    <n v="0"/>
    <n v="0"/>
    <n v="0"/>
    <n v="1614.2857142857142"/>
    <m/>
    <n v="1610"/>
    <n v="1"/>
    <n v="0"/>
    <n v="0"/>
    <n v="0"/>
    <n v="0"/>
    <n v="0"/>
    <n v="0"/>
    <n v="1"/>
    <n v="1"/>
    <n v="1"/>
    <n v="0"/>
    <n v="0"/>
    <n v="1"/>
    <n v="0"/>
    <n v="1"/>
    <n v="1"/>
    <n v="1"/>
    <n v="16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42857142857101E-2"/>
    <n v="11300000"/>
    <n v="7.0000000000000007E-2"/>
    <x v="2"/>
    <s v="Todo bien"/>
    <x v="0"/>
    <x v="0"/>
    <n v="703.18326216714104"/>
    <x v="1"/>
    <x v="2"/>
    <s v="Pequeña"/>
    <x v="1"/>
    <n v="1614.2857142857142"/>
  </r>
  <r>
    <s v="Raheja Atharva"/>
    <x v="26"/>
    <n v="5319"/>
    <n v="4"/>
    <x v="1"/>
    <x v="2"/>
    <s v=" Sector 109 Gurgaon"/>
    <n v="0"/>
    <n v="0"/>
    <n v="1"/>
    <n v="0"/>
    <n v="0"/>
    <x v="2"/>
    <n v="1"/>
    <n v="0"/>
    <n v="0"/>
    <n v="0"/>
    <n v="0"/>
    <n v="3008.0842263583381"/>
    <n v="300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80842263583301E-2"/>
    <n v="16000000"/>
    <n v="5.3190000000000001E-2"/>
    <x v="3"/>
    <s v="Todo bien"/>
    <x v="0"/>
    <x v="2"/>
    <n v="1310.322243730021"/>
    <x v="1"/>
    <x v="3"/>
    <s v="Muy grande"/>
    <x v="0"/>
    <n v="3008.0842263583381"/>
  </r>
  <r>
    <s v="Greenopolis"/>
    <x v="53"/>
    <n v="5195"/>
    <n v="2"/>
    <x v="1"/>
    <x v="3"/>
    <s v=" Sector 89 Gurgaon"/>
    <n v="0"/>
    <n v="0"/>
    <n v="2"/>
    <n v="15"/>
    <n v="2"/>
    <x v="0"/>
    <n v="21"/>
    <n v="0"/>
    <n v="0"/>
    <n v="0"/>
    <n v="0"/>
    <n v="1251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12030798844999E-2"/>
    <n v="6500000"/>
    <n v="5.1950000000000003E-2"/>
    <x v="1"/>
    <s v="Todo bien"/>
    <x v="0"/>
    <x v="1"/>
    <n v="545.02437552454091"/>
    <x v="1"/>
    <x v="2"/>
    <s v="Pequeña"/>
    <x v="0"/>
    <n v="1251.2030798845042"/>
  </r>
  <r>
    <s v="Breez Global Hill View"/>
    <x v="75"/>
    <n v="5776"/>
    <n v="2"/>
    <x v="5"/>
    <x v="0"/>
    <s v=" Sohna"/>
    <n v="0"/>
    <n v="0"/>
    <n v="2"/>
    <n v="19"/>
    <n v="2"/>
    <x v="0"/>
    <n v="19"/>
    <n v="0"/>
    <n v="0"/>
    <n v="0"/>
    <n v="0"/>
    <n v="554"/>
    <m/>
    <m/>
    <n v="0"/>
    <n v="0"/>
    <n v="1"/>
    <n v="0"/>
    <n v="1"/>
    <n v="0"/>
    <n v="0"/>
    <n v="1"/>
    <n v="0"/>
    <n v="1"/>
    <n v="0"/>
    <n v="0"/>
    <n v="1"/>
    <n v="0"/>
    <n v="0"/>
    <n v="0"/>
    <n v="0"/>
    <n v="17"/>
    <x v="0"/>
    <x v="0"/>
    <x v="1"/>
    <x v="1"/>
    <x v="0"/>
    <x v="0"/>
    <x v="1"/>
    <x v="0"/>
    <x v="0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5.5401662049861002E-3"/>
    <n v="3200000"/>
    <n v="5.7759999999999999E-2"/>
    <x v="0"/>
    <s v="Todo bien"/>
    <x v="1"/>
    <x v="0"/>
    <n v="241.32977889196462"/>
    <x v="0"/>
    <x v="1"/>
    <s v="Pequeña"/>
    <x v="0"/>
    <n v="554.016620498615"/>
  </r>
  <r>
    <s v="Satya The Hermitage"/>
    <x v="42"/>
    <n v="5517"/>
    <n v="2"/>
    <x v="1"/>
    <x v="4"/>
    <s v=" Sector 103 Gurgaon"/>
    <n v="0"/>
    <n v="0"/>
    <n v="2"/>
    <n v="10"/>
    <n v="0"/>
    <x v="0"/>
    <n v="12"/>
    <n v="0"/>
    <n v="0"/>
    <n v="0"/>
    <n v="0"/>
    <n v="1450.0634402755122"/>
    <n v="14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8000000"/>
    <n v="5.5169999999999997E-2"/>
    <x v="1"/>
    <s v="Todo bien"/>
    <x v="0"/>
    <x v="2"/>
    <n v="631.64799840492935"/>
    <x v="1"/>
    <x v="2"/>
    <s v="Mediana"/>
    <x v="0"/>
    <n v="1450.0634402755122"/>
  </r>
  <r>
    <s v="Sahara Grace"/>
    <x v="145"/>
    <n v="14612"/>
    <n v="4"/>
    <x v="4"/>
    <x v="5"/>
    <s v=" Chakkarpur"/>
    <n v="0"/>
    <n v="0"/>
    <n v="5"/>
    <n v="5"/>
    <n v="3"/>
    <x v="2"/>
    <n v="13"/>
    <n v="1"/>
    <n v="0"/>
    <n v="0"/>
    <n v="0"/>
    <n v="3764.0295647413086"/>
    <m/>
    <n v="376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7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640295647413002E-2"/>
    <n v="55000000"/>
    <n v="0.14612"/>
    <x v="4"/>
    <s v="Todo bien"/>
    <x v="1"/>
    <x v="2"/>
    <n v="1639.6122227963283"/>
    <x v="3"/>
    <x v="3"/>
    <s v="Pequeña"/>
    <x v="3"/>
    <n v="3764.0295647413086"/>
  </r>
  <r>
    <s v="Imperia The Esfera"/>
    <x v="13"/>
    <n v="5703"/>
    <n v="2"/>
    <x v="1"/>
    <x v="3"/>
    <s v=" Sector 37C Gurgaon"/>
    <n v="0"/>
    <n v="0"/>
    <n v="2"/>
    <n v="17"/>
    <n v="0"/>
    <x v="0"/>
    <n v="17"/>
    <n v="1"/>
    <n v="0"/>
    <n v="0"/>
    <n v="0"/>
    <n v="1665.7899351218657"/>
    <n v="157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78993512186E-2"/>
    <n v="9500000"/>
    <n v="5.7029999999999997E-2"/>
    <x v="1"/>
    <s v="Todo bien"/>
    <x v="0"/>
    <x v="2"/>
    <n v="725.61851368577697"/>
    <x v="1"/>
    <x v="2"/>
    <s v="Mediana"/>
    <x v="0"/>
    <n v="1665.7899351218657"/>
  </r>
  <r>
    <s v="Alpha Corp GurgaonOne "/>
    <x v="56"/>
    <n v="9448"/>
    <n v="2"/>
    <x v="6"/>
    <x v="0"/>
    <s v=" Sector 84 Gurgaon"/>
    <n v="0"/>
    <n v="0"/>
    <n v="2"/>
    <n v="6"/>
    <n v="1"/>
    <x v="0"/>
    <n v="26"/>
    <n v="0"/>
    <n v="0"/>
    <n v="0"/>
    <n v="0"/>
    <n v="1270.1100762066046"/>
    <m/>
    <n v="1270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1100762066E-2"/>
    <n v="12000000"/>
    <n v="9.4479999999999995E-2"/>
    <x v="2"/>
    <s v="Todo bien"/>
    <x v="0"/>
    <x v="0"/>
    <n v="553.2602678662131"/>
    <x v="1"/>
    <x v="2"/>
    <s v="Pequeña"/>
    <x v="1"/>
    <n v="1270.1100762066046"/>
  </r>
  <r>
    <s v="Smart World Orchard"/>
    <x v="46"/>
    <n v="13478"/>
    <n v="2"/>
    <x v="1"/>
    <x v="3"/>
    <s v=" Sector 61 Gurgaon"/>
    <n v="0"/>
    <n v="0"/>
    <n v="2"/>
    <n v="3"/>
    <n v="1"/>
    <x v="0"/>
    <n v="4"/>
    <n v="0"/>
    <n v="1"/>
    <n v="0"/>
    <n v="0"/>
    <n v="1150.0222584953256"/>
    <m/>
    <n v="1150"/>
    <n v="0"/>
    <n v="0"/>
    <n v="0"/>
    <n v="1"/>
    <n v="1"/>
    <n v="0"/>
    <n v="0"/>
    <n v="0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225849532E-2"/>
    <n v="15500000"/>
    <n v="0.13478000000000001"/>
    <x v="3"/>
    <s v="Todo bien"/>
    <x v="0"/>
    <x v="1"/>
    <n v="500.94998434114609"/>
    <x v="1"/>
    <x v="0"/>
    <s v="Pequeña"/>
    <x v="1"/>
    <n v="1150.0222584953256"/>
  </r>
  <r>
    <s v="The Ivy"/>
    <x v="169"/>
    <n v="15765"/>
    <n v="4"/>
    <x v="2"/>
    <x v="4"/>
    <s v=" Sushant Lok"/>
    <n v="0"/>
    <n v="0"/>
    <n v="5"/>
    <n v="2"/>
    <n v="3"/>
    <x v="2"/>
    <n v="2"/>
    <n v="0"/>
    <n v="0"/>
    <n v="0"/>
    <n v="0"/>
    <n v="3805.8991436726924"/>
    <n v="3806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58991436726898E-2"/>
    <n v="60000000"/>
    <n v="0.15765000000000001"/>
    <x v="4"/>
    <s v="Todo bien"/>
    <x v="0"/>
    <x v="2"/>
    <n v="1657.8506218839188"/>
    <x v="3"/>
    <x v="3"/>
    <s v="Muy grande"/>
    <x v="0"/>
    <n v="3805.8991436726924"/>
  </r>
  <r>
    <s v="HCBS Sports Ville"/>
    <x v="419"/>
    <n v="4011"/>
    <n v="2"/>
    <x v="1"/>
    <x v="4"/>
    <s v=" Sohna"/>
    <n v="0"/>
    <n v="0"/>
    <n v="2"/>
    <n v="3"/>
    <n v="2"/>
    <x v="0"/>
    <n v="3"/>
    <n v="0"/>
    <n v="0"/>
    <n v="0"/>
    <n v="0"/>
    <n v="62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295686861130996E-3"/>
    <n v="2980000"/>
    <n v="4.011E-2"/>
    <x v="0"/>
    <s v="Todo bien"/>
    <x v="0"/>
    <x v="2"/>
    <n v="323.63219837496496"/>
    <x v="0"/>
    <x v="0"/>
    <s v="Pequeña"/>
    <x v="0"/>
    <n v="742.9568686113189"/>
  </r>
  <r>
    <s v="Whiteland BliSS The Leafville"/>
    <x v="308"/>
    <n v="11500"/>
    <n v="3"/>
    <x v="1"/>
    <x v="4"/>
    <s v=" Sector 76 Gurgaon"/>
    <n v="0"/>
    <n v="0"/>
    <n v="3"/>
    <n v="2"/>
    <n v="2"/>
    <x v="1"/>
    <n v="2"/>
    <n v="0"/>
    <n v="0"/>
    <n v="0"/>
    <n v="0"/>
    <n v="940"/>
    <n v="167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95652173913E-2"/>
    <n v="19200000"/>
    <n v="0.115"/>
    <x v="3"/>
    <s v="Todo bien"/>
    <x v="0"/>
    <x v="2"/>
    <n v="727.26302758956342"/>
    <x v="1"/>
    <x v="0"/>
    <s v="Mediana"/>
    <x v="0"/>
    <n v="1669.5652173913043"/>
  </r>
  <r>
    <s v="MRG Skyline"/>
    <x v="258"/>
    <n v="13392"/>
    <n v="3"/>
    <x v="4"/>
    <x v="4"/>
    <s v=" Sector 106 Gurgaon"/>
    <n v="0"/>
    <n v="0"/>
    <n v="2"/>
    <n v="4"/>
    <n v="2"/>
    <x v="1"/>
    <n v="4"/>
    <n v="0"/>
    <n v="0"/>
    <n v="0"/>
    <n v="0"/>
    <n v="952"/>
    <n v="135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02031063321E-2"/>
    <n v="18200000"/>
    <n v="0.13392000000000001"/>
    <x v="3"/>
    <s v="Todo bien"/>
    <x v="0"/>
    <x v="2"/>
    <n v="591.9895882900222"/>
    <x v="1"/>
    <x v="0"/>
    <s v="Mediana"/>
    <x v="0"/>
    <n v="1359.0203106332137"/>
  </r>
  <r>
    <s v="Adani Aangan Arcade"/>
    <x v="1"/>
    <n v="7763"/>
    <n v="2"/>
    <x v="1"/>
    <x v="0"/>
    <s v=" Sector 89 A Gurgaon"/>
    <n v="0"/>
    <n v="0"/>
    <n v="2"/>
    <n v="4"/>
    <n v="1"/>
    <x v="0"/>
    <n v="12"/>
    <n v="0"/>
    <n v="0"/>
    <n v="0"/>
    <n v="0"/>
    <n v="644"/>
    <n v="672"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2"/>
    <n v="6.4408089656059998E-3"/>
    <n v="5000000"/>
    <n v="7.7630000000000005E-2"/>
    <x v="1"/>
    <s v="Todo bien"/>
    <x v="1"/>
    <x v="1"/>
    <n v="280.56180014169433"/>
    <x v="0"/>
    <x v="0"/>
    <s v="Pequeña"/>
    <x v="0"/>
    <n v="644.08089656060793"/>
  </r>
  <r>
    <s v="Adani Aangan Galleria"/>
    <x v="36"/>
    <n v="5000"/>
    <n v="1"/>
    <x v="1"/>
    <x v="2"/>
    <s v=" Sector 89 A Gurgaon"/>
    <n v="0"/>
    <n v="0"/>
    <n v="1"/>
    <n v="6"/>
    <n v="1"/>
    <x v="3"/>
    <n v="10"/>
    <n v="0"/>
    <n v="0"/>
    <n v="0"/>
    <n v="0"/>
    <n v="410"/>
    <n v="430"/>
    <n v="5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2500000"/>
    <n v="0.05"/>
    <x v="0"/>
    <s v="Todo bien"/>
    <x v="0"/>
    <x v="3"/>
    <n v="217.80012545000002"/>
    <x v="0"/>
    <x v="1"/>
    <s v="Pequeña"/>
    <x v="0"/>
    <n v="500"/>
  </r>
  <r>
    <s v="Sare Green Parc "/>
    <x v="146"/>
    <n v="5246"/>
    <n v="4"/>
    <x v="1"/>
    <x v="3"/>
    <s v=" Sector 92 Gurgaon"/>
    <n v="0"/>
    <n v="0"/>
    <n v="3"/>
    <n v="10"/>
    <n v="3"/>
    <x v="2"/>
    <n v="16"/>
    <n v="1"/>
    <n v="1"/>
    <n v="0"/>
    <n v="0"/>
    <n v="2039.6492565764393"/>
    <n v="2040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6492565764299E-2"/>
    <n v="10700000"/>
    <n v="5.246E-2"/>
    <x v="2"/>
    <s v="Todo bien"/>
    <x v="0"/>
    <x v="4"/>
    <n v="888.47172791269134"/>
    <x v="1"/>
    <x v="2"/>
    <s v="Grande"/>
    <x v="0"/>
    <n v="2039.6492565764393"/>
  </r>
  <r>
    <s v="Shree Vardhman Flora"/>
    <x v="42"/>
    <n v="5925"/>
    <n v="2"/>
    <x v="1"/>
    <x v="4"/>
    <s v=" Sector 90 Gurgaon"/>
    <n v="0"/>
    <n v="0"/>
    <n v="3"/>
    <n v="0"/>
    <n v="2"/>
    <x v="0"/>
    <n v="1"/>
    <n v="0"/>
    <n v="0"/>
    <n v="0"/>
    <n v="0"/>
    <n v="1350.210970464135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1097046413E-2"/>
    <n v="8000000"/>
    <n v="5.9249999999999997E-2"/>
    <x v="1"/>
    <s v="Todo bien"/>
    <x v="0"/>
    <x v="2"/>
    <n v="588.1522375021076"/>
    <x v="1"/>
    <x v="2"/>
    <s v="Mediana"/>
    <x v="0"/>
    <n v="1350.210970464135"/>
  </r>
  <r>
    <s v="Spectrum Centre"/>
    <x v="216"/>
    <n v="9538"/>
    <n v="1"/>
    <x v="1"/>
    <x v="4"/>
    <s v=" Sector 82A Gurgaon"/>
    <n v="0"/>
    <n v="0"/>
    <n v="1"/>
    <n v="6"/>
    <n v="0"/>
    <x v="3"/>
    <n v="6"/>
    <n v="0"/>
    <n v="0"/>
    <n v="0"/>
    <n v="0"/>
    <n v="650.03145313482901"/>
    <n v="6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3145313481999E-3"/>
    <n v="6200000"/>
    <n v="9.5380000000000006E-2"/>
    <x v="1"/>
    <s v="Todo bien"/>
    <x v="0"/>
    <x v="2"/>
    <n v="283.15386407841919"/>
    <x v="0"/>
    <x v="0"/>
    <s v="Pequeña"/>
    <x v="0"/>
    <n v="650.03145313482901"/>
  </r>
  <r>
    <s v="Godrej Nature Plus"/>
    <x v="43"/>
    <n v="9025"/>
    <n v="2"/>
    <x v="1"/>
    <x v="4"/>
    <s v=" Sector-33 Sohna"/>
    <n v="0"/>
    <n v="0"/>
    <n v="2"/>
    <n v="17"/>
    <n v="3"/>
    <x v="0"/>
    <n v="17"/>
    <n v="0"/>
    <n v="0"/>
    <n v="0"/>
    <n v="0"/>
    <n v="1000"/>
    <n v="138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x v="2"/>
    <s v="Todo bien"/>
    <x v="0"/>
    <x v="2"/>
    <n v="603.32444722991374"/>
    <x v="1"/>
    <x v="0"/>
    <s v="Mediana"/>
    <x v="0"/>
    <n v="1385.0415512465374"/>
  </r>
  <r>
    <s v="Smart World Gems"/>
    <x v="83"/>
    <n v="7978"/>
    <n v="2"/>
    <x v="1"/>
    <x v="4"/>
    <s v=" Sector 89 Gurgaon"/>
    <n v="0"/>
    <n v="0"/>
    <n v="2"/>
    <n v="2"/>
    <n v="0"/>
    <x v="0"/>
    <n v="2"/>
    <n v="0"/>
    <n v="0"/>
    <n v="0"/>
    <n v="0"/>
    <n v="1103.0333416896465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33416896399E-2"/>
    <n v="8800000"/>
    <n v="7.9780000000000004E-2"/>
    <x v="1"/>
    <s v="Todo bien"/>
    <x v="0"/>
    <x v="2"/>
    <n v="480.48160039107262"/>
    <x v="0"/>
    <x v="0"/>
    <s v="Mediana"/>
    <x v="0"/>
    <n v="1103.0333416896465"/>
  </r>
  <r>
    <s v="Vatika India Next"/>
    <x v="42"/>
    <n v="6426"/>
    <n v="2"/>
    <x v="1"/>
    <x v="4"/>
    <s v=" Sector 82 Gurgaon"/>
    <n v="0"/>
    <n v="0"/>
    <n v="2"/>
    <n v="9"/>
    <n v="3"/>
    <x v="0"/>
    <n v="9"/>
    <n v="0"/>
    <n v="0"/>
    <n v="0"/>
    <n v="0"/>
    <n v="1245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9424214130001E-2"/>
    <n v="8000000"/>
    <n v="6.4259999999999998E-2"/>
    <x v="1"/>
    <s v="Todo bien"/>
    <x v="0"/>
    <x v="2"/>
    <n v="542.29723112355646"/>
    <x v="1"/>
    <x v="2"/>
    <s v="Pequeña"/>
    <x v="0"/>
    <n v="1244.9424214130097"/>
  </r>
  <r>
    <s v="Godrej Nature Plus"/>
    <x v="8"/>
    <n v="7971"/>
    <n v="2"/>
    <x v="5"/>
    <x v="4"/>
    <s v=" Sector-33 Sohna"/>
    <n v="0"/>
    <n v="0"/>
    <n v="2"/>
    <n v="14"/>
    <n v="2"/>
    <x v="0"/>
    <n v="14"/>
    <n v="0"/>
    <n v="0"/>
    <n v="0"/>
    <n v="0"/>
    <n v="138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025090954701E-2"/>
    <n v="11000000"/>
    <n v="7.9710000000000003E-2"/>
    <x v="2"/>
    <s v="Todo bien"/>
    <x v="0"/>
    <x v="2"/>
    <n v="601.12943920461635"/>
    <x v="1"/>
    <x v="2"/>
    <s v="Pequeña"/>
    <x v="0"/>
    <n v="1380.0025090954709"/>
  </r>
  <r>
    <s v="Sare Green Parc"/>
    <x v="28"/>
    <n v="6741"/>
    <n v="3"/>
    <x v="1"/>
    <x v="4"/>
    <s v=" Sector 92 Gurgaon"/>
    <n v="0"/>
    <n v="0"/>
    <n v="2"/>
    <n v="14"/>
    <n v="2"/>
    <x v="1"/>
    <n v="14"/>
    <n v="0"/>
    <n v="0"/>
    <n v="0"/>
    <n v="0"/>
    <n v="1260.9405132769618"/>
    <n v="1261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94051327696E-2"/>
    <n v="8500000"/>
    <n v="6.7409999999999998E-2"/>
    <x v="1"/>
    <s v="Todo bien"/>
    <x v="0"/>
    <x v="2"/>
    <n v="549.26600395341859"/>
    <x v="1"/>
    <x v="2"/>
    <s v="Mediana"/>
    <x v="0"/>
    <n v="1260.9405132769618"/>
  </r>
  <r>
    <s v="Residency Grand"/>
    <x v="227"/>
    <n v="7692"/>
    <n v="5"/>
    <x v="4"/>
    <x v="5"/>
    <s v=" Sector 52 Gurgaon"/>
    <n v="0"/>
    <n v="0"/>
    <n v="7"/>
    <n v="1"/>
    <n v="3"/>
    <x v="4"/>
    <n v="12"/>
    <n v="1"/>
    <n v="0"/>
    <n v="1"/>
    <n v="0"/>
    <n v="5200"/>
    <m/>
    <m/>
    <n v="0"/>
    <n v="1"/>
    <n v="1"/>
    <n v="0"/>
    <n v="0"/>
    <n v="0"/>
    <n v="1"/>
    <n v="0"/>
    <n v="0"/>
    <n v="0"/>
    <n v="0"/>
    <n v="0"/>
    <n v="0"/>
    <n v="0"/>
    <n v="1"/>
    <n v="0"/>
    <n v="0"/>
    <n v="16"/>
    <x v="0"/>
    <x v="0"/>
    <x v="0"/>
    <x v="0"/>
    <x v="0"/>
    <x v="1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105E-2"/>
    <n v="50000000"/>
    <n v="7.6920000000000002E-2"/>
    <x v="4"/>
    <s v="Todo bien"/>
    <x v="0"/>
    <x v="0"/>
    <n v="2831.5148914456554"/>
    <x v="2"/>
    <x v="3"/>
    <s v="Pequeña"/>
    <x v="0"/>
    <n v="6500.2600104004159"/>
  </r>
  <r>
    <s v="Godrej Oasis"/>
    <x v="59"/>
    <n v="8082"/>
    <n v="3"/>
    <x v="1"/>
    <x v="0"/>
    <s v=" Sector 88A Gurgaon"/>
    <n v="0"/>
    <n v="0"/>
    <n v="3"/>
    <n v="12"/>
    <n v="3"/>
    <x v="1"/>
    <n v="15"/>
    <n v="0"/>
    <n v="0"/>
    <n v="0"/>
    <n v="0"/>
    <n v="179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7941103687206101E-2"/>
    <n v="14500000"/>
    <n v="8.0820000000000003E-2"/>
    <x v="2"/>
    <s v="Todo bien"/>
    <x v="1"/>
    <x v="1"/>
    <n v="781.51492675698933"/>
    <x v="1"/>
    <x v="2"/>
    <s v="Pequeña"/>
    <x v="0"/>
    <n v="1794.1103687206137"/>
  </r>
  <r>
    <s v="Godrej Air"/>
    <x v="51"/>
    <n v="1379"/>
    <n v="4"/>
    <x v="2"/>
    <x v="3"/>
    <s v=" Sector 85 Gurgaon"/>
    <n v="0"/>
    <n v="0"/>
    <n v="5"/>
    <n v="16"/>
    <n v="3"/>
    <x v="2"/>
    <n v="24"/>
    <n v="0"/>
    <n v="1"/>
    <n v="1"/>
    <n v="0"/>
    <n v="1812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4"/>
    <n v="1"/>
    <n v="4"/>
    <n v="1"/>
    <n v="0"/>
    <n v="0"/>
    <n v="0"/>
    <n v="1"/>
    <n v="0"/>
    <n v="0"/>
    <n v="1"/>
    <n v="0"/>
    <n v="0"/>
    <n v="1"/>
    <n v="0"/>
    <n v="0"/>
    <n v="0"/>
    <n v="0"/>
    <n v="0"/>
    <n v="0"/>
    <n v="0"/>
    <n v="0"/>
    <n v="2"/>
    <n v="0.18129079042784621"/>
    <n v="25000000"/>
    <n v="1.379E-2"/>
    <x v="3"/>
    <s v="Todo bien"/>
    <x v="1"/>
    <x v="1"/>
    <n v="7897.0313796229129"/>
    <x v="2"/>
    <x v="3"/>
    <s v="Pequeña"/>
    <x v="0"/>
    <n v="18129.079042784626"/>
  </r>
  <r>
    <s v="Smart World Gems"/>
    <x v="43"/>
    <n v="8784"/>
    <n v="3"/>
    <x v="5"/>
    <x v="3"/>
    <s v=" Sector 89 Gurgaon"/>
    <n v="0"/>
    <n v="0"/>
    <n v="3"/>
    <n v="2"/>
    <n v="3"/>
    <x v="1"/>
    <n v="4"/>
    <n v="0"/>
    <n v="0"/>
    <n v="1"/>
    <n v="0"/>
    <n v="1423.0418943533698"/>
    <m/>
    <n v="1423"/>
    <n v="0"/>
    <n v="0"/>
    <n v="0"/>
    <n v="0"/>
    <n v="0"/>
    <n v="0"/>
    <n v="0"/>
    <n v="1"/>
    <n v="0"/>
    <n v="0"/>
    <n v="0"/>
    <n v="1"/>
    <n v="1"/>
    <n v="1"/>
    <n v="0"/>
    <n v="0"/>
    <n v="0"/>
    <n v="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Pequeña"/>
    <x v="1"/>
    <n v="1423.0418943533698"/>
  </r>
  <r>
    <s v="SS Residency"/>
    <x v="314"/>
    <n v="5333"/>
    <n v="3"/>
    <x v="1"/>
    <x v="5"/>
    <s v=" Dayanand Colony"/>
    <n v="0"/>
    <n v="0"/>
    <n v="2"/>
    <n v="2"/>
    <n v="2"/>
    <x v="1"/>
    <n v="3"/>
    <n v="0"/>
    <n v="0"/>
    <n v="0"/>
    <n v="0"/>
    <n v="100"/>
    <m/>
    <m/>
    <n v="0"/>
    <n v="0"/>
    <n v="0"/>
    <n v="0"/>
    <n v="0"/>
    <n v="0"/>
    <n v="1"/>
    <n v="0"/>
    <n v="0"/>
    <n v="0"/>
    <n v="1"/>
    <n v="0"/>
    <n v="0"/>
    <n v="0"/>
    <n v="1"/>
    <n v="0"/>
    <n v="0"/>
    <n v="6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5625351584004E-3"/>
    <n v="4800000"/>
    <n v="5.3330000000000002E-2"/>
    <x v="0"/>
    <s v="Todo bien"/>
    <x v="0"/>
    <x v="2"/>
    <n v="392.06472985561396"/>
    <x v="0"/>
    <x v="1"/>
    <s v="Pequeña"/>
    <x v="0"/>
    <n v="900.05625351584467"/>
  </r>
  <r>
    <s v="Ireo The Corridors"/>
    <x v="6"/>
    <n v="11428"/>
    <n v="3"/>
    <x v="1"/>
    <x v="2"/>
    <s v=" Sector 67A Gurgaon"/>
    <n v="0"/>
    <n v="0"/>
    <n v="3"/>
    <n v="12"/>
    <n v="3"/>
    <x v="1"/>
    <n v="19"/>
    <n v="0"/>
    <n v="1"/>
    <n v="0"/>
    <n v="0"/>
    <n v="1750.0875043752187"/>
    <m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20000000"/>
    <n v="0.11428000000000001"/>
    <x v="3"/>
    <s v="Todo bien"/>
    <x v="0"/>
    <x v="0"/>
    <n v="762.33855600279639"/>
    <x v="1"/>
    <x v="2"/>
    <s v="Pequeña"/>
    <x v="1"/>
    <n v="1750.0875043752187"/>
  </r>
  <r>
    <s v="Imperia Elvedor"/>
    <x v="52"/>
    <n v="8221"/>
    <n v="1"/>
    <x v="1"/>
    <x v="4"/>
    <s v=" Sector 37C Gurgaon"/>
    <n v="0"/>
    <n v="0"/>
    <n v="1"/>
    <n v="5"/>
    <n v="0"/>
    <x v="3"/>
    <n v="5"/>
    <n v="0"/>
    <n v="0"/>
    <n v="0"/>
    <n v="0"/>
    <n v="669.01836759518301"/>
    <n v="66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6901836759518003E-3"/>
    <n v="5500000"/>
    <n v="8.2210000000000005E-2"/>
    <x v="1"/>
    <s v="Todo bien"/>
    <x v="0"/>
    <x v="2"/>
    <n v="291.42456878116889"/>
    <x v="0"/>
    <x v="0"/>
    <s v="Pequeña"/>
    <x v="0"/>
    <n v="669.01836759518301"/>
  </r>
  <r>
    <s v="HCBS Sports Ville"/>
    <x v="75"/>
    <n v="5517"/>
    <n v="2"/>
    <x v="1"/>
    <x v="2"/>
    <s v=" Sohna"/>
    <n v="0"/>
    <n v="0"/>
    <n v="2"/>
    <n v="7"/>
    <n v="1"/>
    <x v="0"/>
    <n v="13"/>
    <n v="0"/>
    <n v="0"/>
    <n v="0"/>
    <n v="0"/>
    <n v="580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253761102E-3"/>
    <n v="3200000"/>
    <n v="5.5169999999999997E-2"/>
    <x v="0"/>
    <s v="Todo bien"/>
    <x v="0"/>
    <x v="1"/>
    <n v="252.65919936197"/>
    <x v="0"/>
    <x v="1"/>
    <s v="Pequeña"/>
    <x v="0"/>
    <n v="580.02537611020489"/>
  </r>
  <r>
    <s v="Ansal Heights "/>
    <x v="30"/>
    <n v="6029"/>
    <n v="2"/>
    <x v="1"/>
    <x v="2"/>
    <s v=" Sector 86 Gurgaon"/>
    <n v="0"/>
    <n v="0"/>
    <n v="2"/>
    <n v="12"/>
    <n v="1"/>
    <x v="0"/>
    <n v="14"/>
    <n v="0"/>
    <n v="0"/>
    <n v="0"/>
    <n v="0"/>
    <n v="1000"/>
    <n v="1300"/>
    <n v="13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928843921001E-2"/>
    <n v="8200000"/>
    <n v="6.0290000000000003E-2"/>
    <x v="1"/>
    <s v="Todo bien"/>
    <x v="0"/>
    <x v="1"/>
    <n v="592.45680168850356"/>
    <x v="1"/>
    <x v="0"/>
    <s v="Mediana"/>
    <x v="1"/>
    <n v="1360.0928843921047"/>
  </r>
  <r>
    <s v="Zara Aavaas"/>
    <x v="2"/>
    <n v="7029"/>
    <n v="2"/>
    <x v="1"/>
    <x v="0"/>
    <s v=" Sector 104 Gurgaon"/>
    <n v="0"/>
    <n v="0"/>
    <n v="2"/>
    <n v="14"/>
    <n v="1"/>
    <x v="0"/>
    <n v="14"/>
    <n v="0"/>
    <n v="0"/>
    <n v="0"/>
    <n v="0"/>
    <n v="569.07099160620282"/>
    <m/>
    <n v="569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907099160620001E-3"/>
    <n v="4000000"/>
    <n v="7.0290000000000005E-2"/>
    <x v="0"/>
    <s v="Todo bien"/>
    <x v="0"/>
    <x v="1"/>
    <n v="247.88746672357254"/>
    <x v="0"/>
    <x v="1"/>
    <s v="Pequeña"/>
    <x v="0"/>
    <n v="569.07099160620282"/>
  </r>
  <r>
    <s v="Godrej Nature Plus"/>
    <x v="81"/>
    <n v="11558"/>
    <n v="2"/>
    <x v="1"/>
    <x v="3"/>
    <s v=" Sector-33 Sohna"/>
    <n v="0"/>
    <n v="0"/>
    <n v="2"/>
    <n v="15"/>
    <n v="2"/>
    <x v="0"/>
    <n v="22"/>
    <n v="0"/>
    <n v="0"/>
    <n v="0"/>
    <n v="0"/>
    <n v="92.44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498183076656005E-3"/>
    <n v="11500000"/>
    <n v="0.11558"/>
    <x v="2"/>
    <s v="Todo bien"/>
    <x v="0"/>
    <x v="1"/>
    <n v="433.41433512285494"/>
    <x v="0"/>
    <x v="1"/>
    <s v="Pequeña"/>
    <x v="0"/>
    <n v="994.98183076656858"/>
  </r>
  <r>
    <s v="HCBS Sports Ville"/>
    <x v="290"/>
    <n v="4"/>
    <n v="2"/>
    <x v="1"/>
    <x v="0"/>
    <s v=" Sohna"/>
    <n v="0"/>
    <n v="0"/>
    <n v="2"/>
    <n v="8"/>
    <n v="2"/>
    <x v="0"/>
    <n v="13"/>
    <n v="0"/>
    <n v="0"/>
    <n v="0"/>
    <n v="0"/>
    <n v="874999.99999999988"/>
    <n v="737147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8.75"/>
    <n v="3500000"/>
    <n v="4.0000000000000003E-5"/>
    <x v="0"/>
    <s v="Todo bien"/>
    <x v="2"/>
    <x v="1"/>
    <n v="381150.2195375"/>
    <x v="2"/>
    <x v="3"/>
    <s v="Muy grande"/>
    <x v="0"/>
    <n v="874999.99999999988"/>
  </r>
  <r>
    <s v="Antriksh Heights"/>
    <x v="420"/>
    <n v="7000"/>
    <n v="3"/>
    <x v="1"/>
    <x v="2"/>
    <s v=" Sector 84 Gurgaon"/>
    <n v="0"/>
    <n v="0"/>
    <n v="2"/>
    <n v="10"/>
    <n v="3"/>
    <x v="1"/>
    <n v="19"/>
    <n v="0"/>
    <n v="1"/>
    <n v="0"/>
    <n v="0"/>
    <n v="1349.9999999999998"/>
    <m/>
    <n v="1350"/>
    <n v="0"/>
    <n v="1"/>
    <n v="0"/>
    <n v="0"/>
    <n v="0"/>
    <n v="0"/>
    <n v="1"/>
    <n v="1"/>
    <n v="1"/>
    <n v="1"/>
    <n v="1"/>
    <n v="1"/>
    <n v="1"/>
    <n v="1"/>
    <n v="1"/>
    <n v="1"/>
    <n v="1"/>
    <n v="35"/>
    <x v="1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E-2"/>
    <n v="9450000"/>
    <n v="7.0000000000000007E-2"/>
    <x v="1"/>
    <s v="Todo bien"/>
    <x v="0"/>
    <x v="3"/>
    <n v="588.06033871500006"/>
    <x v="1"/>
    <x v="2"/>
    <s v="Pequeña"/>
    <x v="1"/>
    <n v="1349.9999999999998"/>
  </r>
  <r>
    <s v="Residency Grand"/>
    <x v="227"/>
    <n v="9615"/>
    <n v="5"/>
    <x v="4"/>
    <x v="4"/>
    <s v=" Sector 52 Gurgaon"/>
    <n v="0"/>
    <n v="0"/>
    <n v="5"/>
    <n v="2"/>
    <n v="3"/>
    <x v="4"/>
    <n v="12"/>
    <n v="0"/>
    <n v="0"/>
    <n v="0"/>
    <n v="0"/>
    <n v="5200.2080083203327"/>
    <n v="52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3298E-2"/>
    <n v="50000000"/>
    <n v="9.6149999999999999E-2"/>
    <x v="4"/>
    <s v="Todo bien"/>
    <x v="0"/>
    <x v="2"/>
    <n v="2265.211913156525"/>
    <x v="3"/>
    <x v="3"/>
    <s v="Muy grande"/>
    <x v="0"/>
    <n v="5200.2080083203327"/>
  </r>
  <r>
    <s v="Sare Green Parc"/>
    <x v="29"/>
    <n v="4820"/>
    <n v="3"/>
    <x v="1"/>
    <x v="4"/>
    <s v=" Sector 92 Gurgaon"/>
    <n v="0"/>
    <n v="0"/>
    <n v="2"/>
    <n v="16"/>
    <n v="2"/>
    <x v="1"/>
    <n v="16"/>
    <n v="0"/>
    <n v="0"/>
    <n v="0"/>
    <n v="0"/>
    <n v="1261"/>
    <n v="1556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601659751037E-2"/>
    <n v="7500000"/>
    <n v="4.82E-2"/>
    <x v="1"/>
    <s v="Todo bien"/>
    <x v="0"/>
    <x v="2"/>
    <n v="677.80122028008157"/>
    <x v="1"/>
    <x v="2"/>
    <s v="Mediana"/>
    <x v="0"/>
    <n v="1556.0165975103735"/>
  </r>
  <r>
    <s v="SS The Leaf"/>
    <x v="35"/>
    <n v="7926"/>
    <n v="2"/>
    <x v="1"/>
    <x v="2"/>
    <s v=" Sector 85 Gurgaon"/>
    <n v="0"/>
    <n v="0"/>
    <n v="2"/>
    <n v="17"/>
    <n v="2"/>
    <x v="0"/>
    <n v="26"/>
    <n v="0"/>
    <n v="0"/>
    <n v="0"/>
    <n v="0"/>
    <n v="1640.1715871814283"/>
    <m/>
    <n v="1640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715871814201E-2"/>
    <n v="13000000"/>
    <n v="7.9259999999999997E-2"/>
    <x v="2"/>
    <s v="Todo bien"/>
    <x v="0"/>
    <x v="4"/>
    <n v="714.45915489527783"/>
    <x v="1"/>
    <x v="2"/>
    <s v="Pequeña"/>
    <x v="1"/>
    <n v="1640.1715871814283"/>
  </r>
  <r>
    <s v="SS Almeria"/>
    <x v="78"/>
    <n v="7500"/>
    <n v="3"/>
    <x v="1"/>
    <x v="2"/>
    <s v=" Sector 84 Gurgaon"/>
    <n v="0"/>
    <n v="0"/>
    <n v="3"/>
    <n v="2"/>
    <n v="3"/>
    <x v="1"/>
    <n v="3"/>
    <n v="1"/>
    <n v="0"/>
    <n v="0"/>
    <n v="0"/>
    <n v="1700"/>
    <m/>
    <n v="2000"/>
    <n v="1"/>
    <n v="0"/>
    <n v="1"/>
    <n v="1"/>
    <n v="0"/>
    <n v="0"/>
    <n v="0"/>
    <n v="1"/>
    <n v="1"/>
    <n v="1"/>
    <n v="1"/>
    <n v="1"/>
    <n v="0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000000"/>
    <n v="7.4999999999999997E-2"/>
    <x v="2"/>
    <s v="Todo bien"/>
    <x v="0"/>
    <x v="4"/>
    <n v="871.2005018000001"/>
    <x v="1"/>
    <x v="2"/>
    <s v="Pequeña"/>
    <x v="1"/>
    <n v="2000"/>
  </r>
  <r>
    <s v="Sare Petioles"/>
    <x v="43"/>
    <n v="6097"/>
    <n v="3"/>
    <x v="1"/>
    <x v="3"/>
    <s v=" Sector 92 Gurgaon"/>
    <n v="0"/>
    <n v="0"/>
    <n v="3"/>
    <n v="18"/>
    <n v="3"/>
    <x v="1"/>
    <n v="20"/>
    <n v="1"/>
    <n v="0"/>
    <n v="0"/>
    <n v="0"/>
    <n v="20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1886173527901E-2"/>
    <n v="12500000"/>
    <n v="6.0970000000000003E-2"/>
    <x v="2"/>
    <s v="Todo bien"/>
    <x v="0"/>
    <x v="1"/>
    <n v="893.06267611119949"/>
    <x v="1"/>
    <x v="2"/>
    <s v="Pequeña"/>
    <x v="0"/>
    <n v="2050.1886173527964"/>
  </r>
  <r>
    <s v="Signature Global Park"/>
    <x v="53"/>
    <n v="7907"/>
    <n v="2"/>
    <x v="1"/>
    <x v="2"/>
    <s v=" Sohna"/>
    <n v="0"/>
    <n v="0"/>
    <n v="1"/>
    <n v="3"/>
    <n v="2"/>
    <x v="0"/>
    <n v="4"/>
    <n v="0"/>
    <n v="0"/>
    <n v="0"/>
    <n v="0"/>
    <n v="822"/>
    <m/>
    <m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5640571645002E-3"/>
    <n v="6500000"/>
    <n v="7.9070000000000001E-2"/>
    <x v="1"/>
    <s v="Todo bien"/>
    <x v="0"/>
    <x v="5"/>
    <n v="358.08797658403785"/>
    <x v="0"/>
    <x v="0"/>
    <s v="Pequeña"/>
    <x v="0"/>
    <n v="822.05640571645381"/>
  </r>
  <r>
    <s v="Maxworth City Residences"/>
    <x v="15"/>
    <n v="7083"/>
    <n v="2"/>
    <x v="4"/>
    <x v="2"/>
    <s v=" Sector 10A Gurgaon"/>
    <n v="0"/>
    <n v="0"/>
    <n v="2"/>
    <n v="9"/>
    <n v="3"/>
    <x v="0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x v="1"/>
    <s v="Todo bien"/>
    <x v="0"/>
    <x v="3"/>
    <n v="553.49460088945239"/>
    <x v="1"/>
    <x v="2"/>
    <s v="Pequeña"/>
    <x v="1"/>
    <n v="1270.6480304955526"/>
  </r>
  <r>
    <s v="Vatika XpreSS The Leafions"/>
    <x v="119"/>
    <n v="6815"/>
    <n v="2"/>
    <x v="1"/>
    <x v="2"/>
    <s v=" Sector 88B Gurgaon"/>
    <n v="0"/>
    <n v="0"/>
    <n v="2"/>
    <n v="3"/>
    <n v="3"/>
    <x v="0"/>
    <n v="3"/>
    <n v="0"/>
    <n v="0"/>
    <n v="0"/>
    <n v="0"/>
    <n v="1120"/>
    <n v="135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6331621423E-2"/>
    <n v="9200000"/>
    <n v="6.8150000000000002E-2"/>
    <x v="1"/>
    <s v="Todo bien"/>
    <x v="0"/>
    <x v="0"/>
    <n v="588.04435924871461"/>
    <x v="1"/>
    <x v="0"/>
    <s v="Mediana"/>
    <x v="0"/>
    <n v="1349.9633162142334"/>
  </r>
  <r>
    <s v="Sare Petioles"/>
    <x v="35"/>
    <n v="6373"/>
    <n v="4"/>
    <x v="1"/>
    <x v="4"/>
    <s v=" Sector 92 Gurgaon"/>
    <n v="0"/>
    <n v="0"/>
    <n v="4"/>
    <n v="7"/>
    <n v="0"/>
    <x v="2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x v="2"/>
    <s v="Todo bien"/>
    <x v="0"/>
    <x v="2"/>
    <n v="888.56162901302059"/>
    <x v="1"/>
    <x v="2"/>
    <s v="Grande"/>
    <x v="0"/>
    <n v="2039.8556409854073"/>
  </r>
  <r>
    <s v="Dhoot Time Residency"/>
    <x v="101"/>
    <n v="18271"/>
    <n v="3"/>
    <x v="1"/>
    <x v="0"/>
    <s v=" Sector 63 Gurgaon"/>
    <n v="0"/>
    <n v="0"/>
    <n v="3"/>
    <n v="14"/>
    <n v="3"/>
    <x v="1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x v="5"/>
    <s v="Todo bien"/>
    <x v="1"/>
    <x v="2"/>
    <n v="715.23220004378322"/>
    <x v="1"/>
    <x v="2"/>
    <s v="Mediana"/>
    <x v="0"/>
    <n v="1641.9462536259646"/>
  </r>
  <r>
    <s v="Signature Global Park"/>
    <x v="331"/>
    <n v="8252"/>
    <n v="2"/>
    <x v="1"/>
    <x v="2"/>
    <s v=" Sohna"/>
    <n v="0"/>
    <n v="0"/>
    <n v="2"/>
    <n v="3"/>
    <n v="2"/>
    <x v="0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x v="1"/>
    <s v="Todo bien"/>
    <x v="0"/>
    <x v="4"/>
    <n v="358.9531878477905"/>
    <x v="0"/>
    <x v="0"/>
    <s v="Pequeña"/>
    <x v="0"/>
    <n v="824.04265632573924"/>
  </r>
  <r>
    <s v="Samaspurkunj"/>
    <x v="52"/>
    <n v="5238"/>
    <n v="2"/>
    <x v="1"/>
    <x v="0"/>
    <s v=" Samaspur"/>
    <n v="0"/>
    <n v="0"/>
    <n v="2"/>
    <n v="5"/>
    <n v="0"/>
    <x v="0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x v="1"/>
    <s v="Todo bien"/>
    <x v="1"/>
    <x v="0"/>
    <n v="457.38857960099074"/>
    <x v="0"/>
    <x v="0"/>
    <s v="Pequeña"/>
    <x v="0"/>
    <n v="1050.0190912562045"/>
  </r>
  <r>
    <s v="MM Soulitude"/>
    <x v="207"/>
    <n v="16985"/>
    <n v="3"/>
    <x v="7"/>
    <x v="3"/>
    <s v=" Sector 89 Gurgaon"/>
    <n v="0"/>
    <n v="0"/>
    <n v="3"/>
    <n v="4"/>
    <n v="3"/>
    <x v="1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x v="2"/>
    <s v="Todo bien"/>
    <x v="0"/>
    <x v="5"/>
    <n v="341.09410285369415"/>
    <x v="0"/>
    <x v="0"/>
    <s v="Mediana"/>
    <x v="0"/>
    <n v="783.04386223138067"/>
  </r>
  <r>
    <s v="MM Woodshire"/>
    <x v="42"/>
    <n v="5856"/>
    <n v="2"/>
    <x v="1"/>
    <x v="2"/>
    <s v=" Sector 107 Gurgaon"/>
    <n v="0"/>
    <n v="0"/>
    <n v="2"/>
    <n v="14"/>
    <n v="3"/>
    <x v="0"/>
    <n v="14"/>
    <n v="0"/>
    <n v="0"/>
    <n v="0"/>
    <n v="0"/>
    <n v="1366.1202185792349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8000000"/>
    <n v="5.8560000000000001E-2"/>
    <x v="1"/>
    <s v="Todo bien"/>
    <x v="0"/>
    <x v="3"/>
    <n v="595.08230997267549"/>
    <x v="1"/>
    <x v="2"/>
    <s v="Pequeña"/>
    <x v="1"/>
    <n v="1366.1202185792349"/>
  </r>
  <r>
    <s v="Tulip Petals"/>
    <x v="46"/>
    <n v="10000"/>
    <n v="3"/>
    <x v="4"/>
    <x v="5"/>
    <s v=" Sector 89 Gurgaon"/>
    <n v="0"/>
    <n v="0"/>
    <n v="2"/>
    <n v="6"/>
    <n v="3"/>
    <x v="1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x v="3"/>
    <s v="Todo bien"/>
    <x v="1"/>
    <x v="4"/>
    <n v="675.18038889500008"/>
    <x v="1"/>
    <x v="2"/>
    <s v="Pequeña"/>
    <x v="1"/>
    <n v="1550"/>
  </r>
  <r>
    <s v="Conscient Habitat"/>
    <x v="290"/>
    <n v="6422"/>
    <n v="2"/>
    <x v="2"/>
    <x v="0"/>
    <s v=" Sector 99A Gurgaon"/>
    <n v="0"/>
    <n v="0"/>
    <n v="2"/>
    <n v="3"/>
    <n v="1"/>
    <x v="0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x v="0"/>
    <s v="Todo bien"/>
    <x v="0"/>
    <x v="1"/>
    <n v="237.40281503425459"/>
    <x v="0"/>
    <x v="1"/>
    <s v="Pequeña"/>
    <x v="0"/>
    <n v="545.00155714730613"/>
  </r>
  <r>
    <s v="Unitech Fresco"/>
    <x v="20"/>
    <n v="11131"/>
    <n v="3"/>
    <x v="1"/>
    <x v="4"/>
    <s v=" Nirvana country Pocket H"/>
    <n v="0"/>
    <n v="0"/>
    <n v="3"/>
    <n v="0"/>
    <n v="3"/>
    <x v="1"/>
    <n v="19"/>
    <n v="0"/>
    <n v="0"/>
    <n v="0"/>
    <n v="0"/>
    <n v="1662.0249752942232"/>
    <n v="166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20249752942198E-2"/>
    <n v="18500000"/>
    <n v="0.11131000000000001"/>
    <x v="3"/>
    <s v="Todo bien"/>
    <x v="0"/>
    <x v="2"/>
    <n v="723.97849624022854"/>
    <x v="1"/>
    <x v="2"/>
    <s v="Mediana"/>
    <x v="0"/>
    <n v="1662.0249752942232"/>
  </r>
  <r>
    <s v="Sare Crescent Parc"/>
    <x v="214"/>
    <n v="4909"/>
    <n v="2"/>
    <x v="1"/>
    <x v="0"/>
    <s v=" Sector 92 Gurgaon"/>
    <n v="0"/>
    <n v="0"/>
    <n v="2"/>
    <n v="2"/>
    <n v="2"/>
    <x v="0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x v="0"/>
    <s v="Todo bien"/>
    <x v="0"/>
    <x v="3"/>
    <n v="434.80163565084513"/>
    <x v="0"/>
    <x v="0"/>
    <s v="Pequeña"/>
    <x v="0"/>
    <n v="998.16663271542063"/>
  </r>
  <r>
    <s v="eSS The Leafel tower"/>
    <x v="20"/>
    <n v="11859"/>
    <n v="3"/>
    <x v="1"/>
    <x v="5"/>
    <s v=" IFFCO Chowk"/>
    <n v="0"/>
    <n v="0"/>
    <n v="2"/>
    <n v="1"/>
    <n v="3"/>
    <x v="1"/>
    <n v="7"/>
    <n v="1"/>
    <n v="1"/>
    <n v="0"/>
    <n v="0"/>
    <n v="1559.99662703432"/>
    <n v="1510"/>
    <n v="156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99662703431E-2"/>
    <n v="18500000"/>
    <n v="0.11859"/>
    <x v="3"/>
    <s v="Todo bien"/>
    <x v="0"/>
    <x v="5"/>
    <n v="679.53492213929917"/>
    <x v="1"/>
    <x v="2"/>
    <s v="Mediana"/>
    <x v="1"/>
    <n v="1559.99662703432"/>
  </r>
  <r>
    <s v="ATS Tourmaline"/>
    <x v="133"/>
    <n v="8897"/>
    <n v="3"/>
    <x v="4"/>
    <x v="2"/>
    <s v=" Sector 109 Gurgaon"/>
    <n v="0"/>
    <n v="0"/>
    <n v="4"/>
    <n v="10"/>
    <n v="3"/>
    <x v="1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x v="3"/>
    <s v="Todo bien"/>
    <x v="0"/>
    <x v="3"/>
    <n v="1126.0880938181367"/>
    <x v="1"/>
    <x v="3"/>
    <s v="Pequeña"/>
    <x v="2"/>
    <n v="2585.14105878386"/>
  </r>
  <r>
    <s v="Ireo The Corridors"/>
    <x v="78"/>
    <n v="11111"/>
    <n v="2"/>
    <x v="1"/>
    <x v="0"/>
    <s v=" Sector 67A Gurgaon"/>
    <n v="0"/>
    <n v="0"/>
    <n v="2"/>
    <n v="10"/>
    <n v="2"/>
    <x v="0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x v="2"/>
    <s v="Todo bien"/>
    <x v="1"/>
    <x v="0"/>
    <n v="588.06621937719319"/>
    <x v="1"/>
    <x v="2"/>
    <s v="Pequeña"/>
    <x v="0"/>
    <n v="1350.0135001350013"/>
  </r>
  <r>
    <s v="Godrej Nature Plus"/>
    <x v="43"/>
    <n v="9025"/>
    <n v="2"/>
    <x v="1"/>
    <x v="3"/>
    <s v=" Sector-33 Sohna"/>
    <n v="0"/>
    <n v="0"/>
    <n v="2"/>
    <n v="15"/>
    <n v="3"/>
    <x v="0"/>
    <n v="22"/>
    <n v="0"/>
    <n v="0"/>
    <n v="0"/>
    <n v="0"/>
    <n v="138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x v="2"/>
    <s v="Todo bien"/>
    <x v="0"/>
    <x v="1"/>
    <n v="603.32444722991374"/>
    <x v="1"/>
    <x v="2"/>
    <s v="Pequeña"/>
    <x v="0"/>
    <n v="1385.0415512465374"/>
  </r>
  <r>
    <s v="Umang Winter Hills"/>
    <x v="50"/>
    <n v="7500"/>
    <n v="2"/>
    <x v="1"/>
    <x v="2"/>
    <s v=" Sector 77 Gurgaon"/>
    <n v="0"/>
    <n v="0"/>
    <n v="2"/>
    <n v="3"/>
    <n v="2"/>
    <x v="0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x v="1"/>
    <s v="Todo bien"/>
    <x v="0"/>
    <x v="3"/>
    <n v="580.80033453333192"/>
    <x v="1"/>
    <x v="2"/>
    <s v="Pequeña"/>
    <x v="0"/>
    <n v="1333.3333333333335"/>
  </r>
  <r>
    <s v="Vatika Seven Elements"/>
    <x v="26"/>
    <n v="8163"/>
    <n v="3"/>
    <x v="1"/>
    <x v="2"/>
    <s v=" Sector 89 A Gurgaon"/>
    <n v="0"/>
    <n v="0"/>
    <n v="3"/>
    <n v="5"/>
    <n v="3"/>
    <x v="1"/>
    <n v="12"/>
    <n v="0"/>
    <n v="0"/>
    <n v="0"/>
    <n v="0"/>
    <n v="1960.0637020703175"/>
    <m/>
    <n v="1960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6370207031E-2"/>
    <n v="16000000"/>
    <n v="8.1629999999999994E-2"/>
    <x v="3"/>
    <s v="Todo bien"/>
    <x v="0"/>
    <x v="1"/>
    <n v="853.80424040180992"/>
    <x v="1"/>
    <x v="2"/>
    <s v="Pequeña"/>
    <x v="1"/>
    <n v="1960.0637020703175"/>
  </r>
  <r>
    <s v="Siddhartha Apartment"/>
    <x v="8"/>
    <n v="4327"/>
    <n v="4"/>
    <x v="5"/>
    <x v="0"/>
    <s v=" Sector 95 Gurgaon"/>
    <n v="0"/>
    <n v="0"/>
    <n v="3"/>
    <n v="9"/>
    <n v="3"/>
    <x v="2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x v="2"/>
    <s v="Todo bien"/>
    <x v="0"/>
    <x v="0"/>
    <n v="1107.3729512133086"/>
    <x v="1"/>
    <x v="3"/>
    <s v="Pequeña"/>
    <x v="0"/>
    <n v="2542.1770279639472"/>
  </r>
  <r>
    <s v="DLF Garden City Floors"/>
    <x v="74"/>
    <n v="8588"/>
    <n v="3"/>
    <x v="1"/>
    <x v="3"/>
    <s v=" Sector 92 Gurgaon"/>
    <n v="0"/>
    <n v="0"/>
    <n v="4"/>
    <n v="1"/>
    <n v="2"/>
    <x v="1"/>
    <n v="4"/>
    <n v="0"/>
    <n v="0"/>
    <n v="0"/>
    <n v="0"/>
    <n v="1979.5062878435026"/>
    <m/>
    <n v="163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95062878435001E-2"/>
    <n v="17000000"/>
    <n v="8.5879999999999998E-2"/>
    <x v="3"/>
    <s v="Todo bien"/>
    <x v="0"/>
    <x v="2"/>
    <n v="862.27343564275634"/>
    <x v="1"/>
    <x v="2"/>
    <s v="Pequeña"/>
    <x v="1"/>
    <n v="1979.5062878435026"/>
  </r>
  <r>
    <s v="Corona Gracieux"/>
    <x v="369"/>
    <n v="5500"/>
    <n v="4"/>
    <x v="1"/>
    <x v="2"/>
    <s v=" Sector 76 Gurgaon"/>
    <n v="0"/>
    <n v="0"/>
    <n v="6"/>
    <n v="8"/>
    <n v="3"/>
    <x v="2"/>
    <n v="13"/>
    <n v="1"/>
    <n v="0"/>
    <n v="0"/>
    <n v="0"/>
    <n v="2654.5454545454545"/>
    <m/>
    <n v="265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45454545454501E-2"/>
    <n v="14600000"/>
    <n v="5.5E-2"/>
    <x v="2"/>
    <s v="Todo bien"/>
    <x v="0"/>
    <x v="1"/>
    <n v="1156.3206660254527"/>
    <x v="1"/>
    <x v="3"/>
    <s v="Pequeña"/>
    <x v="2"/>
    <n v="2654.5454545454545"/>
  </r>
  <r>
    <s v="Signature Global City A"/>
    <x v="71"/>
    <n v="15263"/>
    <n v="2"/>
    <x v="1"/>
    <x v="3"/>
    <s v=" Sector 63A Gurgaon"/>
    <n v="0"/>
    <n v="0"/>
    <n v="2"/>
    <n v="1"/>
    <n v="2"/>
    <x v="0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x v="3"/>
    <s v="Todo bien"/>
    <x v="0"/>
    <x v="2"/>
    <n v="470.90376333944477"/>
    <x v="0"/>
    <x v="0"/>
    <s v="Pequeña"/>
    <x v="1"/>
    <n v="1081.0456659896483"/>
  </r>
  <r>
    <s v="Godrej Oasis"/>
    <x v="97"/>
    <n v="16747"/>
    <n v="3"/>
    <x v="1"/>
    <x v="2"/>
    <s v=" Sector 88A Gurgaon"/>
    <n v="0"/>
    <n v="0"/>
    <n v="3"/>
    <n v="10"/>
    <n v="3"/>
    <x v="1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x v="5"/>
    <s v="Todo bien"/>
    <x v="0"/>
    <x v="4"/>
    <n v="689.28205940466955"/>
    <x v="1"/>
    <x v="1"/>
    <s v="Pequeña"/>
    <x v="0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x v="3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x v="0"/>
    <s v="Todo bien"/>
    <x v="0"/>
    <x v="1"/>
    <n v="157.63579646561945"/>
    <x v="0"/>
    <x v="1"/>
    <s v="Pequeña"/>
    <x v="0"/>
    <n v="361.88178528347407"/>
  </r>
  <r>
    <s v="Zara Aavaas"/>
    <x v="53"/>
    <n v="8519"/>
    <n v="3"/>
    <x v="1"/>
    <x v="2"/>
    <s v=" Sector 104 Gurgaon"/>
    <n v="0"/>
    <n v="0"/>
    <n v="2"/>
    <n v="7"/>
    <n v="2"/>
    <x v="1"/>
    <n v="11"/>
    <n v="0"/>
    <n v="0"/>
    <n v="0"/>
    <n v="0"/>
    <n v="763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300035215400002E-3"/>
    <n v="6500000"/>
    <n v="8.5190000000000002E-2"/>
    <x v="1"/>
    <s v="Todo bien"/>
    <x v="0"/>
    <x v="3"/>
    <n v="332.36314483507078"/>
    <x v="0"/>
    <x v="0"/>
    <s v="Pequeña"/>
    <x v="0"/>
    <n v="763.00035215400862"/>
  </r>
  <r>
    <s v="Smart World Orchard"/>
    <x v="171"/>
    <n v="15766"/>
    <n v="3"/>
    <x v="2"/>
    <x v="3"/>
    <s v=" Sector 61 Gurgaon"/>
    <n v="0"/>
    <n v="0"/>
    <n v="3"/>
    <n v="3"/>
    <n v="2"/>
    <x v="1"/>
    <n v="4"/>
    <n v="0"/>
    <n v="1"/>
    <n v="0"/>
    <n v="0"/>
    <n v="163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6300900672332801E-2"/>
    <n v="25700000"/>
    <n v="0.15765999999999999"/>
    <x v="5"/>
    <s v="Todo bien"/>
    <x v="0"/>
    <x v="2"/>
    <n v="710.06764227641474"/>
    <x v="1"/>
    <x v="2"/>
    <s v="Pequeña"/>
    <x v="0"/>
    <n v="1630.0900672332868"/>
  </r>
  <r>
    <s v="Signature Global City "/>
    <x v="32"/>
    <n v="7722"/>
    <n v="2"/>
    <x v="1"/>
    <x v="3"/>
    <s v=" Sector 92 Gurgaon"/>
    <n v="0"/>
    <n v="0"/>
    <n v="2"/>
    <n v="2"/>
    <n v="3"/>
    <x v="0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1010101010101E-2"/>
    <n v="7800000"/>
    <n v="7.7219999999999997E-2"/>
    <x v="1"/>
    <s v="Todo bien"/>
    <x v="0"/>
    <x v="2"/>
    <n v="440.00025343434345"/>
    <x v="0"/>
    <x v="0"/>
    <s v="Pequeña"/>
    <x v="1"/>
    <n v="1010.1010101010102"/>
  </r>
  <r>
    <s v="Ramsons Kshitij"/>
    <x v="327"/>
    <n v="3911"/>
    <n v="2"/>
    <x v="8"/>
    <x v="2"/>
    <s v=" Sector 95 Gurgaon"/>
    <n v="0"/>
    <n v="0"/>
    <n v="2"/>
    <n v="14"/>
    <n v="1"/>
    <x v="0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x v="0"/>
    <s v="Todo bien"/>
    <x v="0"/>
    <x v="4"/>
    <n v="367.54815340577653"/>
    <x v="0"/>
    <x v="0"/>
    <s v="Pequeña"/>
    <x v="0"/>
    <n v="843.77397085144469"/>
  </r>
  <r>
    <s v="Eldeco Accolade"/>
    <x v="56"/>
    <n v="8043"/>
    <n v="2"/>
    <x v="1"/>
    <x v="4"/>
    <s v=" Sector-33 Sohna"/>
    <n v="0"/>
    <n v="0"/>
    <n v="2"/>
    <n v="0"/>
    <n v="2"/>
    <x v="0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2"/>
    <n v="649.9071255501658"/>
    <x v="1"/>
    <x v="0"/>
    <s v="Mediana"/>
    <x v="0"/>
    <n v="1491.9806042521448"/>
  </r>
  <r>
    <s v="om appartments"/>
    <x v="2"/>
    <n v="4444"/>
    <n v="3"/>
    <x v="1"/>
    <x v="0"/>
    <s v=" Ashok Vihar Phase 2"/>
    <n v="0"/>
    <n v="0"/>
    <n v="2"/>
    <n v="3"/>
    <n v="1"/>
    <x v="1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2"/>
    <n v="392.07943375337533"/>
    <x v="0"/>
    <x v="0"/>
    <s v="Pequeña"/>
    <x v="0"/>
    <n v="900.09000900090007"/>
  </r>
  <r>
    <s v="the pearl apartmen"/>
    <x v="66"/>
    <n v="5584"/>
    <n v="2"/>
    <x v="1"/>
    <x v="0"/>
    <s v=" Patel Nagar"/>
    <n v="0"/>
    <n v="0"/>
    <n v="2"/>
    <n v="2"/>
    <n v="1"/>
    <x v="0"/>
    <n v="4"/>
    <n v="0"/>
    <n v="0"/>
    <n v="0"/>
    <n v="0"/>
    <n v="77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7.7005730659025001E-3"/>
    <n v="4300000"/>
    <n v="5.5840000000000001E-2"/>
    <x v="0"/>
    <s v="Todo bien"/>
    <x v="1"/>
    <x v="0"/>
    <n v="335.43715595809113"/>
    <x v="0"/>
    <x v="0"/>
    <s v="Pequeña"/>
    <x v="0"/>
    <n v="770.05730659025789"/>
  </r>
  <r>
    <s v="Bestech Park View Grand Spa"/>
    <x v="61"/>
    <n v="10714"/>
    <n v="4"/>
    <x v="1"/>
    <x v="0"/>
    <s v=" Sector 81 Gurgaon"/>
    <n v="0"/>
    <n v="0"/>
    <n v="6"/>
    <n v="17"/>
    <n v="3"/>
    <x v="2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x v="4"/>
    <s v="Todo bien"/>
    <x v="1"/>
    <x v="1"/>
    <n v="1829.5698423091258"/>
    <x v="3"/>
    <x v="3"/>
    <s v="Pequeña"/>
    <x v="3"/>
    <n v="4200.1120029867461"/>
  </r>
  <r>
    <s v="Signature Global Solera"/>
    <x v="94"/>
    <n v="6333"/>
    <n v="2"/>
    <x v="4"/>
    <x v="0"/>
    <s v=" Sector 107 Gurgaon"/>
    <n v="0"/>
    <n v="0"/>
    <n v="2"/>
    <n v="3"/>
    <n v="2"/>
    <x v="0"/>
    <n v="14"/>
    <n v="0"/>
    <n v="0"/>
    <n v="0"/>
    <n v="0"/>
    <n v="600"/>
    <m/>
    <n v="65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0"/>
    <x v="1"/>
    <x v="1"/>
    <x v="1"/>
    <x v="1"/>
    <x v="1"/>
    <x v="0"/>
    <x v="0"/>
    <x v="1"/>
    <n v="1"/>
    <n v="1"/>
    <n v="1"/>
    <n v="1"/>
    <n v="1"/>
    <n v="0"/>
    <n v="0"/>
    <n v="1"/>
    <n v="0"/>
    <n v="1"/>
    <n v="1"/>
    <n v="1"/>
    <n v="0"/>
    <n v="0"/>
    <n v="1"/>
    <n v="0"/>
    <n v="0"/>
    <n v="1"/>
    <n v="0"/>
    <n v="0"/>
    <n v="0"/>
    <n v="0"/>
    <n v="0"/>
    <n v="1"/>
    <n v="6.0003158060949998E-3"/>
    <n v="3800000"/>
    <n v="6.3329999999999997E-2"/>
    <x v="0"/>
    <s v="Todo bien"/>
    <x v="2"/>
    <x v="2"/>
    <n v="261.37390706142179"/>
    <x v="0"/>
    <x v="1"/>
    <s v="Pequeña"/>
    <x v="0"/>
    <n v="600.0315806095058"/>
  </r>
  <r>
    <s v="AVL  Gurgaon"/>
    <x v="29"/>
    <n v="7500"/>
    <n v="2"/>
    <x v="2"/>
    <x v="0"/>
    <s v=" Sector 36A Gurgaon"/>
    <n v="0"/>
    <n v="0"/>
    <n v="2"/>
    <n v="5"/>
    <n v="2"/>
    <x v="0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x v="1"/>
    <s v="Todo bien"/>
    <x v="1"/>
    <x v="0"/>
    <n v="435.60025090000005"/>
    <x v="0"/>
    <x v="0"/>
    <s v="Pequeña"/>
    <x v="0"/>
    <n v="1000"/>
  </r>
  <r>
    <s v="Tata Gurgaon Gateway"/>
    <x v="189"/>
    <n v="11825"/>
    <n v="3"/>
    <x v="1"/>
    <x v="2"/>
    <s v=" Sector 113 Gurgaon"/>
    <n v="0"/>
    <n v="0"/>
    <n v="3"/>
    <n v="9"/>
    <n v="3"/>
    <x v="1"/>
    <n v="24"/>
    <n v="0"/>
    <n v="0"/>
    <n v="0"/>
    <n v="0"/>
    <n v="2714.5877378435521"/>
    <m/>
    <n v="25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1458773784355E-2"/>
    <n v="32100000"/>
    <n v="0.11824999999999999"/>
    <x v="5"/>
    <s v="Todo bien"/>
    <x v="0"/>
    <x v="1"/>
    <n v="1182.4750996947139"/>
    <x v="1"/>
    <x v="3"/>
    <s v="Pequeña"/>
    <x v="2"/>
    <n v="2714.5877378435521"/>
  </r>
  <r>
    <s v="Breez Global Hill View"/>
    <x v="290"/>
    <n v="6315"/>
    <n v="2"/>
    <x v="0"/>
    <x v="2"/>
    <s v=" Sohna"/>
    <n v="0"/>
    <n v="0"/>
    <n v="2"/>
    <n v="14"/>
    <n v="2"/>
    <x v="0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x v="0"/>
    <s v="Todo bien"/>
    <x v="0"/>
    <x v="1"/>
    <n v="241.4253172050644"/>
    <x v="0"/>
    <x v="1"/>
    <s v="Pequeña"/>
    <x v="0"/>
    <n v="554.2359461599367"/>
  </r>
  <r>
    <s v="Umang Monsoon Breeze"/>
    <x v="29"/>
    <n v="6053"/>
    <n v="2"/>
    <x v="4"/>
    <x v="4"/>
    <s v=" Sector 78 Gurgaon"/>
    <n v="0"/>
    <n v="0"/>
    <n v="2"/>
    <n v="5"/>
    <n v="1"/>
    <x v="0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x v="1"/>
    <s v="Todo bien"/>
    <x v="0"/>
    <x v="2"/>
    <n v="539.73267499586836"/>
    <x v="1"/>
    <x v="0"/>
    <s v="Mediana"/>
    <x v="0"/>
    <n v="1239.0550140426235"/>
  </r>
  <r>
    <s v="Sare Green ParC Phase "/>
    <x v="13"/>
    <n v="4856"/>
    <n v="4"/>
    <x v="5"/>
    <x v="5"/>
    <s v=" Sector 92 Gurgaon"/>
    <n v="0"/>
    <n v="0"/>
    <n v="3"/>
    <n v="4"/>
    <n v="3"/>
    <x v="2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x v="1"/>
    <s v="Todo bien"/>
    <x v="0"/>
    <x v="1"/>
    <n v="852.18335740321174"/>
    <x v="1"/>
    <x v="2"/>
    <s v="Pequeña"/>
    <x v="1"/>
    <n v="1956.3426688632619"/>
  </r>
  <r>
    <s v="Lavanya Apartments"/>
    <x v="15"/>
    <n v="5056"/>
    <n v="3"/>
    <x v="1"/>
    <x v="4"/>
    <s v=" Sector 81 Gurgaon"/>
    <n v="0"/>
    <n v="0"/>
    <n v="3"/>
    <n v="7"/>
    <n v="0"/>
    <x v="1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x v="1"/>
    <s v="Todo bien"/>
    <x v="0"/>
    <x v="2"/>
    <n v="775.39601623813269"/>
    <x v="1"/>
    <x v="2"/>
    <s v="Mediana"/>
    <x v="0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x v="0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x v="1"/>
    <s v="Todo bien"/>
    <x v="0"/>
    <x v="2"/>
    <n v="260.06898452272236"/>
    <x v="0"/>
    <x v="1"/>
    <s v="Pequeña"/>
    <x v="0"/>
    <n v="597.03589239306029"/>
  </r>
  <r>
    <s v="Whiteland BliSS The Leafville"/>
    <x v="308"/>
    <n v="11794"/>
    <n v="3"/>
    <x v="1"/>
    <x v="4"/>
    <s v=" Sector 76 Gurgaon"/>
    <n v="0"/>
    <n v="0"/>
    <n v="3"/>
    <n v="3"/>
    <n v="2"/>
    <x v="1"/>
    <n v="3"/>
    <n v="0"/>
    <n v="0"/>
    <n v="0"/>
    <n v="0"/>
    <n v="1627.9464134305579"/>
    <n v="162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79464134305501E-2"/>
    <n v="19200000"/>
    <n v="0.11794"/>
    <x v="3"/>
    <s v="Todo bien"/>
    <x v="0"/>
    <x v="2"/>
    <n v="709.13386614210276"/>
    <x v="1"/>
    <x v="2"/>
    <s v="Mediana"/>
    <x v="0"/>
    <n v="1627.9464134305579"/>
  </r>
  <r>
    <s v="Smart World Gems"/>
    <x v="56"/>
    <n v="8433"/>
    <n v="3"/>
    <x v="4"/>
    <x v="4"/>
    <s v=" Sector 89 Gurgaon"/>
    <n v="0"/>
    <n v="0"/>
    <n v="3"/>
    <n v="2"/>
    <n v="2"/>
    <x v="1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x v="2"/>
    <s v="Todo bien"/>
    <x v="0"/>
    <x v="2"/>
    <n v="619.85094400569108"/>
    <x v="1"/>
    <x v="0"/>
    <s v="Mediana"/>
    <x v="0"/>
    <n v="1422.9811454998221"/>
  </r>
  <r>
    <s v="Signature Global City D Ph "/>
    <x v="8"/>
    <n v="8148"/>
    <n v="3"/>
    <x v="5"/>
    <x v="3"/>
    <s v=" Sector 37D Gurgaon"/>
    <n v="0"/>
    <n v="0"/>
    <n v="3"/>
    <n v="2"/>
    <n v="1"/>
    <x v="1"/>
    <n v="3"/>
    <n v="0"/>
    <n v="0"/>
    <n v="1"/>
    <n v="0"/>
    <n v="1350"/>
    <m/>
    <m/>
    <n v="0"/>
    <n v="0"/>
    <n v="1"/>
    <n v="0"/>
    <n v="1"/>
    <n v="0"/>
    <n v="0"/>
    <n v="0"/>
    <n v="1"/>
    <n v="0"/>
    <n v="0"/>
    <n v="0"/>
    <n v="1"/>
    <n v="0"/>
    <n v="0"/>
    <n v="1"/>
    <n v="1"/>
    <n v="19"/>
    <x v="0"/>
    <x v="0"/>
    <x v="0"/>
    <x v="1"/>
    <x v="1"/>
    <x v="0"/>
    <x v="1"/>
    <x v="0"/>
    <x v="0"/>
    <n v="0"/>
    <n v="2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245459008299E-2"/>
    <n v="11000000"/>
    <n v="8.1479999999999997E-2"/>
    <x v="2"/>
    <s v="Todo bien"/>
    <x v="1"/>
    <x v="0"/>
    <n v="588.07103091556007"/>
    <x v="1"/>
    <x v="2"/>
    <s v="Pequeña"/>
    <x v="0"/>
    <n v="1350.0245459008347"/>
  </r>
  <r>
    <s v="DLF Royalton Tower"/>
    <x v="156"/>
    <n v="20687"/>
    <n v="4"/>
    <x v="1"/>
    <x v="5"/>
    <s v=" DLF Phase 5"/>
    <n v="0"/>
    <n v="0"/>
    <n v="4"/>
    <n v="9"/>
    <n v="3"/>
    <x v="2"/>
    <n v="15"/>
    <n v="1"/>
    <n v="0"/>
    <n v="0"/>
    <n v="0"/>
    <n v="3142.0698989703678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20698989703601E-2"/>
    <n v="65000000"/>
    <n v="0.20687"/>
    <x v="6"/>
    <s v="Todo bien"/>
    <x v="0"/>
    <x v="2"/>
    <n v="1368.6864363368265"/>
    <x v="1"/>
    <x v="3"/>
    <s v="Pequeña"/>
    <x v="2"/>
    <n v="3142.0698989703678"/>
  </r>
  <r>
    <s v="Smart World Orchard"/>
    <x v="20"/>
    <n v="14800"/>
    <n v="2"/>
    <x v="1"/>
    <x v="2"/>
    <s v=" Sector 61 Gurgaon"/>
    <n v="0"/>
    <n v="0"/>
    <n v="2"/>
    <n v="3"/>
    <n v="2"/>
    <x v="0"/>
    <n v="4"/>
    <n v="0"/>
    <n v="0"/>
    <n v="0"/>
    <n v="0"/>
    <n v="12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8500000"/>
    <n v="0.14799999999999999"/>
    <x v="3"/>
    <s v="Todo bien"/>
    <x v="0"/>
    <x v="1"/>
    <n v="544.5003136250001"/>
    <x v="1"/>
    <x v="2"/>
    <s v="Pequeña"/>
    <x v="0"/>
    <n v="1250"/>
  </r>
  <r>
    <s v="Suncity Vatsal Valley"/>
    <x v="65"/>
    <n v="12212"/>
    <n v="2"/>
    <x v="4"/>
    <x v="3"/>
    <s v=" Gwal Pahari"/>
    <n v="0"/>
    <n v="0"/>
    <n v="2"/>
    <n v="4"/>
    <n v="2"/>
    <x v="0"/>
    <n v="4"/>
    <n v="0"/>
    <n v="0"/>
    <n v="0"/>
    <n v="0"/>
    <n v="1130.0360301342942"/>
    <n v="11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300360301342899E-2"/>
    <n v="13800000"/>
    <n v="0.12212000000000001"/>
    <x v="2"/>
    <s v="Todo bien"/>
    <x v="1"/>
    <x v="5"/>
    <n v="492.24397825253669"/>
    <x v="0"/>
    <x v="0"/>
    <s v="Mediana"/>
    <x v="0"/>
    <n v="1130.0360301342942"/>
  </r>
  <r>
    <s v="Unitech Heritage City"/>
    <x v="421"/>
    <n v="13108"/>
    <n v="4"/>
    <x v="1"/>
    <x v="4"/>
    <s v=" Mehrauli Gurgaon Road"/>
    <n v="0"/>
    <n v="0"/>
    <n v="4"/>
    <n v="9"/>
    <n v="0"/>
    <x v="2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x v="4"/>
    <s v="Todo bien"/>
    <x v="0"/>
    <x v="2"/>
    <n v="1415.667583791575"/>
    <x v="1"/>
    <x v="3"/>
    <s v="Muy grande"/>
    <x v="0"/>
    <n v="3249.9237107110162"/>
  </r>
  <r>
    <s v="Shapoorji Pallonji Joyville Gurugram"/>
    <x v="113"/>
    <n v="10380"/>
    <n v="2"/>
    <x v="1"/>
    <x v="4"/>
    <s v=" Sector 102 Gurgaon"/>
    <n v="0"/>
    <n v="0"/>
    <n v="2"/>
    <n v="14"/>
    <n v="3"/>
    <x v="0"/>
    <n v="14"/>
    <n v="0"/>
    <n v="0"/>
    <n v="0"/>
    <n v="0"/>
    <n v="1368.0154142581887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1541425818E-2"/>
    <n v="14200000"/>
    <n v="0.1038"/>
    <x v="2"/>
    <s v="Todo bien"/>
    <x v="0"/>
    <x v="2"/>
    <n v="595.90785768593071"/>
    <x v="1"/>
    <x v="2"/>
    <s v="Mediana"/>
    <x v="0"/>
    <n v="1368.0154142581887"/>
  </r>
  <r>
    <s v="Krisumi Waterfall Residences"/>
    <x v="133"/>
    <n v="15551"/>
    <n v="2"/>
    <x v="1"/>
    <x v="4"/>
    <s v=" Sector 36A Gurgaon"/>
    <n v="0"/>
    <n v="0"/>
    <n v="2"/>
    <n v="23"/>
    <n v="2"/>
    <x v="0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x v="3"/>
    <s v="Todo bien"/>
    <x v="0"/>
    <x v="2"/>
    <n v="644.25475986752849"/>
    <x v="1"/>
    <x v="2"/>
    <s v="Mediana"/>
    <x v="0"/>
    <n v="1479.0045656227894"/>
  </r>
  <r>
    <s v="Birla Navya"/>
    <x v="139"/>
    <n v="15416"/>
    <n v="3"/>
    <x v="5"/>
    <x v="3"/>
    <s v=" Sector 63A Gurgaon"/>
    <n v="0"/>
    <n v="0"/>
    <n v="3"/>
    <n v="1"/>
    <n v="3"/>
    <x v="1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x v="5"/>
    <s v="Todo bien"/>
    <x v="0"/>
    <x v="3"/>
    <n v="1045.4858123572888"/>
    <x v="1"/>
    <x v="2"/>
    <s v="Pequeña"/>
    <x v="0"/>
    <n v="2400.1037882719256"/>
  </r>
  <r>
    <s v="Zara Aavaas"/>
    <x v="88"/>
    <n v="7302"/>
    <n v="1"/>
    <x v="1"/>
    <x v="2"/>
    <s v=" Sector 104 Gurgaon"/>
    <n v="0"/>
    <n v="0"/>
    <n v="2"/>
    <n v="2"/>
    <n v="2"/>
    <x v="3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x v="0"/>
    <s v="Todo bien"/>
    <x v="0"/>
    <x v="4"/>
    <n v="131.24083155025806"/>
    <x v="0"/>
    <x v="1"/>
    <s v="Pequeña"/>
    <x v="0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x v="0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x v="1"/>
    <s v="Todo bien"/>
    <x v="0"/>
    <x v="0"/>
    <n v="283.16376006500468"/>
    <x v="0"/>
    <x v="1"/>
    <s v="Pequeña"/>
    <x v="0"/>
    <n v="650.0541711809318"/>
  </r>
  <r>
    <s v="Kashish Manor One"/>
    <x v="71"/>
    <n v="7097"/>
    <n v="3"/>
    <x v="1"/>
    <x v="3"/>
    <s v=" Sector 111 Gurgaon"/>
    <n v="0"/>
    <n v="0"/>
    <n v="4"/>
    <n v="14"/>
    <n v="3"/>
    <x v="1"/>
    <n v="15"/>
    <n v="1"/>
    <n v="0"/>
    <n v="0"/>
    <n v="0"/>
    <n v="2324.9260250810198"/>
    <m/>
    <n v="2325"/>
    <n v="0"/>
    <n v="0"/>
    <n v="0"/>
    <n v="0"/>
    <n v="0"/>
    <n v="0"/>
    <n v="0"/>
    <n v="1"/>
    <n v="1"/>
    <n v="0"/>
    <n v="0"/>
    <n v="0"/>
    <n v="0"/>
    <n v="0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92602508102E-2"/>
    <n v="16500000"/>
    <n v="7.0970000000000005E-2"/>
    <x v="3"/>
    <s v="Todo bien"/>
    <x v="0"/>
    <x v="2"/>
    <n v="1012.7383598492321"/>
    <x v="1"/>
    <x v="2"/>
    <s v="Pequeña"/>
    <x v="2"/>
    <n v="2324.9260250810198"/>
  </r>
  <r>
    <s v="Zara Aavaas"/>
    <x v="328"/>
    <n v="6644"/>
    <n v="1"/>
    <x v="1"/>
    <x v="2"/>
    <s v=" Surat Nagar 1"/>
    <n v="0"/>
    <n v="0"/>
    <n v="2"/>
    <n v="3"/>
    <n v="2"/>
    <x v="3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x v="0"/>
    <s v="Todo bien"/>
    <x v="0"/>
    <x v="2"/>
    <n v="131.12590334135766"/>
    <x v="0"/>
    <x v="1"/>
    <s v="Pequeña"/>
    <x v="0"/>
    <n v="301.02347983142687"/>
  </r>
  <r>
    <s v="Apartment"/>
    <x v="29"/>
    <n v="4687"/>
    <n v="3"/>
    <x v="4"/>
    <x v="5"/>
    <s v=" Sector 92 Gurgaon"/>
    <n v="0"/>
    <n v="0"/>
    <n v="4"/>
    <n v="2"/>
    <n v="3"/>
    <x v="1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x v="1"/>
    <s v="Todo bien"/>
    <x v="0"/>
    <x v="4"/>
    <n v="697.03475181352542"/>
    <x v="1"/>
    <x v="2"/>
    <s v="Pequeña"/>
    <x v="0"/>
    <n v="1600.170684873053"/>
  </r>
  <r>
    <s v="Vipul World Floors"/>
    <x v="285"/>
    <n v="13870"/>
    <n v="4"/>
    <x v="4"/>
    <x v="2"/>
    <s v=" Sector 48 Gurgaon"/>
    <n v="0"/>
    <n v="0"/>
    <n v="5"/>
    <n v="4"/>
    <n v="3"/>
    <x v="2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x v="4"/>
    <s v="Todo bien"/>
    <x v="0"/>
    <x v="1"/>
    <n v="1350.4549955803859"/>
    <x v="1"/>
    <x v="3"/>
    <s v="Pequeña"/>
    <x v="0"/>
    <n v="3100.2162941600577"/>
  </r>
  <r>
    <s v="Shree Vardhman Victoria"/>
    <x v="49"/>
    <n v="9743"/>
    <n v="3"/>
    <x v="2"/>
    <x v="2"/>
    <s v=" Sector 70 Gurgaon"/>
    <n v="0"/>
    <n v="0"/>
    <n v="3"/>
    <n v="10"/>
    <n v="3"/>
    <x v="1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x v="3"/>
    <s v="Todo bien"/>
    <x v="0"/>
    <x v="0"/>
    <n v="849.47190465975575"/>
    <x v="1"/>
    <x v="2"/>
    <s v="Pequeña"/>
    <x v="1"/>
    <n v="1950.1180334599198"/>
  </r>
  <r>
    <s v="ESS The Leafel Tower"/>
    <x v="18"/>
    <n v="12500"/>
    <n v="3"/>
    <x v="1"/>
    <x v="5"/>
    <s v=" Chakkarpur"/>
    <n v="0"/>
    <n v="0"/>
    <n v="4"/>
    <n v="3"/>
    <n v="3"/>
    <x v="1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x v="3"/>
    <s v="Todo bien"/>
    <x v="2"/>
    <x v="2"/>
    <n v="766.65644158400005"/>
    <x v="1"/>
    <x v="2"/>
    <s v="Pequeña"/>
    <x v="0"/>
    <n v="1760.0000000000002"/>
  </r>
  <r>
    <s v="Milan CGHS "/>
    <x v="6"/>
    <n v="8333"/>
    <n v="3"/>
    <x v="1"/>
    <x v="4"/>
    <s v=" Sector 39 Gurgaon"/>
    <n v="0"/>
    <n v="0"/>
    <n v="3"/>
    <n v="0"/>
    <n v="3"/>
    <x v="1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x v="3"/>
    <s v="Todo bien"/>
    <x v="0"/>
    <x v="2"/>
    <n v="1045.4824214568566"/>
    <x v="1"/>
    <x v="2"/>
    <s v="Grande"/>
    <x v="0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x v="0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x v="0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Ramsons Kshitij"/>
    <x v="2"/>
    <n v="5839"/>
    <n v="3"/>
    <x v="1"/>
    <x v="4"/>
    <s v=" Sector 95 Gurgaon"/>
    <n v="0"/>
    <n v="0"/>
    <n v="2"/>
    <n v="6"/>
    <n v="2"/>
    <x v="1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x v="0"/>
    <s v="Todo bien"/>
    <x v="0"/>
    <x v="2"/>
    <n v="298.40743339612817"/>
    <x v="0"/>
    <x v="0"/>
    <s v="Pequeña"/>
    <x v="0"/>
    <n v="685.04880972769308"/>
  </r>
  <r>
    <s v="Element One Service"/>
    <x v="50"/>
    <n v="11765"/>
    <n v="1"/>
    <x v="2"/>
    <x v="4"/>
    <s v=" Sispal Vihar"/>
    <n v="0"/>
    <n v="0"/>
    <n v="1"/>
    <n v="8"/>
    <n v="1"/>
    <x v="3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x v="1"/>
    <s v="Todo bien"/>
    <x v="0"/>
    <x v="2"/>
    <n v="370.25095699107237"/>
    <x v="0"/>
    <x v="0"/>
    <s v="Mediana"/>
    <x v="0"/>
    <n v="849.97875053123664"/>
  </r>
  <r>
    <s v="Godrej Icon"/>
    <x v="335"/>
    <n v="10018"/>
    <n v="3"/>
    <x v="4"/>
    <x v="0"/>
    <s v=" Sector 88A Gurgaon"/>
    <n v="0"/>
    <n v="0"/>
    <n v="2"/>
    <n v="10"/>
    <n v="3"/>
    <x v="1"/>
    <n v="11"/>
    <n v="0"/>
    <n v="1"/>
    <n v="0"/>
    <n v="0"/>
    <n v="1617.0892393691354"/>
    <m/>
    <n v="16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0"/>
    <n v="0"/>
    <n v="0"/>
    <n v="0"/>
    <n v="2"/>
    <n v="1"/>
    <n v="0"/>
    <n v="0"/>
    <n v="1"/>
    <n v="1"/>
    <n v="1"/>
    <n v="1"/>
    <n v="1"/>
    <n v="0"/>
    <n v="0"/>
    <n v="1"/>
    <n v="0"/>
    <n v="0"/>
    <n v="1"/>
    <n v="0"/>
    <n v="0"/>
    <n v="0"/>
    <n v="0"/>
    <n v="0"/>
    <n v="1"/>
    <n v="1.6170892393691301E-2"/>
    <n v="16200000"/>
    <n v="0.10018000000000001"/>
    <x v="3"/>
    <s v="Todo bien"/>
    <x v="2"/>
    <x v="1"/>
    <n v="704.40447839688329"/>
    <x v="1"/>
    <x v="2"/>
    <s v="Pequeña"/>
    <x v="1"/>
    <n v="1617.0892393691354"/>
  </r>
  <r>
    <s v="DNHA CGHS"/>
    <x v="28"/>
    <n v="3864"/>
    <n v="3"/>
    <x v="1"/>
    <x v="4"/>
    <s v=" Sector 1 Gurgaon"/>
    <n v="0"/>
    <n v="0"/>
    <n v="3"/>
    <n v="5"/>
    <n v="0"/>
    <x v="1"/>
    <n v="5"/>
    <n v="0"/>
    <n v="0"/>
    <n v="0"/>
    <n v="0"/>
    <n v="2199.7929606625257"/>
    <n v="22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7929606625201E-2"/>
    <n v="8500000"/>
    <n v="3.8640000000000001E-2"/>
    <x v="1"/>
    <s v="Todo bien"/>
    <x v="0"/>
    <x v="2"/>
    <n v="958.23036559264767"/>
    <x v="1"/>
    <x v="2"/>
    <s v="Grande"/>
    <x v="0"/>
    <n v="2199.7929606625257"/>
  </r>
  <r>
    <s v="Breeze Global Heights"/>
    <x v="2"/>
    <n v="6421"/>
    <n v="2"/>
    <x v="1"/>
    <x v="4"/>
    <s v=" Sector 33 Gurgaon"/>
    <n v="0"/>
    <n v="0"/>
    <n v="2"/>
    <n v="4"/>
    <n v="2"/>
    <x v="0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x v="0"/>
    <s v="Todo bien"/>
    <x v="0"/>
    <x v="2"/>
    <n v="271.35975760784714"/>
    <x v="0"/>
    <x v="1"/>
    <s v="Pequeña"/>
    <x v="0"/>
    <n v="622.95592586824478"/>
  </r>
  <r>
    <s v="MM Skycity"/>
    <x v="151"/>
    <n v="17039"/>
    <n v="3"/>
    <x v="4"/>
    <x v="2"/>
    <s v=" Sector 65 Gurgaon"/>
    <n v="0"/>
    <n v="0"/>
    <n v="3"/>
    <n v="15"/>
    <n v="3"/>
    <x v="1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x v="5"/>
    <s v="Todo bien"/>
    <x v="1"/>
    <x v="5"/>
    <n v="894.77133526028274"/>
    <x v="1"/>
    <x v="2"/>
    <s v="Pequeña"/>
    <x v="0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x v="1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x v="2"/>
    <s v="Todo bien"/>
    <x v="0"/>
    <x v="0"/>
    <n v="669.69968485643005"/>
    <x v="1"/>
    <x v="2"/>
    <s v="Mediana"/>
    <x v="0"/>
    <n v="1537.4180420529053"/>
  </r>
  <r>
    <s v="pareena micasa"/>
    <x v="35"/>
    <n v="8666"/>
    <n v="3"/>
    <x v="1"/>
    <x v="3"/>
    <s v=" Golf Course Ext Road"/>
    <n v="0"/>
    <n v="0"/>
    <n v="3"/>
    <n v="12"/>
    <n v="3"/>
    <x v="1"/>
    <n v="24"/>
    <n v="0"/>
    <n v="0"/>
    <n v="0"/>
    <n v="0"/>
    <n v="1500.115393491807"/>
    <m/>
    <n v="15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1153934918E-2"/>
    <n v="13000000"/>
    <n v="8.6660000000000001E-2"/>
    <x v="2"/>
    <s v="Todo bien"/>
    <x v="0"/>
    <x v="2"/>
    <n v="653.45064178398036"/>
    <x v="1"/>
    <x v="2"/>
    <s v="Pequeña"/>
    <x v="1"/>
    <n v="1500.115393491807"/>
  </r>
  <r>
    <s v="Smart World Orchard"/>
    <x v="422"/>
    <n v="14785"/>
    <n v="3"/>
    <x v="4"/>
    <x v="2"/>
    <s v=" Sector 61 Gurgaon"/>
    <n v="0"/>
    <n v="0"/>
    <n v="3"/>
    <n v="2"/>
    <n v="3"/>
    <x v="1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x v="3"/>
    <s v="Todo bien"/>
    <x v="0"/>
    <x v="2"/>
    <n v="710.04166700642156"/>
    <x v="1"/>
    <x v="2"/>
    <s v="Mediana"/>
    <x v="0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x v="0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x v="2"/>
    <s v="Todo bien"/>
    <x v="0"/>
    <x v="2"/>
    <n v="398.56951920645383"/>
    <x v="0"/>
    <x v="0"/>
    <s v="Mediana"/>
    <x v="0"/>
    <n v="914.98918649143241"/>
  </r>
  <r>
    <s v="Central Park Flower Valley"/>
    <x v="51"/>
    <n v="13270"/>
    <n v="3"/>
    <x v="1"/>
    <x v="4"/>
    <s v=" Sector-33 Sohna"/>
    <n v="0"/>
    <n v="0"/>
    <n v="3"/>
    <n v="1"/>
    <n v="2"/>
    <x v="1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x v="3"/>
    <s v="Todo bien"/>
    <x v="0"/>
    <x v="2"/>
    <n v="820.64855105501113"/>
    <x v="1"/>
    <x v="2"/>
    <s v="Pequeña"/>
    <x v="0"/>
    <n v="1883.9487565938205"/>
  </r>
  <r>
    <s v="Dlf City"/>
    <x v="423"/>
    <n v="8080"/>
    <n v="4"/>
    <x v="1"/>
    <x v="2"/>
    <s v=" Shankar Vihar"/>
    <n v="0"/>
    <n v="0"/>
    <n v="3"/>
    <n v="2"/>
    <n v="1"/>
    <x v="2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x v="3"/>
    <s v="Todo bien"/>
    <x v="0"/>
    <x v="2"/>
    <n v="1089.0006272500002"/>
    <x v="1"/>
    <x v="2"/>
    <s v="Pequeña"/>
    <x v="2"/>
    <n v="2500"/>
  </r>
  <r>
    <s v="Smart World Orchard"/>
    <x v="3"/>
    <n v="12782"/>
    <n v="2"/>
    <x v="2"/>
    <x v="2"/>
    <s v=" Sector 61 Gurgaon"/>
    <n v="0"/>
    <n v="0"/>
    <n v="2"/>
    <n v="4"/>
    <n v="2"/>
    <x v="0"/>
    <n v="4"/>
    <n v="0"/>
    <n v="1"/>
    <n v="1"/>
    <n v="0"/>
    <n v="1150"/>
    <m/>
    <m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5476451259E-2"/>
    <n v="14700000"/>
    <n v="0.12781999999999999"/>
    <x v="2"/>
    <s v="Todo bien"/>
    <x v="0"/>
    <x v="3"/>
    <n v="500.96414397042469"/>
    <x v="1"/>
    <x v="0"/>
    <s v="Pequeña"/>
    <x v="0"/>
    <n v="1150.054764512596"/>
  </r>
  <r>
    <s v="MVN Athens"/>
    <x v="72"/>
    <n v="7056"/>
    <n v="1"/>
    <x v="0"/>
    <x v="0"/>
    <s v=" Sohna"/>
    <n v="0"/>
    <n v="0"/>
    <n v="1"/>
    <n v="12"/>
    <n v="1"/>
    <x v="3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x v="0"/>
    <s v="Todo bien"/>
    <x v="1"/>
    <x v="3"/>
    <n v="148.16335064625474"/>
    <x v="0"/>
    <x v="1"/>
    <s v="Pequeña"/>
    <x v="0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x v="1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x v="4"/>
    <s v="Todo bien"/>
    <x v="0"/>
    <x v="0"/>
    <n v="925.54310405220474"/>
    <x v="1"/>
    <x v="2"/>
    <s v="Pequeña"/>
    <x v="2"/>
    <n v="2124.7533768401881"/>
  </r>
  <r>
    <s v="Vatika Sovereign Park"/>
    <x v="158"/>
    <n v="8812"/>
    <n v="3"/>
    <x v="4"/>
    <x v="2"/>
    <s v=" Sector 99 Gurgaon"/>
    <n v="0"/>
    <n v="0"/>
    <n v="4"/>
    <n v="1"/>
    <n v="3"/>
    <x v="1"/>
    <n v="12"/>
    <n v="1"/>
    <n v="0"/>
    <n v="0"/>
    <n v="0"/>
    <n v="2780.2995914661828"/>
    <m/>
    <n v="27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802995914661802E-2"/>
    <n v="24500000.000000004"/>
    <n v="8.8120000000000004E-2"/>
    <x v="3"/>
    <s v="Todo bien"/>
    <x v="1"/>
    <x v="5"/>
    <n v="1211.0991996198356"/>
    <x v="1"/>
    <x v="3"/>
    <s v="Pequeña"/>
    <x v="2"/>
    <n v="2780.2995914661828"/>
  </r>
  <r>
    <s v="Mapsko Mount Ville"/>
    <x v="71"/>
    <n v="9091"/>
    <n v="3"/>
    <x v="1"/>
    <x v="4"/>
    <s v=" Sector 79 Gurgaon"/>
    <n v="0"/>
    <n v="0"/>
    <n v="3"/>
    <n v="12"/>
    <n v="0"/>
    <x v="1"/>
    <n v="12"/>
    <n v="0"/>
    <n v="0"/>
    <n v="0"/>
    <n v="0"/>
    <n v="1814.9818501814982"/>
    <n v="181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498185018149E-2"/>
    <n v="16500000"/>
    <n v="9.0910000000000005E-2"/>
    <x v="3"/>
    <s v="Todo bien"/>
    <x v="0"/>
    <x v="2"/>
    <n v="790.60654931800332"/>
    <x v="1"/>
    <x v="2"/>
    <s v="Grande"/>
    <x v="0"/>
    <n v="1814.9818501814982"/>
  </r>
  <r>
    <s v="Godrej Air"/>
    <x v="68"/>
    <n v="9589"/>
    <n v="3"/>
    <x v="1"/>
    <x v="4"/>
    <s v=" Sector 85 Gurgaon"/>
    <n v="0"/>
    <n v="0"/>
    <n v="3"/>
    <n v="27"/>
    <n v="2"/>
    <x v="1"/>
    <n v="27"/>
    <n v="0"/>
    <n v="0"/>
    <n v="0"/>
    <n v="0"/>
    <n v="1825.0078214620919"/>
    <n v="182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0782146209E-2"/>
    <n v="17500000"/>
    <n v="9.5890000000000003E-2"/>
    <x v="3"/>
    <s v="Todo bien"/>
    <x v="0"/>
    <x v="2"/>
    <n v="794.97386492334886"/>
    <x v="1"/>
    <x v="2"/>
    <s v="Grande"/>
    <x v="0"/>
    <n v="1825.0078214620919"/>
  </r>
  <r>
    <s v="Signature Global City A"/>
    <x v="100"/>
    <n v="11336"/>
    <n v="2"/>
    <x v="4"/>
    <x v="3"/>
    <s v=" Sector 63A Gurgaon"/>
    <n v="0"/>
    <n v="0"/>
    <n v="2"/>
    <n v="3"/>
    <n v="2"/>
    <x v="0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x v="2"/>
    <s v="Todo bien"/>
    <x v="0"/>
    <x v="2"/>
    <n v="537.96784691249104"/>
    <x v="1"/>
    <x v="2"/>
    <s v="Pequeña"/>
    <x v="0"/>
    <n v="1235.0035285815102"/>
  </r>
  <r>
    <s v="Signature The Roselia"/>
    <x v="0"/>
    <n v="7908"/>
    <n v="2"/>
    <x v="4"/>
    <x v="2"/>
    <s v=" Sector 95A Gurgaon"/>
    <n v="0"/>
    <n v="0"/>
    <n v="2"/>
    <n v="2"/>
    <n v="2"/>
    <x v="0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x v="0"/>
    <s v="Todo bien"/>
    <x v="1"/>
    <x v="0"/>
    <n v="247.87571181714603"/>
    <x v="0"/>
    <x v="1"/>
    <s v="Pequeña"/>
    <x v="0"/>
    <n v="569.04400606980278"/>
  </r>
  <r>
    <s v="SBR apartment"/>
    <x v="331"/>
    <n v="4456"/>
    <n v="3"/>
    <x v="1"/>
    <x v="5"/>
    <s v=" Sector 1A IMT Manesar"/>
    <n v="0"/>
    <n v="0"/>
    <n v="3"/>
    <n v="2"/>
    <n v="3"/>
    <x v="1"/>
    <n v="11"/>
    <n v="0"/>
    <n v="0"/>
    <n v="0"/>
    <n v="0"/>
    <n v="1526.0323159784559"/>
    <n v="1526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260323159784501E-2"/>
    <n v="6800000"/>
    <n v="4.4560000000000002E-2"/>
    <x v="1"/>
    <s v="Todo bien"/>
    <x v="0"/>
    <x v="2"/>
    <n v="664.74005972172097"/>
    <x v="1"/>
    <x v="2"/>
    <s v="Mediana"/>
    <x v="0"/>
    <n v="1526.0323159784559"/>
  </r>
  <r>
    <s v="Smart World Gems"/>
    <x v="50"/>
    <n v="9007"/>
    <n v="2"/>
    <x v="1"/>
    <x v="2"/>
    <s v=" Sector 89 Gurgaon"/>
    <n v="0"/>
    <n v="0"/>
    <n v="2"/>
    <n v="3"/>
    <n v="3"/>
    <x v="0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x v="1"/>
    <s v="Todo bien"/>
    <x v="0"/>
    <x v="4"/>
    <n v="483.6241266792486"/>
    <x v="0"/>
    <x v="0"/>
    <s v="Pequeña"/>
    <x v="0"/>
    <n v="1110.2475852115022"/>
  </r>
  <r>
    <s v="ATS Triumph"/>
    <x v="6"/>
    <n v="8733"/>
    <n v="3"/>
    <x v="1"/>
    <x v="0"/>
    <s v=" Sector 104 Gurgaon"/>
    <n v="0"/>
    <n v="0"/>
    <n v="4"/>
    <n v="4"/>
    <n v="3"/>
    <x v="1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x v="3"/>
    <s v="Todo bien"/>
    <x v="0"/>
    <x v="1"/>
    <n v="997.59590266803673"/>
    <x v="1"/>
    <x v="2"/>
    <s v="Pequeña"/>
    <x v="2"/>
    <n v="2290.1637467078895"/>
  </r>
  <r>
    <s v="Silverglades The Melia"/>
    <x v="29"/>
    <n v="5555"/>
    <n v="2"/>
    <x v="1"/>
    <x v="5"/>
    <s v=" Sohna"/>
    <n v="0"/>
    <n v="0"/>
    <n v="2"/>
    <n v="4"/>
    <n v="2"/>
    <x v="0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x v="1"/>
    <s v="Todo bien"/>
    <x v="0"/>
    <x v="2"/>
    <n v="588.1191506300629"/>
    <x v="1"/>
    <x v="2"/>
    <s v="Mediana"/>
    <x v="0"/>
    <n v="1350.1350135013502"/>
  </r>
  <r>
    <s v="Vatika Sovereign Park"/>
    <x v="27"/>
    <n v="9672"/>
    <n v="4"/>
    <x v="1"/>
    <x v="2"/>
    <s v=" Sector 99 Gurgaon"/>
    <n v="0"/>
    <n v="0"/>
    <n v="4"/>
    <n v="2"/>
    <n v="3"/>
    <x v="2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x v="5"/>
    <s v="Todo bien"/>
    <x v="0"/>
    <x v="3"/>
    <n v="1463.7105204973116"/>
    <x v="1"/>
    <x v="3"/>
    <s v="Pequeña"/>
    <x v="3"/>
    <n v="3360.2150537634407"/>
  </r>
  <r>
    <s v="Eldeco Accolade"/>
    <x v="8"/>
    <n v="7549"/>
    <n v="2"/>
    <x v="1"/>
    <x v="0"/>
    <s v=" Sohna"/>
    <n v="0"/>
    <n v="0"/>
    <n v="2"/>
    <n v="17"/>
    <n v="3"/>
    <x v="0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x v="2"/>
    <s v="Todo bien"/>
    <x v="1"/>
    <x v="2"/>
    <n v="634.73344282686458"/>
    <x v="1"/>
    <x v="2"/>
    <s v="Pequeña"/>
    <x v="1"/>
    <n v="1457.1466419393296"/>
  </r>
  <r>
    <s v="Microtek Greenburg"/>
    <x v="59"/>
    <n v="9797"/>
    <n v="3"/>
    <x v="2"/>
    <x v="0"/>
    <s v=" Sector 86 Gurgaon"/>
    <n v="0"/>
    <n v="0"/>
    <n v="2"/>
    <n v="8"/>
    <n v="3"/>
    <x v="1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x v="2"/>
    <s v="Todo bien"/>
    <x v="2"/>
    <x v="4"/>
    <n v="644.70793488312506"/>
    <x v="1"/>
    <x v="0"/>
    <s v="Mediana"/>
    <x v="0"/>
    <n v="1480.0449117076655"/>
  </r>
  <r>
    <s v="Vatika Sovereign Park"/>
    <x v="34"/>
    <n v="9922"/>
    <n v="4"/>
    <x v="2"/>
    <x v="3"/>
    <s v=" Sector 99 Gurgaon"/>
    <n v="0"/>
    <n v="0"/>
    <n v="4"/>
    <n v="5"/>
    <n v="0"/>
    <x v="2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x v="5"/>
    <s v="Todo bien"/>
    <x v="0"/>
    <x v="0"/>
    <n v="1404.8788579721813"/>
    <x v="1"/>
    <x v="3"/>
    <s v="Muy grande"/>
    <x v="0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x v="0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x v="0"/>
    <s v="Todo bien"/>
    <x v="0"/>
    <x v="0"/>
    <n v="236.77143682565153"/>
    <x v="0"/>
    <x v="1"/>
    <s v="Pequeña"/>
    <x v="0"/>
    <n v="543.5521130588395"/>
  </r>
  <r>
    <s v="Smart World Gems"/>
    <x v="13"/>
    <n v="8600"/>
    <n v="2"/>
    <x v="1"/>
    <x v="2"/>
    <s v=" Sector 89 Gurgaon"/>
    <n v="0"/>
    <n v="0"/>
    <n v="2"/>
    <n v="4"/>
    <n v="2"/>
    <x v="0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x v="1"/>
    <s v="Todo bien"/>
    <x v="0"/>
    <x v="0"/>
    <n v="481.18632366860135"/>
    <x v="0"/>
    <x v="0"/>
    <s v="Pequeña"/>
    <x v="0"/>
    <n v="1104.6511627906978"/>
  </r>
  <r>
    <s v="Conscient Elevate"/>
    <x v="117"/>
    <n v="18518"/>
    <n v="3"/>
    <x v="1"/>
    <x v="3"/>
    <s v=" Sector 59 Gurgaon"/>
    <n v="0"/>
    <n v="0"/>
    <n v="4"/>
    <n v="3"/>
    <n v="3"/>
    <x v="1"/>
    <n v="31"/>
    <n v="0"/>
    <n v="0"/>
    <n v="0"/>
    <n v="0"/>
    <n v="2295.0642617993303"/>
    <m/>
    <n v="229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42617993299E-2"/>
    <n v="42500000"/>
    <n v="0.18518000000000001"/>
    <x v="4"/>
    <s v="Todo bien"/>
    <x v="0"/>
    <x v="2"/>
    <n v="999.73056827141147"/>
    <x v="1"/>
    <x v="2"/>
    <s v="Pequeña"/>
    <x v="2"/>
    <n v="2295.0642617993303"/>
  </r>
  <r>
    <s v="Signature Global Solera "/>
    <x v="316"/>
    <n v="6680"/>
    <n v="2"/>
    <x v="1"/>
    <x v="2"/>
    <s v=" Sector 107 Gurgaon"/>
    <n v="0"/>
    <n v="0"/>
    <n v="2"/>
    <n v="9"/>
    <n v="2"/>
    <x v="0"/>
    <n v="13"/>
    <n v="0"/>
    <n v="0"/>
    <n v="0"/>
    <n v="0"/>
    <n v="553.85"/>
    <m/>
    <m/>
    <n v="0"/>
    <n v="0"/>
    <n v="0"/>
    <n v="1"/>
    <n v="1"/>
    <n v="0"/>
    <n v="0"/>
    <n v="1"/>
    <n v="1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89221556886E-3"/>
    <n v="3700000"/>
    <n v="6.6799999999999998E-2"/>
    <x v="0"/>
    <s v="Todo bien"/>
    <x v="0"/>
    <x v="2"/>
    <n v="241.27558807335231"/>
    <x v="0"/>
    <x v="1"/>
    <s v="Pequeña"/>
    <x v="0"/>
    <n v="553.8922155688623"/>
  </r>
  <r>
    <s v="Spaze Privvy The AddreSS The Leaf"/>
    <x v="43"/>
    <n v="6900"/>
    <n v="3"/>
    <x v="2"/>
    <x v="0"/>
    <s v=" Sector 93 Gurgaon"/>
    <n v="0"/>
    <n v="0"/>
    <n v="4"/>
    <n v="12"/>
    <n v="2"/>
    <x v="1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115942028985501E-2"/>
    <n v="12500000"/>
    <n v="6.9000000000000006E-2"/>
    <x v="2"/>
    <s v="Todo bien"/>
    <x v="2"/>
    <x v="3"/>
    <n v="789.13088931159393"/>
    <x v="1"/>
    <x v="0"/>
    <s v="Mediana"/>
    <x v="1"/>
    <n v="1811.5942028985505"/>
  </r>
  <r>
    <s v="Surendra Avenue "/>
    <x v="29"/>
    <n v="6818"/>
    <n v="2"/>
    <x v="1"/>
    <x v="5"/>
    <s v=" Sector 69 Gurgaon"/>
    <n v="0"/>
    <n v="0"/>
    <n v="2"/>
    <n v="4"/>
    <n v="2"/>
    <x v="0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x v="1"/>
    <s v="Todo bien"/>
    <x v="0"/>
    <x v="2"/>
    <n v="479.17305393810227"/>
    <x v="0"/>
    <x v="0"/>
    <s v="Mediana"/>
    <x v="0"/>
    <n v="1100.0293341155764"/>
  </r>
  <r>
    <s v="Krishna Apartment"/>
    <x v="290"/>
    <n v="4117"/>
    <n v="2"/>
    <x v="1"/>
    <x v="0"/>
    <s v=" New Palam Vihar Phase 2"/>
    <n v="0"/>
    <n v="0"/>
    <n v="2"/>
    <n v="2"/>
    <n v="1"/>
    <x v="0"/>
    <n v="4"/>
    <n v="0"/>
    <n v="0"/>
    <n v="0"/>
    <n v="0"/>
    <n v="750"/>
    <n v="850"/>
    <m/>
    <n v="0"/>
    <n v="0"/>
    <n v="0"/>
    <n v="0"/>
    <n v="0"/>
    <n v="0"/>
    <n v="0"/>
    <n v="1"/>
    <n v="0"/>
    <n v="1"/>
    <n v="1"/>
    <n v="0"/>
    <n v="0"/>
    <n v="0"/>
    <n v="0"/>
    <n v="0"/>
    <n v="0"/>
    <n v="13"/>
    <x v="0"/>
    <x v="0"/>
    <x v="0"/>
    <x v="1"/>
    <x v="0"/>
    <x v="0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8.5013359242165996E-3"/>
    <n v="3500000"/>
    <n v="4.1169999999999998E-2"/>
    <x v="0"/>
    <s v="Todo bien"/>
    <x v="1"/>
    <x v="0"/>
    <n v="370.31840615739344"/>
    <x v="0"/>
    <x v="0"/>
    <s v="Mediana"/>
    <x v="0"/>
    <n v="850.13359242166632"/>
  </r>
  <r>
    <s v="Global Hill View"/>
    <x v="290"/>
    <n v="4861"/>
    <n v="2"/>
    <x v="4"/>
    <x v="2"/>
    <s v=" Sector-11 sohna"/>
    <n v="0"/>
    <n v="0"/>
    <n v="2"/>
    <n v="10"/>
    <n v="2"/>
    <x v="0"/>
    <n v="19"/>
    <n v="0"/>
    <n v="0"/>
    <n v="0"/>
    <n v="0"/>
    <n v="554.16999999999996"/>
    <n v="658"/>
    <n v="704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645751902004E-3"/>
    <n v="3500000"/>
    <n v="4.861E-2"/>
    <x v="0"/>
    <s v="Todo bien"/>
    <x v="0"/>
    <x v="4"/>
    <n v="313.63934954741433"/>
    <x v="0"/>
    <x v="1"/>
    <s v="Pequeña"/>
    <x v="0"/>
    <n v="720.01645751902902"/>
  </r>
  <r>
    <s v="Godrej "/>
    <x v="6"/>
    <n v="8453"/>
    <n v="3"/>
    <x v="2"/>
    <x v="0"/>
    <s v=" Sector 79 Gurgaon"/>
    <n v="0"/>
    <n v="0"/>
    <n v="4"/>
    <n v="2"/>
    <n v="3"/>
    <x v="1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x v="3"/>
    <s v="Todo bien"/>
    <x v="1"/>
    <x v="5"/>
    <n v="1030.6406030994879"/>
    <x v="1"/>
    <x v="2"/>
    <s v="Pequeña"/>
    <x v="0"/>
    <n v="2366.0238968413582"/>
  </r>
  <r>
    <s v="DLF The Primus"/>
    <x v="151"/>
    <n v="13430"/>
    <n v="5"/>
    <x v="2"/>
    <x v="0"/>
    <s v=" Sector 82A Gurgaon"/>
    <n v="0"/>
    <n v="0"/>
    <n v="5"/>
    <n v="14"/>
    <n v="3"/>
    <x v="4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x v="5"/>
    <s v="Todo bien"/>
    <x v="2"/>
    <x v="1"/>
    <n v="1135.2203113551734"/>
    <x v="1"/>
    <x v="3"/>
    <s v="Pequeña"/>
    <x v="0"/>
    <n v="2606.1057334326133"/>
  </r>
  <r>
    <s v="DLF Regency Park "/>
    <x v="264"/>
    <n v="16608"/>
    <n v="2"/>
    <x v="1"/>
    <x v="2"/>
    <s v=" DLF Phase 4"/>
    <n v="0"/>
    <n v="0"/>
    <n v="2"/>
    <n v="11"/>
    <n v="2"/>
    <x v="0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x v="3"/>
    <s v="Todo bien"/>
    <x v="2"/>
    <x v="3"/>
    <n v="500.96127120604524"/>
    <x v="1"/>
    <x v="0"/>
    <s v="Pequeña"/>
    <x v="0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x v="1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x v="1"/>
    <s v="Todo bien"/>
    <x v="0"/>
    <x v="1"/>
    <n v="771.11037511063637"/>
    <x v="1"/>
    <x v="2"/>
    <s v="Pequeña"/>
    <x v="1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x v="1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x v="2"/>
    <s v="Todo bien"/>
    <x v="0"/>
    <x v="1"/>
    <n v="283.14623050422318"/>
    <x v="0"/>
    <x v="0"/>
    <s v="Pequeña"/>
    <x v="0"/>
    <n v="650.01392886990436"/>
  </r>
  <r>
    <s v="GLS Arawali Homes"/>
    <x v="290"/>
    <n v="7000"/>
    <n v="2"/>
    <x v="1"/>
    <x v="0"/>
    <s v=" Sohna"/>
    <n v="0"/>
    <n v="0"/>
    <n v="2"/>
    <n v="5"/>
    <n v="2"/>
    <x v="0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x v="0"/>
    <s v="Todo bien"/>
    <x v="0"/>
    <x v="0"/>
    <n v="217.80012545000002"/>
    <x v="0"/>
    <x v="1"/>
    <s v="Pequeña"/>
    <x v="0"/>
    <n v="499.99999999999994"/>
  </r>
  <r>
    <s v="Godrej Summit"/>
    <x v="30"/>
    <n v="9854"/>
    <n v="2"/>
    <x v="1"/>
    <x v="0"/>
    <s v=" Sector 104 Gurgaon"/>
    <n v="0"/>
    <n v="0"/>
    <n v="2"/>
    <n v="12"/>
    <n v="3"/>
    <x v="0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x v="1"/>
    <s v="Todo bien"/>
    <x v="0"/>
    <x v="5"/>
    <n v="362.48447913334434"/>
    <x v="0"/>
    <x v="1"/>
    <s v="Pequeña"/>
    <x v="0"/>
    <n v="832.14938096204583"/>
  </r>
  <r>
    <s v="Ashiana Anmol"/>
    <x v="83"/>
    <n v="11125"/>
    <n v="2"/>
    <x v="4"/>
    <x v="0"/>
    <s v=" Sohna"/>
    <n v="0"/>
    <n v="0"/>
    <n v="2"/>
    <n v="13"/>
    <n v="2"/>
    <x v="0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x v="1"/>
    <s v="Todo bien"/>
    <x v="1"/>
    <x v="5"/>
    <n v="344.56469284673886"/>
    <x v="0"/>
    <x v="0"/>
    <s v="Pequeña"/>
    <x v="1"/>
    <n v="791.01123595505612"/>
  </r>
  <r>
    <s v="Signature Global Park"/>
    <x v="52"/>
    <n v="6690"/>
    <n v="2"/>
    <x v="4"/>
    <x v="4"/>
    <s v=" Sohna"/>
    <n v="0"/>
    <n v="0"/>
    <n v="2"/>
    <n v="3"/>
    <n v="3"/>
    <x v="0"/>
    <n v="3"/>
    <n v="0"/>
    <n v="0"/>
    <n v="0"/>
    <n v="0"/>
    <n v="822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12257100148997E-3"/>
    <n v="5500000"/>
    <n v="6.6900000000000001E-2"/>
    <x v="1"/>
    <s v="Todo bien"/>
    <x v="0"/>
    <x v="2"/>
    <n v="358.11679819880214"/>
    <x v="0"/>
    <x v="0"/>
    <s v="Pequeña"/>
    <x v="0"/>
    <n v="822.12257100149475"/>
  </r>
  <r>
    <s v="Ansal API Esencia"/>
    <x v="56"/>
    <n v="7407"/>
    <n v="3"/>
    <x v="1"/>
    <x v="4"/>
    <s v=" Sector 67 Gurgaon"/>
    <n v="0"/>
    <n v="0"/>
    <n v="3"/>
    <n v="1"/>
    <n v="2"/>
    <x v="1"/>
    <n v="1"/>
    <n v="0"/>
    <n v="0"/>
    <n v="0"/>
    <n v="0"/>
    <n v="18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891049007599E-2"/>
    <n v="12000000"/>
    <n v="7.4069999999999997E-2"/>
    <x v="2"/>
    <s v="Todo bien"/>
    <x v="0"/>
    <x v="2"/>
    <n v="705.71122057512741"/>
    <x v="1"/>
    <x v="1"/>
    <s v="Pequeña"/>
    <x v="0"/>
    <n v="1620.0891049007696"/>
  </r>
  <r>
    <s v="MM Skywalk"/>
    <x v="186"/>
    <n v="12500"/>
    <n v="2"/>
    <x v="1"/>
    <x v="4"/>
    <s v=" Sector 74 Gurgaon"/>
    <n v="0"/>
    <n v="0"/>
    <n v="2"/>
    <n v="12"/>
    <n v="3"/>
    <x v="0"/>
    <n v="12"/>
    <n v="0"/>
    <n v="0"/>
    <n v="0"/>
    <n v="0"/>
    <n v="142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9999999999999E-2"/>
    <n v="17800000"/>
    <n v="0.125"/>
    <x v="3"/>
    <s v="Todo bien"/>
    <x v="0"/>
    <x v="2"/>
    <n v="620.29475728160003"/>
    <x v="1"/>
    <x v="2"/>
    <s v="Pequeña"/>
    <x v="0"/>
    <n v="1424"/>
  </r>
  <r>
    <s v="MM Heights"/>
    <x v="49"/>
    <n v="13991"/>
    <n v="2"/>
    <x v="1"/>
    <x v="4"/>
    <s v=" Sector 65 Gurgaon"/>
    <n v="0"/>
    <n v="0"/>
    <n v="2"/>
    <n v="40"/>
    <n v="2"/>
    <x v="0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x v="3"/>
    <s v="Todo bien"/>
    <x v="0"/>
    <x v="2"/>
    <n v="591.55205254091823"/>
    <x v="1"/>
    <x v="2"/>
    <s v="Mediana"/>
    <x v="0"/>
    <n v="1358.015867343292"/>
  </r>
  <r>
    <s v="MVN Athens"/>
    <x v="79"/>
    <n v="5397"/>
    <n v="2"/>
    <x v="1"/>
    <x v="0"/>
    <s v=" Sohna"/>
    <n v="0"/>
    <n v="0"/>
    <n v="2"/>
    <n v="5"/>
    <n v="1"/>
    <x v="0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x v="0"/>
    <s v="Todo bien"/>
    <x v="0"/>
    <x v="3"/>
    <n v="209.85003749119639"/>
    <x v="0"/>
    <x v="1"/>
    <s v="Pequeña"/>
    <x v="0"/>
    <n v="481.74911988141565"/>
  </r>
  <r>
    <s v="Signature Global City "/>
    <x v="309"/>
    <n v="8279"/>
    <n v="2"/>
    <x v="5"/>
    <x v="3"/>
    <s v=" Sector 81 Gurgaon"/>
    <n v="0"/>
    <n v="0"/>
    <n v="2"/>
    <n v="3"/>
    <n v="2"/>
    <x v="0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x v="1"/>
    <s v="Todo bien"/>
    <x v="1"/>
    <x v="2"/>
    <n v="468.27421584853056"/>
    <x v="0"/>
    <x v="0"/>
    <s v="Pequeña"/>
    <x v="0"/>
    <n v="1075.0090590651043"/>
  </r>
  <r>
    <s v="Smart World Orchard"/>
    <x v="26"/>
    <n v="13913"/>
    <n v="2"/>
    <x v="4"/>
    <x v="2"/>
    <s v=" Sector 61 Gurgaon"/>
    <n v="0"/>
    <n v="0"/>
    <n v="2"/>
    <n v="3"/>
    <n v="2"/>
    <x v="0"/>
    <n v="4"/>
    <n v="0"/>
    <n v="1"/>
    <n v="0"/>
    <n v="0"/>
    <n v="11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1500035937612301E-2"/>
    <n v="16000000"/>
    <n v="0.13913"/>
    <x v="3"/>
    <s v="Todo bien"/>
    <x v="0"/>
    <x v="5"/>
    <n v="500.94185397829352"/>
    <x v="1"/>
    <x v="0"/>
    <s v="Pequeña"/>
    <x v="0"/>
    <n v="1150.0035937612304"/>
  </r>
  <r>
    <s v="Ambience Caitriona"/>
    <x v="424"/>
    <n v="200000"/>
    <n v="4"/>
    <x v="4"/>
    <x v="4"/>
    <s v=" Sector 24 Gurgaon"/>
    <n v="0"/>
    <n v="0"/>
    <n v="5"/>
    <n v="3"/>
    <n v="3"/>
    <x v="2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x v="6"/>
    <s v="Todo bien"/>
    <x v="0"/>
    <x v="2"/>
    <n v="304.92017563000002"/>
    <x v="0"/>
    <x v="0"/>
    <s v="Pequeña"/>
    <x v="0"/>
    <n v="700"/>
  </r>
  <r>
    <s v="Ansal Heights "/>
    <x v="15"/>
    <n v="5325"/>
    <n v="3"/>
    <x v="1"/>
    <x v="2"/>
    <s v=" Sector 86 Gurgaon"/>
    <n v="0"/>
    <n v="0"/>
    <n v="3"/>
    <n v="10"/>
    <n v="2"/>
    <x v="1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x v="1"/>
    <s v="Todo bien"/>
    <x v="0"/>
    <x v="1"/>
    <n v="736.22577616901299"/>
    <x v="1"/>
    <x v="2"/>
    <s v="Mediana"/>
    <x v="0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x v="1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x v="2"/>
    <s v="Todo bien"/>
    <x v="0"/>
    <x v="2"/>
    <n v="866.78776409189175"/>
    <x v="1"/>
    <x v="2"/>
    <s v="Grande"/>
    <x v="0"/>
    <n v="1989.8697539797395"/>
  </r>
  <r>
    <s v="Smart World Gems"/>
    <x v="13"/>
    <n v="8903"/>
    <n v="2"/>
    <x v="4"/>
    <x v="3"/>
    <s v=" Sector 89 Gurgaon"/>
    <n v="0"/>
    <n v="0"/>
    <n v="2"/>
    <n v="1"/>
    <n v="2"/>
    <x v="0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x v="1"/>
    <s v="Todo bien"/>
    <x v="0"/>
    <x v="3"/>
    <n v="464.80988246096399"/>
    <x v="0"/>
    <x v="1"/>
    <s v="Pequeña"/>
    <x v="1"/>
    <n v="1067.0560485229698"/>
  </r>
  <r>
    <s v="Green Court"/>
    <x v="401"/>
    <n v="6811"/>
    <n v="2"/>
    <x v="4"/>
    <x v="2"/>
    <s v=" Sector 90 Gurgaon"/>
    <n v="0"/>
    <n v="0"/>
    <n v="2"/>
    <n v="0"/>
    <n v="1"/>
    <x v="0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x v="0"/>
    <s v="Todo bien"/>
    <x v="0"/>
    <x v="1"/>
    <n v="300.59039483629135"/>
    <x v="0"/>
    <x v="0"/>
    <s v="Pequeña"/>
    <x v="0"/>
    <n v="690.06019674056665"/>
  </r>
  <r>
    <s v="Lord Krishna"/>
    <x v="58"/>
    <n v="8571"/>
    <n v="4"/>
    <x v="2"/>
    <x v="4"/>
    <s v=" Adarsh Nagar"/>
    <n v="0"/>
    <n v="0"/>
    <n v="3"/>
    <n v="6"/>
    <n v="3"/>
    <x v="2"/>
    <n v="6"/>
    <n v="0"/>
    <n v="0"/>
    <n v="0"/>
    <n v="0"/>
    <n v="3150.157507875394"/>
    <n v="31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575078753903E-2"/>
    <n v="27000000"/>
    <n v="8.5709999999999995E-2"/>
    <x v="5"/>
    <s v="Todo bien"/>
    <x v="0"/>
    <x v="2"/>
    <n v="1372.2094008050387"/>
    <x v="1"/>
    <x v="3"/>
    <s v="Muy grande"/>
    <x v="0"/>
    <n v="3150.157507875394"/>
  </r>
  <r>
    <s v="Supertech Araville"/>
    <x v="13"/>
    <n v="6209"/>
    <n v="2"/>
    <x v="2"/>
    <x v="2"/>
    <s v=" Sector 79 Gurgaon"/>
    <n v="0"/>
    <n v="0"/>
    <n v="2"/>
    <n v="7"/>
    <n v="3"/>
    <x v="0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x v="1"/>
    <s v="Todo bien"/>
    <x v="0"/>
    <x v="1"/>
    <n v="666.48451981800451"/>
    <x v="1"/>
    <x v="2"/>
    <s v="Pequeña"/>
    <x v="1"/>
    <n v="1530.0370430020937"/>
  </r>
  <r>
    <s v="Umang Monsoon Breeze"/>
    <x v="81"/>
    <n v="5284"/>
    <n v="3"/>
    <x v="1"/>
    <x v="5"/>
    <s v=" Sector 78 Gurgaon"/>
    <n v="0"/>
    <n v="0"/>
    <n v="3"/>
    <n v="9"/>
    <n v="3"/>
    <x v="1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x v="2"/>
    <s v="Todo bien"/>
    <x v="0"/>
    <x v="0"/>
    <n v="948.03234014950476"/>
    <x v="1"/>
    <x v="2"/>
    <s v="Pequeña"/>
    <x v="2"/>
    <n v="2176.3815291445876"/>
  </r>
  <r>
    <s v="ILD Greens"/>
    <x v="15"/>
    <n v="5614"/>
    <n v="3"/>
    <x v="2"/>
    <x v="3"/>
    <s v=" Sector 37C Gurgaon"/>
    <n v="0"/>
    <n v="0"/>
    <n v="3"/>
    <n v="0"/>
    <n v="3"/>
    <x v="1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x v="1"/>
    <s v="Todo bien"/>
    <x v="0"/>
    <x v="3"/>
    <n v="698.32601676166621"/>
    <x v="1"/>
    <x v="2"/>
    <s v="Mediana"/>
    <x v="1"/>
    <n v="1603.1350195938724"/>
  </r>
  <r>
    <s v="Signature Global Park "/>
    <x v="50"/>
    <n v="9900"/>
    <n v="3"/>
    <x v="1"/>
    <x v="2"/>
    <s v=" Sector 36 Sohna"/>
    <n v="0"/>
    <n v="0"/>
    <n v="2"/>
    <n v="2"/>
    <n v="3"/>
    <x v="1"/>
    <n v="4"/>
    <n v="0"/>
    <n v="0"/>
    <n v="0"/>
    <n v="0"/>
    <n v="101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1010101010101E-2"/>
    <n v="10000000"/>
    <n v="9.9000000000000005E-2"/>
    <x v="1"/>
    <s v="Todo bien"/>
    <x v="1"/>
    <x v="5"/>
    <n v="440.00025343434345"/>
    <x v="0"/>
    <x v="0"/>
    <s v="Pequeña"/>
    <x v="0"/>
    <n v="1010.10101010101"/>
  </r>
  <r>
    <s v="Brisk Lumbini Terrace Homes"/>
    <x v="78"/>
    <n v="6616"/>
    <n v="3"/>
    <x v="5"/>
    <x v="2"/>
    <s v=" Sector 109 Gurgaon"/>
    <n v="0"/>
    <n v="0"/>
    <n v="3"/>
    <n v="4"/>
    <n v="1"/>
    <x v="1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x v="2"/>
    <s v="Todo bien"/>
    <x v="0"/>
    <x v="0"/>
    <n v="987.6063729594897"/>
    <x v="1"/>
    <x v="2"/>
    <s v="Pequeña"/>
    <x v="0"/>
    <n v="2267.2309552599759"/>
  </r>
  <r>
    <s v="Bhagwati Sadan"/>
    <x v="81"/>
    <n v="5500"/>
    <n v="3"/>
    <x v="1"/>
    <x v="1"/>
    <s v=" Sector 12 Gurgaon"/>
    <n v="0"/>
    <n v="0"/>
    <n v="4"/>
    <n v="2"/>
    <n v="2"/>
    <x v="1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x v="2"/>
    <s v="Todo bien"/>
    <x v="0"/>
    <x v="2"/>
    <n v="910.80052460909064"/>
    <x v="1"/>
    <x v="2"/>
    <s v="Grande"/>
    <x v="0"/>
    <n v="2090.909090909091"/>
  </r>
  <r>
    <s v="Central Park Flower Valley Cerise Floors"/>
    <x v="35"/>
    <n v="10743"/>
    <n v="2"/>
    <x v="5"/>
    <x v="2"/>
    <s v=" Sector-33 Sohna"/>
    <n v="0"/>
    <n v="0"/>
    <n v="2"/>
    <n v="3"/>
    <n v="2"/>
    <x v="0"/>
    <n v="4"/>
    <n v="0"/>
    <n v="1"/>
    <n v="0"/>
    <n v="0"/>
    <n v="1210.0902913525085"/>
    <m/>
    <n v="1210"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902913525001E-2"/>
    <n v="13000000"/>
    <n v="0.10743"/>
    <x v="2"/>
    <s v="Todo bien"/>
    <x v="0"/>
    <x v="0"/>
    <n v="527.11563452480311"/>
    <x v="1"/>
    <x v="2"/>
    <s v="Pequeña"/>
    <x v="1"/>
    <n v="1210.0902913525085"/>
  </r>
  <r>
    <s v="ASS The Leafotech Blith"/>
    <x v="49"/>
    <n v="6702"/>
    <n v="4"/>
    <x v="2"/>
    <x v="4"/>
    <s v=" Sector 99 Gurgaon"/>
    <n v="0"/>
    <n v="0"/>
    <n v="4"/>
    <n v="2"/>
    <n v="3"/>
    <x v="2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x v="3"/>
    <s v="Todo bien"/>
    <x v="0"/>
    <x v="2"/>
    <n v="1234.9156620561023"/>
    <x v="1"/>
    <x v="3"/>
    <s v="Muy grande"/>
    <x v="0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Tulip Ivory"/>
    <x v="227"/>
    <n v="10416"/>
    <n v="6"/>
    <x v="1"/>
    <x v="0"/>
    <s v=" Sector 70 Gurgaon"/>
    <n v="0"/>
    <n v="0"/>
    <n v="7"/>
    <n v="0"/>
    <n v="3"/>
    <x v="5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x v="4"/>
    <s v="Todo bien"/>
    <x v="0"/>
    <x v="3"/>
    <n v="2091.0150292818703"/>
    <x v="3"/>
    <x v="3"/>
    <s v="Pequeña"/>
    <x v="0"/>
    <n v="4800.3072196620578"/>
  </r>
  <r>
    <s v="Antriksh Heights"/>
    <x v="28"/>
    <n v="5556"/>
    <n v="2"/>
    <x v="7"/>
    <x v="2"/>
    <s v=" Sector 84 Gurgaon"/>
    <n v="0"/>
    <n v="0"/>
    <n v="2"/>
    <n v="10"/>
    <n v="3"/>
    <x v="0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x v="1"/>
    <s v="Todo bien"/>
    <x v="0"/>
    <x v="2"/>
    <n v="666.41507067134341"/>
    <x v="1"/>
    <x v="2"/>
    <s v="Pequeña"/>
    <x v="1"/>
    <n v="1529.8776097912169"/>
  </r>
  <r>
    <s v="Sidhivinayak Apartments"/>
    <x v="49"/>
    <n v="10555"/>
    <n v="4"/>
    <x v="5"/>
    <x v="5"/>
    <s v=" Sector 55 Gurgaon"/>
    <n v="0"/>
    <n v="0"/>
    <n v="3"/>
    <n v="9"/>
    <n v="3"/>
    <x v="2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x v="3"/>
    <s v="Todo bien"/>
    <x v="2"/>
    <x v="1"/>
    <n v="784.12172118426975"/>
    <x v="1"/>
    <x v="2"/>
    <s v="Pequeña"/>
    <x v="0"/>
    <n v="1800.0947418285173"/>
  </r>
  <r>
    <s v="Maxworth City Residences"/>
    <x v="15"/>
    <n v="7083"/>
    <n v="2"/>
    <x v="4"/>
    <x v="2"/>
    <s v=" Sector 10A Gurgaon"/>
    <n v="0"/>
    <n v="0"/>
    <n v="2"/>
    <n v="9"/>
    <n v="3"/>
    <x v="0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x v="1"/>
    <s v="Todo bien"/>
    <x v="0"/>
    <x v="3"/>
    <n v="553.49460088945239"/>
    <x v="1"/>
    <x v="2"/>
    <s v="Pequeña"/>
    <x v="1"/>
    <n v="1270.6480304955526"/>
  </r>
  <r>
    <s v="Sare Petioles"/>
    <x v="35"/>
    <n v="6373"/>
    <n v="4"/>
    <x v="1"/>
    <x v="4"/>
    <s v=" Sector 92 Gurgaon"/>
    <n v="0"/>
    <n v="0"/>
    <n v="4"/>
    <n v="7"/>
    <n v="0"/>
    <x v="2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x v="2"/>
    <s v="Todo bien"/>
    <x v="0"/>
    <x v="2"/>
    <n v="888.56162901302059"/>
    <x v="1"/>
    <x v="2"/>
    <s v="Grande"/>
    <x v="0"/>
    <n v="2039.8556409854073"/>
  </r>
  <r>
    <s v="Dhoot Time Residency"/>
    <x v="101"/>
    <n v="18271"/>
    <n v="3"/>
    <x v="1"/>
    <x v="0"/>
    <s v=" Sector 63 Gurgaon"/>
    <n v="0"/>
    <n v="0"/>
    <n v="3"/>
    <n v="14"/>
    <n v="3"/>
    <x v="1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x v="5"/>
    <s v="Todo bien"/>
    <x v="1"/>
    <x v="2"/>
    <n v="715.23220004378322"/>
    <x v="1"/>
    <x v="2"/>
    <s v="Mediana"/>
    <x v="0"/>
    <n v="1641.9462536259646"/>
  </r>
  <r>
    <s v="Signature Global Park"/>
    <x v="331"/>
    <n v="8252"/>
    <n v="2"/>
    <x v="1"/>
    <x v="2"/>
    <s v=" Sohna"/>
    <n v="0"/>
    <n v="0"/>
    <n v="2"/>
    <n v="3"/>
    <n v="2"/>
    <x v="0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x v="1"/>
    <s v="Todo bien"/>
    <x v="0"/>
    <x v="4"/>
    <n v="358.9531878477905"/>
    <x v="0"/>
    <x v="0"/>
    <s v="Pequeña"/>
    <x v="0"/>
    <n v="824.04265632573924"/>
  </r>
  <r>
    <s v="Samaspurkunj"/>
    <x v="52"/>
    <n v="5238"/>
    <n v="2"/>
    <x v="1"/>
    <x v="0"/>
    <s v=" Samaspur"/>
    <n v="0"/>
    <n v="0"/>
    <n v="2"/>
    <n v="5"/>
    <n v="0"/>
    <x v="0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x v="1"/>
    <s v="Todo bien"/>
    <x v="1"/>
    <x v="0"/>
    <n v="457.38857960099074"/>
    <x v="0"/>
    <x v="0"/>
    <s v="Pequeña"/>
    <x v="0"/>
    <n v="1050.0190912562045"/>
  </r>
  <r>
    <s v="MM Soulitude"/>
    <x v="207"/>
    <n v="16985"/>
    <n v="3"/>
    <x v="7"/>
    <x v="3"/>
    <s v=" Sector 89 Gurgaon"/>
    <n v="0"/>
    <n v="0"/>
    <n v="3"/>
    <n v="4"/>
    <n v="3"/>
    <x v="1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x v="2"/>
    <s v="Todo bien"/>
    <x v="0"/>
    <x v="5"/>
    <n v="341.09410285369415"/>
    <x v="0"/>
    <x v="0"/>
    <s v="Mediana"/>
    <x v="0"/>
    <n v="783.04386223138067"/>
  </r>
  <r>
    <s v="MM Woodshire"/>
    <x v="15"/>
    <n v="6588"/>
    <n v="2"/>
    <x v="1"/>
    <x v="2"/>
    <s v=" Sector 107 Gurgaon"/>
    <n v="0"/>
    <n v="0"/>
    <n v="2"/>
    <n v="14"/>
    <n v="3"/>
    <x v="0"/>
    <n v="14"/>
    <n v="0"/>
    <n v="0"/>
    <n v="0"/>
    <n v="0"/>
    <n v="1366.1202185792351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x v="1"/>
    <s v="Todo bien"/>
    <x v="0"/>
    <x v="3"/>
    <n v="595.08230997267549"/>
    <x v="1"/>
    <x v="2"/>
    <s v="Pequeña"/>
    <x v="1"/>
    <n v="1366.1202185792351"/>
  </r>
  <r>
    <s v="Tulip Petals"/>
    <x v="46"/>
    <n v="10000"/>
    <n v="3"/>
    <x v="4"/>
    <x v="5"/>
    <s v=" Sector 89 Gurgaon"/>
    <n v="0"/>
    <n v="0"/>
    <n v="2"/>
    <n v="6"/>
    <n v="3"/>
    <x v="1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x v="3"/>
    <s v="Todo bien"/>
    <x v="1"/>
    <x v="4"/>
    <n v="675.18038889500008"/>
    <x v="1"/>
    <x v="2"/>
    <s v="Pequeña"/>
    <x v="1"/>
    <n v="1550"/>
  </r>
  <r>
    <s v="Conscient Habitat"/>
    <x v="290"/>
    <n v="6422"/>
    <n v="2"/>
    <x v="2"/>
    <x v="0"/>
    <s v=" Sector 99A Gurgaon"/>
    <n v="0"/>
    <n v="0"/>
    <n v="2"/>
    <n v="3"/>
    <n v="1"/>
    <x v="0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x v="0"/>
    <s v="Todo bien"/>
    <x v="0"/>
    <x v="1"/>
    <n v="237.40281503425459"/>
    <x v="0"/>
    <x v="1"/>
    <s v="Pequeña"/>
    <x v="0"/>
    <n v="545.00155714730613"/>
  </r>
  <r>
    <s v="Sare Crescent Parc"/>
    <x v="214"/>
    <n v="4909"/>
    <n v="2"/>
    <x v="1"/>
    <x v="0"/>
    <s v=" Sector 92 Gurgaon"/>
    <n v="0"/>
    <n v="0"/>
    <n v="2"/>
    <n v="2"/>
    <n v="2"/>
    <x v="0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x v="0"/>
    <s v="Todo bien"/>
    <x v="0"/>
    <x v="3"/>
    <n v="434.80163565084513"/>
    <x v="0"/>
    <x v="0"/>
    <s v="Pequeña"/>
    <x v="0"/>
    <n v="998.16663271542063"/>
  </r>
  <r>
    <s v="GLS Avenue "/>
    <x v="0"/>
    <n v="7614"/>
    <n v="2"/>
    <x v="1"/>
    <x v="2"/>
    <s v=" Sector 92 Gurgaon"/>
    <n v="0"/>
    <n v="0"/>
    <n v="2"/>
    <n v="10"/>
    <n v="1"/>
    <x v="0"/>
    <n v="12"/>
    <n v="0"/>
    <n v="1"/>
    <n v="0"/>
    <n v="0"/>
    <n v="591"/>
    <n v="646"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9"/>
    <n v="1"/>
    <n v="0"/>
    <n v="0"/>
    <n v="0"/>
    <n v="1"/>
    <n v="0"/>
    <n v="0"/>
    <n v="0"/>
    <n v="0"/>
    <n v="0"/>
    <n v="0"/>
    <n v="0"/>
    <n v="0"/>
    <n v="2"/>
    <n v="5.9101654846335002E-3"/>
    <n v="4500000"/>
    <n v="7.6139999999999999E-2"/>
    <x v="0"/>
    <s v="Todo bien"/>
    <x v="1"/>
    <x v="2"/>
    <n v="257.44695679668729"/>
    <x v="0"/>
    <x v="1"/>
    <s v="Pequeña"/>
    <x v="0"/>
    <n v="591.01654846335703"/>
  </r>
  <r>
    <s v="ATS Tourmaline"/>
    <x v="133"/>
    <n v="8897"/>
    <n v="3"/>
    <x v="4"/>
    <x v="2"/>
    <s v=" Sector 109 Gurgaon"/>
    <n v="0"/>
    <n v="0"/>
    <n v="4"/>
    <n v="10"/>
    <n v="3"/>
    <x v="1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x v="3"/>
    <s v="Todo bien"/>
    <x v="0"/>
    <x v="3"/>
    <n v="1126.0880938181367"/>
    <x v="1"/>
    <x v="3"/>
    <s v="Pequeña"/>
    <x v="2"/>
    <n v="2585.14105878386"/>
  </r>
  <r>
    <s v="Ireo The Corridors"/>
    <x v="78"/>
    <n v="11111"/>
    <n v="2"/>
    <x v="1"/>
    <x v="0"/>
    <s v=" Sector 67A Gurgaon"/>
    <n v="0"/>
    <n v="0"/>
    <n v="2"/>
    <n v="10"/>
    <n v="2"/>
    <x v="0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x v="2"/>
    <s v="Todo bien"/>
    <x v="1"/>
    <x v="0"/>
    <n v="588.06621937719319"/>
    <x v="1"/>
    <x v="2"/>
    <s v="Pequeña"/>
    <x v="0"/>
    <n v="1350.0135001350013"/>
  </r>
  <r>
    <s v="Umang Winter Hills"/>
    <x v="50"/>
    <n v="7500"/>
    <n v="2"/>
    <x v="1"/>
    <x v="2"/>
    <s v=" Sector 77 Gurgaon"/>
    <n v="0"/>
    <n v="0"/>
    <n v="2"/>
    <n v="3"/>
    <n v="2"/>
    <x v="0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x v="1"/>
    <s v="Todo bien"/>
    <x v="0"/>
    <x v="3"/>
    <n v="580.80033453333192"/>
    <x v="1"/>
    <x v="2"/>
    <s v="Pequeña"/>
    <x v="0"/>
    <n v="1333.3333333333335"/>
  </r>
  <r>
    <s v="Siddhartha Apartment"/>
    <x v="8"/>
    <n v="4327"/>
    <n v="4"/>
    <x v="5"/>
    <x v="0"/>
    <s v=" Sector 95 Gurgaon"/>
    <n v="0"/>
    <n v="0"/>
    <n v="3"/>
    <n v="9"/>
    <n v="3"/>
    <x v="2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x v="2"/>
    <s v="Todo bien"/>
    <x v="0"/>
    <x v="0"/>
    <n v="1107.3729512133086"/>
    <x v="1"/>
    <x v="3"/>
    <s v="Pequeña"/>
    <x v="0"/>
    <n v="2542.1770279639472"/>
  </r>
  <r>
    <s v="Signature Global City A"/>
    <x v="71"/>
    <n v="15263"/>
    <n v="2"/>
    <x v="1"/>
    <x v="3"/>
    <s v=" Sector 63A Gurgaon"/>
    <n v="0"/>
    <n v="0"/>
    <n v="2"/>
    <n v="1"/>
    <n v="2"/>
    <x v="0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x v="3"/>
    <s v="Todo bien"/>
    <x v="0"/>
    <x v="2"/>
    <n v="470.90376333944477"/>
    <x v="0"/>
    <x v="0"/>
    <s v="Pequeña"/>
    <x v="1"/>
    <n v="1081.0456659896483"/>
  </r>
  <r>
    <s v="Godrej Oasis"/>
    <x v="97"/>
    <n v="16747"/>
    <n v="3"/>
    <x v="1"/>
    <x v="2"/>
    <s v=" Sector 88A Gurgaon"/>
    <n v="0"/>
    <n v="0"/>
    <n v="3"/>
    <n v="10"/>
    <n v="3"/>
    <x v="1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x v="5"/>
    <s v="Todo bien"/>
    <x v="0"/>
    <x v="4"/>
    <n v="689.28205940466955"/>
    <x v="1"/>
    <x v="1"/>
    <s v="Pequeña"/>
    <x v="0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x v="3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x v="0"/>
    <s v="Todo bien"/>
    <x v="0"/>
    <x v="1"/>
    <n v="157.63579646561945"/>
    <x v="0"/>
    <x v="1"/>
    <s v="Pequeña"/>
    <x v="0"/>
    <n v="361.88178528347407"/>
  </r>
  <r>
    <s v="Signature Global City "/>
    <x v="32"/>
    <n v="11142"/>
    <n v="2"/>
    <x v="1"/>
    <x v="3"/>
    <s v=" Sector 92 Gurgaon"/>
    <n v="0"/>
    <n v="0"/>
    <n v="2"/>
    <n v="2"/>
    <n v="3"/>
    <x v="0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7800000"/>
    <n v="0.11142000000000001"/>
    <x v="1"/>
    <s v="Todo bien"/>
    <x v="0"/>
    <x v="2"/>
    <n v="304.94363283252272"/>
    <x v="0"/>
    <x v="0"/>
    <s v="Pequeña"/>
    <x v="1"/>
    <n v="700.05385029617662"/>
  </r>
  <r>
    <s v="Ramsons Kshitij"/>
    <x v="327"/>
    <n v="3911"/>
    <n v="2"/>
    <x v="8"/>
    <x v="2"/>
    <s v=" Sector 95 Gurgaon"/>
    <n v="0"/>
    <n v="0"/>
    <n v="2"/>
    <n v="14"/>
    <n v="1"/>
    <x v="0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x v="0"/>
    <s v="Todo bien"/>
    <x v="0"/>
    <x v="4"/>
    <n v="367.54815340577653"/>
    <x v="0"/>
    <x v="0"/>
    <s v="Pequeña"/>
    <x v="0"/>
    <n v="843.77397085144469"/>
  </r>
  <r>
    <s v="Eldeco Accolade"/>
    <x v="56"/>
    <n v="8043"/>
    <n v="2"/>
    <x v="1"/>
    <x v="4"/>
    <s v=" Sector-33 Sohna"/>
    <n v="0"/>
    <n v="0"/>
    <n v="2"/>
    <n v="0"/>
    <n v="2"/>
    <x v="0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2"/>
    <n v="649.9071255501658"/>
    <x v="1"/>
    <x v="0"/>
    <s v="Mediana"/>
    <x v="0"/>
    <n v="1491.9806042521448"/>
  </r>
  <r>
    <s v="om appartments"/>
    <x v="2"/>
    <n v="4444"/>
    <n v="3"/>
    <x v="1"/>
    <x v="0"/>
    <s v=" Ashok Vihar Phase 2"/>
    <n v="0"/>
    <n v="0"/>
    <n v="2"/>
    <n v="3"/>
    <n v="1"/>
    <x v="1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2"/>
    <n v="392.07943375337533"/>
    <x v="0"/>
    <x v="0"/>
    <s v="Pequeña"/>
    <x v="0"/>
    <n v="900.09000900090007"/>
  </r>
  <r>
    <s v="Bestech Park View Grand Spa"/>
    <x v="61"/>
    <n v="10714"/>
    <n v="4"/>
    <x v="1"/>
    <x v="0"/>
    <s v=" Sector 81 Gurgaon"/>
    <n v="0"/>
    <n v="0"/>
    <n v="6"/>
    <n v="17"/>
    <n v="3"/>
    <x v="2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x v="4"/>
    <s v="Todo bien"/>
    <x v="1"/>
    <x v="1"/>
    <n v="1829.5698423091258"/>
    <x v="3"/>
    <x v="3"/>
    <s v="Pequeña"/>
    <x v="3"/>
    <n v="4200.1120029867461"/>
  </r>
  <r>
    <s v="AVL  Gurgaon"/>
    <x v="29"/>
    <n v="7500"/>
    <n v="2"/>
    <x v="2"/>
    <x v="0"/>
    <s v=" Sector 36A Gurgaon"/>
    <n v="0"/>
    <n v="0"/>
    <n v="2"/>
    <n v="5"/>
    <n v="2"/>
    <x v="0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x v="1"/>
    <s v="Todo bien"/>
    <x v="1"/>
    <x v="0"/>
    <n v="435.60025090000005"/>
    <x v="0"/>
    <x v="0"/>
    <s v="Pequeña"/>
    <x v="0"/>
    <n v="1000"/>
  </r>
  <r>
    <s v="Breez Global Hill View"/>
    <x v="290"/>
    <n v="6315"/>
    <n v="2"/>
    <x v="0"/>
    <x v="2"/>
    <s v=" Sohna"/>
    <n v="0"/>
    <n v="0"/>
    <n v="2"/>
    <n v="14"/>
    <n v="2"/>
    <x v="0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x v="0"/>
    <s v="Todo bien"/>
    <x v="0"/>
    <x v="1"/>
    <n v="241.4253172050644"/>
    <x v="0"/>
    <x v="1"/>
    <s v="Pequeña"/>
    <x v="0"/>
    <n v="554.2359461599367"/>
  </r>
  <r>
    <s v="Umang Monsoon Breeze"/>
    <x v="29"/>
    <n v="6053"/>
    <n v="2"/>
    <x v="4"/>
    <x v="4"/>
    <s v=" Sector 78 Gurgaon"/>
    <n v="0"/>
    <n v="0"/>
    <n v="2"/>
    <n v="5"/>
    <n v="1"/>
    <x v="0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x v="1"/>
    <s v="Todo bien"/>
    <x v="0"/>
    <x v="2"/>
    <n v="539.73267499586836"/>
    <x v="1"/>
    <x v="0"/>
    <s v="Mediana"/>
    <x v="0"/>
    <n v="1239.0550140426235"/>
  </r>
  <r>
    <s v="Experion Windchants"/>
    <x v="142"/>
    <n v="11529"/>
    <n v="4"/>
    <x v="2"/>
    <x v="5"/>
    <s v=" Sector 112 Gurgaon"/>
    <n v="0"/>
    <n v="0"/>
    <n v="6"/>
    <n v="15"/>
    <n v="3"/>
    <x v="2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x v="4"/>
    <s v="Todo bien"/>
    <x v="1"/>
    <x v="5"/>
    <n v="2115.8482132361833"/>
    <x v="3"/>
    <x v="3"/>
    <s v="Muy grande"/>
    <x v="3"/>
    <n v="4857.3163327261691"/>
  </r>
  <r>
    <s v="Sare Green ParC Phase "/>
    <x v="13"/>
    <n v="4856"/>
    <n v="4"/>
    <x v="5"/>
    <x v="5"/>
    <s v=" Sector 92 Gurgaon"/>
    <n v="0"/>
    <n v="0"/>
    <n v="3"/>
    <n v="4"/>
    <n v="3"/>
    <x v="2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x v="1"/>
    <s v="Todo bien"/>
    <x v="0"/>
    <x v="1"/>
    <n v="852.18335740321174"/>
    <x v="1"/>
    <x v="2"/>
    <s v="Pequeña"/>
    <x v="1"/>
    <n v="1956.3426688632619"/>
  </r>
  <r>
    <s v="Lavanya Apartments"/>
    <x v="15"/>
    <n v="5056"/>
    <n v="3"/>
    <x v="1"/>
    <x v="4"/>
    <s v=" Sector 81 Gurgaon"/>
    <n v="0"/>
    <n v="0"/>
    <n v="3"/>
    <n v="7"/>
    <n v="0"/>
    <x v="1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x v="1"/>
    <s v="Todo bien"/>
    <x v="0"/>
    <x v="2"/>
    <n v="775.39601623813269"/>
    <x v="1"/>
    <x v="2"/>
    <s v="Mediana"/>
    <x v="0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x v="0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x v="1"/>
    <s v="Todo bien"/>
    <x v="0"/>
    <x v="2"/>
    <n v="260.06898452272236"/>
    <x v="0"/>
    <x v="1"/>
    <s v="Pequeña"/>
    <x v="0"/>
    <n v="597.03589239306029"/>
  </r>
  <r>
    <s v="Smart World Gems"/>
    <x v="56"/>
    <n v="8433"/>
    <n v="3"/>
    <x v="4"/>
    <x v="4"/>
    <s v=" Sector 89 Gurgaon"/>
    <n v="0"/>
    <n v="0"/>
    <n v="3"/>
    <n v="2"/>
    <n v="2"/>
    <x v="1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x v="2"/>
    <s v="Todo bien"/>
    <x v="0"/>
    <x v="2"/>
    <n v="619.85094400569108"/>
    <x v="1"/>
    <x v="0"/>
    <s v="Mediana"/>
    <x v="0"/>
    <n v="1422.9811454998221"/>
  </r>
  <r>
    <s v="DLF Royalton Tower"/>
    <x v="324"/>
    <n v="20687"/>
    <n v="4"/>
    <x v="1"/>
    <x v="5"/>
    <s v=" DLF Phase 5"/>
    <n v="0"/>
    <n v="0"/>
    <n v="4"/>
    <n v="9"/>
    <n v="3"/>
    <x v="2"/>
    <n v="15"/>
    <n v="1"/>
    <n v="0"/>
    <n v="0"/>
    <n v="0"/>
    <n v="2997.0512882486587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970512882486498E-2"/>
    <n v="62000000"/>
    <n v="0.20687"/>
    <x v="6"/>
    <s v="Todo bien"/>
    <x v="0"/>
    <x v="2"/>
    <n v="1305.5162931212801"/>
    <x v="1"/>
    <x v="3"/>
    <s v="Pequeña"/>
    <x v="2"/>
    <n v="2997.0512882486587"/>
  </r>
  <r>
    <s v="Unitech Heritage City"/>
    <x v="421"/>
    <n v="13108"/>
    <n v="4"/>
    <x v="1"/>
    <x v="4"/>
    <s v=" Mehrauli Gurgaon Road"/>
    <n v="0"/>
    <n v="0"/>
    <n v="4"/>
    <n v="9"/>
    <n v="0"/>
    <x v="2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x v="4"/>
    <s v="Todo bien"/>
    <x v="0"/>
    <x v="2"/>
    <n v="1415.667583791575"/>
    <x v="1"/>
    <x v="3"/>
    <s v="Muy grande"/>
    <x v="0"/>
    <n v="3249.9237107110162"/>
  </r>
  <r>
    <s v="Shapoorji Pallonji Joyville Gurugram"/>
    <x v="26"/>
    <n v="11700"/>
    <n v="2"/>
    <x v="1"/>
    <x v="5"/>
    <s v=" Sector 102 Gurgaon"/>
    <n v="0"/>
    <n v="0"/>
    <n v="2"/>
    <n v="14"/>
    <n v="3"/>
    <x v="0"/>
    <n v="14"/>
    <n v="0"/>
    <n v="0"/>
    <n v="0"/>
    <n v="0"/>
    <n v="1367.5213675213674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75213675213601E-2"/>
    <n v="16000000"/>
    <n v="0.11700000000000001"/>
    <x v="3"/>
    <s v="Todo bien"/>
    <x v="0"/>
    <x v="2"/>
    <n v="595.69265080341563"/>
    <x v="1"/>
    <x v="2"/>
    <s v="Mediana"/>
    <x v="0"/>
    <n v="1367.5213675213674"/>
  </r>
  <r>
    <s v="Krisumi Waterfall Residences"/>
    <x v="133"/>
    <n v="15551"/>
    <n v="2"/>
    <x v="1"/>
    <x v="4"/>
    <s v=" Sector 36A Gurgaon"/>
    <n v="0"/>
    <n v="0"/>
    <n v="2"/>
    <n v="23"/>
    <n v="2"/>
    <x v="0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x v="3"/>
    <s v="Todo bien"/>
    <x v="0"/>
    <x v="2"/>
    <n v="644.25475986752849"/>
    <x v="1"/>
    <x v="2"/>
    <s v="Mediana"/>
    <x v="0"/>
    <n v="1479.0045656227894"/>
  </r>
  <r>
    <s v="Birla Navya"/>
    <x v="139"/>
    <n v="15416"/>
    <n v="3"/>
    <x v="5"/>
    <x v="3"/>
    <s v=" Sector 63A Gurgaon"/>
    <n v="0"/>
    <n v="0"/>
    <n v="3"/>
    <n v="1"/>
    <n v="3"/>
    <x v="1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x v="5"/>
    <s v="Todo bien"/>
    <x v="0"/>
    <x v="3"/>
    <n v="1045.4858123572888"/>
    <x v="1"/>
    <x v="2"/>
    <s v="Pequeña"/>
    <x v="0"/>
    <n v="2400.1037882719256"/>
  </r>
  <r>
    <s v="Zara Aavaas"/>
    <x v="88"/>
    <n v="7302"/>
    <n v="1"/>
    <x v="1"/>
    <x v="2"/>
    <s v=" Sector 104 Gurgaon"/>
    <n v="0"/>
    <n v="0"/>
    <n v="2"/>
    <n v="2"/>
    <n v="2"/>
    <x v="3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x v="0"/>
    <s v="Todo bien"/>
    <x v="0"/>
    <x v="4"/>
    <n v="131.24083155025806"/>
    <x v="0"/>
    <x v="1"/>
    <s v="Pequeña"/>
    <x v="0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x v="0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x v="1"/>
    <s v="Todo bien"/>
    <x v="0"/>
    <x v="0"/>
    <n v="283.16376006500468"/>
    <x v="0"/>
    <x v="1"/>
    <s v="Pequeña"/>
    <x v="0"/>
    <n v="650.0541711809318"/>
  </r>
  <r>
    <s v="Zara Aavaas"/>
    <x v="328"/>
    <n v="6644"/>
    <n v="1"/>
    <x v="1"/>
    <x v="2"/>
    <s v=" Surat Nagar 1"/>
    <n v="0"/>
    <n v="0"/>
    <n v="2"/>
    <n v="3"/>
    <n v="2"/>
    <x v="3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x v="0"/>
    <s v="Todo bien"/>
    <x v="0"/>
    <x v="2"/>
    <n v="131.12590334135766"/>
    <x v="0"/>
    <x v="1"/>
    <s v="Pequeña"/>
    <x v="0"/>
    <n v="301.02347983142687"/>
  </r>
  <r>
    <s v="Smart World Gems"/>
    <x v="21"/>
    <n v="7796"/>
    <n v="2"/>
    <x v="2"/>
    <x v="2"/>
    <s v=" Sector 89 Gurgaon"/>
    <n v="0"/>
    <n v="0"/>
    <n v="3"/>
    <n v="4"/>
    <n v="2"/>
    <x v="0"/>
    <n v="4"/>
    <n v="1"/>
    <n v="1"/>
    <n v="1"/>
    <n v="0"/>
    <n v="1103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10312981015905E-2"/>
    <n v="8600000"/>
    <n v="7.7960000000000002E-2"/>
    <x v="1"/>
    <s v="Todo bien"/>
    <x v="1"/>
    <x v="3"/>
    <n v="480.5236220805516"/>
    <x v="0"/>
    <x v="0"/>
    <s v="Pequeña"/>
    <x v="0"/>
    <n v="1103.129810159056"/>
  </r>
  <r>
    <s v="Apartment"/>
    <x v="29"/>
    <n v="4687"/>
    <n v="3"/>
    <x v="4"/>
    <x v="5"/>
    <s v=" Sector 92 Gurgaon"/>
    <n v="0"/>
    <n v="0"/>
    <n v="4"/>
    <n v="2"/>
    <n v="3"/>
    <x v="1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x v="1"/>
    <s v="Todo bien"/>
    <x v="0"/>
    <x v="4"/>
    <n v="697.03475181352542"/>
    <x v="1"/>
    <x v="2"/>
    <s v="Pequeña"/>
    <x v="0"/>
    <n v="1600.170684873053"/>
  </r>
  <r>
    <s v="Vipul World Floors"/>
    <x v="285"/>
    <n v="13870"/>
    <n v="4"/>
    <x v="4"/>
    <x v="2"/>
    <s v=" Sector 48 Gurgaon"/>
    <n v="0"/>
    <n v="0"/>
    <n v="5"/>
    <n v="4"/>
    <n v="3"/>
    <x v="2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x v="4"/>
    <s v="Todo bien"/>
    <x v="0"/>
    <x v="1"/>
    <n v="1350.4549955803859"/>
    <x v="1"/>
    <x v="3"/>
    <s v="Pequeña"/>
    <x v="0"/>
    <n v="3100.2162941600577"/>
  </r>
  <r>
    <s v="Shree Vardhman Victoria"/>
    <x v="49"/>
    <n v="9743"/>
    <n v="3"/>
    <x v="2"/>
    <x v="2"/>
    <s v=" Sector 70 Gurgaon"/>
    <n v="0"/>
    <n v="0"/>
    <n v="3"/>
    <n v="10"/>
    <n v="3"/>
    <x v="1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x v="3"/>
    <s v="Todo bien"/>
    <x v="0"/>
    <x v="0"/>
    <n v="849.47190465975575"/>
    <x v="1"/>
    <x v="2"/>
    <s v="Pequeña"/>
    <x v="1"/>
    <n v="1950.1180334599198"/>
  </r>
  <r>
    <s v="ESS The Leafel Tower"/>
    <x v="18"/>
    <n v="12500"/>
    <n v="3"/>
    <x v="1"/>
    <x v="5"/>
    <s v=" Chakkarpur"/>
    <n v="0"/>
    <n v="0"/>
    <n v="4"/>
    <n v="3"/>
    <n v="3"/>
    <x v="1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x v="3"/>
    <s v="Todo bien"/>
    <x v="2"/>
    <x v="2"/>
    <n v="766.65644158400005"/>
    <x v="1"/>
    <x v="2"/>
    <s v="Pequeña"/>
    <x v="0"/>
    <n v="1760.0000000000002"/>
  </r>
  <r>
    <s v="Milan CGHS "/>
    <x v="6"/>
    <n v="8333"/>
    <n v="3"/>
    <x v="1"/>
    <x v="4"/>
    <s v=" Sector 39 Gurgaon"/>
    <n v="0"/>
    <n v="0"/>
    <n v="3"/>
    <n v="0"/>
    <n v="3"/>
    <x v="1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x v="3"/>
    <s v="Todo bien"/>
    <x v="0"/>
    <x v="2"/>
    <n v="1045.4824214568566"/>
    <x v="1"/>
    <x v="2"/>
    <s v="Grande"/>
    <x v="0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x v="0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x v="0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Ramsons Kshitij"/>
    <x v="2"/>
    <n v="5839"/>
    <n v="3"/>
    <x v="1"/>
    <x v="4"/>
    <s v=" Sector 95 Gurgaon"/>
    <n v="0"/>
    <n v="0"/>
    <n v="2"/>
    <n v="6"/>
    <n v="2"/>
    <x v="1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x v="0"/>
    <s v="Todo bien"/>
    <x v="0"/>
    <x v="2"/>
    <n v="298.40743339612817"/>
    <x v="0"/>
    <x v="0"/>
    <s v="Pequeña"/>
    <x v="0"/>
    <n v="685.04880972769308"/>
  </r>
  <r>
    <s v="Element One Service"/>
    <x v="50"/>
    <n v="11765"/>
    <n v="1"/>
    <x v="2"/>
    <x v="4"/>
    <s v=" Sispal Vihar"/>
    <n v="0"/>
    <n v="0"/>
    <n v="1"/>
    <n v="8"/>
    <n v="1"/>
    <x v="3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x v="1"/>
    <s v="Todo bien"/>
    <x v="0"/>
    <x v="2"/>
    <n v="370.25095699107237"/>
    <x v="0"/>
    <x v="0"/>
    <s v="Mediana"/>
    <x v="0"/>
    <n v="849.97875053123664"/>
  </r>
  <r>
    <s v="GLS Avenue "/>
    <x v="0"/>
    <n v="6000"/>
    <n v="3"/>
    <x v="2"/>
    <x v="0"/>
    <s v=" Sector 92 Gurgaon"/>
    <n v="0"/>
    <n v="0"/>
    <n v="3"/>
    <n v="10"/>
    <n v="1"/>
    <x v="1"/>
    <n v="12"/>
    <n v="0"/>
    <n v="0"/>
    <n v="0"/>
    <n v="0"/>
    <n v="750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x v="0"/>
    <s v="Todo bien"/>
    <x v="0"/>
    <x v="2"/>
    <n v="326.70018817499999"/>
    <x v="0"/>
    <x v="0"/>
    <s v="Pequeña"/>
    <x v="0"/>
    <n v="750"/>
  </r>
  <r>
    <s v="Breeze Global Heights"/>
    <x v="2"/>
    <n v="6421"/>
    <n v="2"/>
    <x v="1"/>
    <x v="4"/>
    <s v=" Sector 33 Gurgaon"/>
    <n v="0"/>
    <n v="0"/>
    <n v="2"/>
    <n v="4"/>
    <n v="2"/>
    <x v="0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x v="0"/>
    <s v="Todo bien"/>
    <x v="0"/>
    <x v="2"/>
    <n v="271.35975760784714"/>
    <x v="0"/>
    <x v="1"/>
    <s v="Pequeña"/>
    <x v="0"/>
    <n v="622.95592586824478"/>
  </r>
  <r>
    <s v="MM Skycity"/>
    <x v="151"/>
    <n v="17039"/>
    <n v="3"/>
    <x v="4"/>
    <x v="2"/>
    <s v=" Sector 65 Gurgaon"/>
    <n v="0"/>
    <n v="0"/>
    <n v="3"/>
    <n v="15"/>
    <n v="3"/>
    <x v="1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x v="5"/>
    <s v="Todo bien"/>
    <x v="1"/>
    <x v="5"/>
    <n v="894.77133526028274"/>
    <x v="1"/>
    <x v="2"/>
    <s v="Pequeña"/>
    <x v="0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x v="1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x v="2"/>
    <s v="Todo bien"/>
    <x v="0"/>
    <x v="0"/>
    <n v="669.69968485643005"/>
    <x v="1"/>
    <x v="2"/>
    <s v="Mediana"/>
    <x v="0"/>
    <n v="1537.4180420529053"/>
  </r>
  <r>
    <s v="Experion The Heartsong"/>
    <x v="257"/>
    <n v="7950"/>
    <n v="2"/>
    <x v="1"/>
    <x v="0"/>
    <s v=" Sector 108 Gurgaon"/>
    <n v="0"/>
    <n v="0"/>
    <n v="3"/>
    <n v="4"/>
    <n v="3"/>
    <x v="0"/>
    <n v="14"/>
    <n v="0"/>
    <n v="1"/>
    <n v="0"/>
    <n v="0"/>
    <n v="734.43"/>
    <n v="1283"/>
    <m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2830188679245199E-2"/>
    <n v="10200000"/>
    <n v="7.9500000000000001E-2"/>
    <x v="2"/>
    <s v="Todo bien"/>
    <x v="0"/>
    <x v="1"/>
    <n v="558.88334077735487"/>
    <x v="1"/>
    <x v="0"/>
    <s v="Mediana"/>
    <x v="0"/>
    <n v="1283.0188679245282"/>
  </r>
  <r>
    <s v="Breez Global Heights"/>
    <x v="2"/>
    <n v="6694"/>
    <n v="2"/>
    <x v="1"/>
    <x v="0"/>
    <s v=" Sohna"/>
    <n v="0"/>
    <n v="0"/>
    <n v="2"/>
    <n v="7"/>
    <n v="2"/>
    <x v="0"/>
    <n v="10"/>
    <n v="0"/>
    <n v="0"/>
    <n v="0"/>
    <n v="0"/>
    <n v="597.53"/>
    <m/>
    <n v="950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55004481625001E-3"/>
    <n v="4000000"/>
    <n v="6.694E-2"/>
    <x v="0"/>
    <s v="Todo bien"/>
    <x v="0"/>
    <x v="1"/>
    <n v="260.29294944726479"/>
    <x v="0"/>
    <x v="1"/>
    <s v="Pequeña"/>
    <x v="0"/>
    <n v="597.55004481625338"/>
  </r>
  <r>
    <s v="Conscient Elevate"/>
    <x v="135"/>
    <n v="16993"/>
    <n v="3"/>
    <x v="1"/>
    <x v="4"/>
    <s v=" Sector 59 Gurgaon"/>
    <n v="0"/>
    <n v="0"/>
    <n v="1"/>
    <n v="0"/>
    <n v="0"/>
    <x v="1"/>
    <n v="1"/>
    <n v="0"/>
    <n v="0"/>
    <n v="0"/>
    <n v="0"/>
    <n v="2295.0626728652974"/>
    <n v="229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267286529E-2"/>
    <n v="39000000"/>
    <n v="0.16993"/>
    <x v="5"/>
    <s v="Todo bien"/>
    <x v="0"/>
    <x v="2"/>
    <n v="999.72987613134501"/>
    <x v="1"/>
    <x v="2"/>
    <s v="Grande"/>
    <x v="0"/>
    <n v="2295.0626728652974"/>
  </r>
  <r>
    <s v="Smart World Orchard"/>
    <x v="422"/>
    <n v="14785"/>
    <n v="3"/>
    <x v="4"/>
    <x v="2"/>
    <s v=" Sector 61 Gurgaon"/>
    <n v="0"/>
    <n v="0"/>
    <n v="3"/>
    <n v="2"/>
    <n v="3"/>
    <x v="1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x v="3"/>
    <s v="Todo bien"/>
    <x v="0"/>
    <x v="2"/>
    <n v="710.04166700642156"/>
    <x v="1"/>
    <x v="2"/>
    <s v="Mediana"/>
    <x v="0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x v="0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x v="2"/>
    <s v="Todo bien"/>
    <x v="0"/>
    <x v="2"/>
    <n v="398.56951920645383"/>
    <x v="0"/>
    <x v="0"/>
    <s v="Mediana"/>
    <x v="0"/>
    <n v="914.98918649143241"/>
  </r>
  <r>
    <s v="Central Park Flower Valley"/>
    <x v="51"/>
    <n v="13270"/>
    <n v="3"/>
    <x v="1"/>
    <x v="4"/>
    <s v=" Sector-33 Sohna"/>
    <n v="0"/>
    <n v="0"/>
    <n v="3"/>
    <n v="1"/>
    <n v="2"/>
    <x v="1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x v="3"/>
    <s v="Todo bien"/>
    <x v="0"/>
    <x v="2"/>
    <n v="820.64855105501113"/>
    <x v="1"/>
    <x v="2"/>
    <s v="Pequeña"/>
    <x v="0"/>
    <n v="1883.9487565938205"/>
  </r>
  <r>
    <s v="MM Heights"/>
    <x v="425"/>
    <n v="13300"/>
    <n v="3"/>
    <x v="1"/>
    <x v="3"/>
    <s v=" Sector 65 Gurgaon"/>
    <n v="0"/>
    <n v="0"/>
    <n v="3"/>
    <n v="7"/>
    <n v="2"/>
    <x v="1"/>
    <n v="20"/>
    <n v="0"/>
    <n v="0"/>
    <n v="0"/>
    <n v="0"/>
    <n v="1834.5864661654134"/>
    <m/>
    <n v="1828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45864661654099E-2"/>
    <n v="24400000"/>
    <n v="0.13300000000000001"/>
    <x v="3"/>
    <s v="Todo bien"/>
    <x v="0"/>
    <x v="0"/>
    <n v="799.14632495939702"/>
    <x v="1"/>
    <x v="2"/>
    <s v="Pequeña"/>
    <x v="1"/>
    <n v="1834.5864661654134"/>
  </r>
  <r>
    <s v="Corona Gracieux"/>
    <x v="16"/>
    <n v="5949"/>
    <n v="3"/>
    <x v="2"/>
    <x v="0"/>
    <s v=" Sector 76 Gurgaon"/>
    <n v="0"/>
    <n v="0"/>
    <n v="3"/>
    <n v="7"/>
    <n v="3"/>
    <x v="1"/>
    <n v="13"/>
    <n v="0"/>
    <n v="0"/>
    <n v="0"/>
    <n v="0"/>
    <n v="1765.0025214321734"/>
    <m/>
    <n v="17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650025214321699E-2"/>
    <n v="10500000"/>
    <n v="5.9490000000000001E-2"/>
    <x v="2"/>
    <s v="Todo bien"/>
    <x v="1"/>
    <x v="5"/>
    <n v="768.83554117498591"/>
    <x v="1"/>
    <x v="2"/>
    <s v="Pequeña"/>
    <x v="1"/>
    <n v="1765.0025214321734"/>
  </r>
  <r>
    <s v="Dlf City"/>
    <x v="423"/>
    <n v="8080"/>
    <n v="4"/>
    <x v="1"/>
    <x v="2"/>
    <s v=" Shankar Vihar"/>
    <n v="0"/>
    <n v="0"/>
    <n v="3"/>
    <n v="2"/>
    <n v="1"/>
    <x v="2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x v="3"/>
    <s v="Todo bien"/>
    <x v="0"/>
    <x v="2"/>
    <n v="1089.0006272500002"/>
    <x v="1"/>
    <x v="2"/>
    <s v="Pequeña"/>
    <x v="2"/>
    <n v="2500"/>
  </r>
  <r>
    <s v="MVN Athens"/>
    <x v="72"/>
    <n v="7056"/>
    <n v="1"/>
    <x v="0"/>
    <x v="0"/>
    <s v=" Sohna"/>
    <n v="0"/>
    <n v="0"/>
    <n v="1"/>
    <n v="12"/>
    <n v="1"/>
    <x v="3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x v="0"/>
    <s v="Todo bien"/>
    <x v="1"/>
    <x v="3"/>
    <n v="148.16335064625474"/>
    <x v="0"/>
    <x v="1"/>
    <s v="Pequeña"/>
    <x v="0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x v="1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x v="4"/>
    <s v="Todo bien"/>
    <x v="0"/>
    <x v="0"/>
    <n v="925.54310405220474"/>
    <x v="1"/>
    <x v="2"/>
    <s v="Pequeña"/>
    <x v="2"/>
    <n v="2124.7533768401881"/>
  </r>
  <r>
    <s v="Signature Global City A"/>
    <x v="100"/>
    <n v="11336"/>
    <n v="2"/>
    <x v="4"/>
    <x v="3"/>
    <s v=" Sector 63A Gurgaon"/>
    <n v="0"/>
    <n v="0"/>
    <n v="2"/>
    <n v="3"/>
    <n v="2"/>
    <x v="0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x v="2"/>
    <s v="Todo bien"/>
    <x v="0"/>
    <x v="2"/>
    <n v="537.96784691249104"/>
    <x v="1"/>
    <x v="2"/>
    <s v="Pequeña"/>
    <x v="0"/>
    <n v="1235.0035285815102"/>
  </r>
  <r>
    <s v="Signature The Roselia"/>
    <x v="0"/>
    <n v="7908"/>
    <n v="2"/>
    <x v="4"/>
    <x v="2"/>
    <s v=" Sector 95A Gurgaon"/>
    <n v="0"/>
    <n v="0"/>
    <n v="2"/>
    <n v="2"/>
    <n v="2"/>
    <x v="0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x v="0"/>
    <s v="Todo bien"/>
    <x v="1"/>
    <x v="0"/>
    <n v="247.87571181714603"/>
    <x v="0"/>
    <x v="1"/>
    <s v="Pequeña"/>
    <x v="0"/>
    <n v="569.04400606980278"/>
  </r>
  <r>
    <s v="Smart World Gems"/>
    <x v="50"/>
    <n v="9007"/>
    <n v="2"/>
    <x v="1"/>
    <x v="2"/>
    <s v=" Sector 89 Gurgaon"/>
    <n v="0"/>
    <n v="0"/>
    <n v="2"/>
    <n v="3"/>
    <n v="3"/>
    <x v="0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x v="1"/>
    <s v="Todo bien"/>
    <x v="0"/>
    <x v="4"/>
    <n v="483.6241266792486"/>
    <x v="0"/>
    <x v="0"/>
    <s v="Pequeña"/>
    <x v="0"/>
    <n v="1110.2475852115022"/>
  </r>
  <r>
    <s v="ATS Triumph"/>
    <x v="6"/>
    <n v="8733"/>
    <n v="3"/>
    <x v="1"/>
    <x v="0"/>
    <s v=" Sector 104 Gurgaon"/>
    <n v="0"/>
    <n v="0"/>
    <n v="4"/>
    <n v="4"/>
    <n v="3"/>
    <x v="1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x v="3"/>
    <s v="Todo bien"/>
    <x v="0"/>
    <x v="1"/>
    <n v="997.59590266803673"/>
    <x v="1"/>
    <x v="2"/>
    <s v="Pequeña"/>
    <x v="2"/>
    <n v="2290.1637467078895"/>
  </r>
  <r>
    <s v="Silverglades The Melia"/>
    <x v="29"/>
    <n v="5555"/>
    <n v="2"/>
    <x v="1"/>
    <x v="5"/>
    <s v=" Sohna"/>
    <n v="0"/>
    <n v="0"/>
    <n v="2"/>
    <n v="4"/>
    <n v="2"/>
    <x v="0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x v="1"/>
    <s v="Todo bien"/>
    <x v="0"/>
    <x v="2"/>
    <n v="588.1191506300629"/>
    <x v="1"/>
    <x v="2"/>
    <s v="Mediana"/>
    <x v="0"/>
    <n v="1350.1350135013502"/>
  </r>
  <r>
    <s v="Vatika Sovereign Park"/>
    <x v="27"/>
    <n v="9672"/>
    <n v="4"/>
    <x v="1"/>
    <x v="2"/>
    <s v=" Sector 99 Gurgaon"/>
    <n v="0"/>
    <n v="0"/>
    <n v="4"/>
    <n v="2"/>
    <n v="3"/>
    <x v="2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x v="5"/>
    <s v="Todo bien"/>
    <x v="0"/>
    <x v="3"/>
    <n v="1463.7105204973116"/>
    <x v="1"/>
    <x v="3"/>
    <s v="Pequeña"/>
    <x v="3"/>
    <n v="3360.2150537634407"/>
  </r>
  <r>
    <s v="Eldeco Accolade"/>
    <x v="8"/>
    <n v="7549"/>
    <n v="2"/>
    <x v="1"/>
    <x v="0"/>
    <s v=" Sohna"/>
    <n v="0"/>
    <n v="0"/>
    <n v="2"/>
    <n v="17"/>
    <n v="3"/>
    <x v="0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x v="2"/>
    <s v="Todo bien"/>
    <x v="1"/>
    <x v="2"/>
    <n v="634.73344282686458"/>
    <x v="1"/>
    <x v="2"/>
    <s v="Pequeña"/>
    <x v="1"/>
    <n v="1457.1466419393296"/>
  </r>
  <r>
    <s v="Microtek Greenburg"/>
    <x v="59"/>
    <n v="9797"/>
    <n v="3"/>
    <x v="2"/>
    <x v="0"/>
    <s v=" Sector 86 Gurgaon"/>
    <n v="0"/>
    <n v="0"/>
    <n v="2"/>
    <n v="8"/>
    <n v="3"/>
    <x v="1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x v="2"/>
    <s v="Todo bien"/>
    <x v="2"/>
    <x v="4"/>
    <n v="644.70793488312506"/>
    <x v="1"/>
    <x v="0"/>
    <s v="Mediana"/>
    <x v="0"/>
    <n v="1480.0449117076655"/>
  </r>
  <r>
    <s v="Vatika Sovereign Park"/>
    <x v="34"/>
    <n v="9922"/>
    <n v="4"/>
    <x v="2"/>
    <x v="3"/>
    <s v=" Sector 99 Gurgaon"/>
    <n v="0"/>
    <n v="0"/>
    <n v="4"/>
    <n v="5"/>
    <n v="0"/>
    <x v="2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x v="5"/>
    <s v="Todo bien"/>
    <x v="0"/>
    <x v="0"/>
    <n v="1404.8788579721813"/>
    <x v="1"/>
    <x v="3"/>
    <s v="Muy grande"/>
    <x v="0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x v="0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x v="0"/>
    <s v="Todo bien"/>
    <x v="0"/>
    <x v="0"/>
    <n v="236.77143682565153"/>
    <x v="0"/>
    <x v="1"/>
    <s v="Pequeña"/>
    <x v="0"/>
    <n v="543.5521130588395"/>
  </r>
  <r>
    <s v="Smart World Gems"/>
    <x v="13"/>
    <n v="8600"/>
    <n v="2"/>
    <x v="1"/>
    <x v="2"/>
    <s v=" Sector 89 Gurgaon"/>
    <n v="0"/>
    <n v="0"/>
    <n v="2"/>
    <n v="4"/>
    <n v="2"/>
    <x v="0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x v="1"/>
    <s v="Todo bien"/>
    <x v="0"/>
    <x v="0"/>
    <n v="481.18632366860135"/>
    <x v="0"/>
    <x v="0"/>
    <s v="Pequeña"/>
    <x v="0"/>
    <n v="1104.6511627906978"/>
  </r>
  <r>
    <s v="Shapoorji Pallonji Joyville Gurugram"/>
    <x v="134"/>
    <n v="11447"/>
    <n v="3"/>
    <x v="3"/>
    <x v="2"/>
    <s v=" Sector 102 Gurgaon"/>
    <n v="0"/>
    <n v="0"/>
    <n v="3"/>
    <n v="9"/>
    <n v="3"/>
    <x v="1"/>
    <n v="26"/>
    <n v="0"/>
    <n v="0"/>
    <n v="0"/>
    <n v="0"/>
    <n v="1320"/>
    <m/>
    <n v="185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136280248099E-2"/>
    <n v="21200000"/>
    <n v="0.11447"/>
    <x v="3"/>
    <s v="Todo bien"/>
    <x v="0"/>
    <x v="4"/>
    <n v="806.73760103782649"/>
    <x v="1"/>
    <x v="2"/>
    <s v="Pequeña"/>
    <x v="1"/>
    <n v="1852.01362802481"/>
  </r>
  <r>
    <s v="Spaze Privvy The AddreSS The Leaf"/>
    <x v="59"/>
    <n v="8033"/>
    <n v="3"/>
    <x v="2"/>
    <x v="0"/>
    <s v=" Sector 93 Gurgaon"/>
    <n v="0"/>
    <n v="0"/>
    <n v="4"/>
    <n v="12"/>
    <n v="2"/>
    <x v="1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0505415162454E-2"/>
    <n v="14500000"/>
    <n v="8.0329999999999999E-2"/>
    <x v="2"/>
    <s v="Todo bien"/>
    <x v="2"/>
    <x v="3"/>
    <n v="786.28204133573638"/>
    <x v="1"/>
    <x v="0"/>
    <s v="Mediana"/>
    <x v="1"/>
    <n v="1805.0541516245487"/>
  </r>
  <r>
    <s v="Surendra Avenue "/>
    <x v="29"/>
    <n v="6818"/>
    <n v="2"/>
    <x v="1"/>
    <x v="5"/>
    <s v=" Sector 69 Gurgaon"/>
    <n v="0"/>
    <n v="0"/>
    <n v="2"/>
    <n v="4"/>
    <n v="2"/>
    <x v="0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x v="1"/>
    <s v="Todo bien"/>
    <x v="0"/>
    <x v="2"/>
    <n v="479.17305393810227"/>
    <x v="0"/>
    <x v="0"/>
    <s v="Mediana"/>
    <x v="0"/>
    <n v="1100.0293341155764"/>
  </r>
  <r>
    <s v="Godrej "/>
    <x v="6"/>
    <n v="8453"/>
    <n v="3"/>
    <x v="2"/>
    <x v="0"/>
    <s v=" Sector 79 Gurgaon"/>
    <n v="0"/>
    <n v="0"/>
    <n v="4"/>
    <n v="2"/>
    <n v="3"/>
    <x v="1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x v="3"/>
    <s v="Todo bien"/>
    <x v="1"/>
    <x v="5"/>
    <n v="1030.6406030994879"/>
    <x v="1"/>
    <x v="2"/>
    <s v="Pequeña"/>
    <x v="0"/>
    <n v="2366.0238968413582"/>
  </r>
  <r>
    <s v="DLF The Primus"/>
    <x v="151"/>
    <n v="13430"/>
    <n v="5"/>
    <x v="2"/>
    <x v="0"/>
    <s v=" Sector 82A Gurgaon"/>
    <n v="0"/>
    <n v="0"/>
    <n v="5"/>
    <n v="14"/>
    <n v="3"/>
    <x v="4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x v="5"/>
    <s v="Todo bien"/>
    <x v="2"/>
    <x v="1"/>
    <n v="1135.2203113551734"/>
    <x v="1"/>
    <x v="3"/>
    <s v="Pequeña"/>
    <x v="0"/>
    <n v="2606.1057334326133"/>
  </r>
  <r>
    <s v="DLF Regency Park "/>
    <x v="264"/>
    <n v="16608"/>
    <n v="2"/>
    <x v="1"/>
    <x v="2"/>
    <s v=" DLF Phase 4"/>
    <n v="0"/>
    <n v="0"/>
    <n v="2"/>
    <n v="11"/>
    <n v="2"/>
    <x v="0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x v="3"/>
    <s v="Todo bien"/>
    <x v="2"/>
    <x v="3"/>
    <n v="500.96127120604524"/>
    <x v="1"/>
    <x v="0"/>
    <s v="Pequeña"/>
    <x v="0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x v="1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x v="1"/>
    <s v="Todo bien"/>
    <x v="0"/>
    <x v="1"/>
    <n v="771.11037511063637"/>
    <x v="1"/>
    <x v="2"/>
    <s v="Pequeña"/>
    <x v="1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x v="1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x v="2"/>
    <s v="Todo bien"/>
    <x v="0"/>
    <x v="1"/>
    <n v="283.14623050422318"/>
    <x v="0"/>
    <x v="0"/>
    <s v="Pequeña"/>
    <x v="0"/>
    <n v="650.01392886990436"/>
  </r>
  <r>
    <s v="GLS Arawali Homes"/>
    <x v="290"/>
    <n v="7000"/>
    <n v="2"/>
    <x v="1"/>
    <x v="0"/>
    <s v=" Sohna"/>
    <n v="0"/>
    <n v="0"/>
    <n v="2"/>
    <n v="5"/>
    <n v="2"/>
    <x v="0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x v="0"/>
    <s v="Todo bien"/>
    <x v="0"/>
    <x v="0"/>
    <n v="217.80012545000002"/>
    <x v="0"/>
    <x v="1"/>
    <s v="Pequeña"/>
    <x v="0"/>
    <n v="499.99999999999994"/>
  </r>
  <r>
    <s v="Godrej Summit"/>
    <x v="30"/>
    <n v="9854"/>
    <n v="2"/>
    <x v="1"/>
    <x v="0"/>
    <s v=" Sector 104 Gurgaon"/>
    <n v="0"/>
    <n v="0"/>
    <n v="2"/>
    <n v="12"/>
    <n v="3"/>
    <x v="0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x v="1"/>
    <s v="Todo bien"/>
    <x v="0"/>
    <x v="5"/>
    <n v="362.48447913334434"/>
    <x v="0"/>
    <x v="1"/>
    <s v="Pequeña"/>
    <x v="0"/>
    <n v="832.14938096204583"/>
  </r>
  <r>
    <s v="Ashiana Anmol"/>
    <x v="83"/>
    <n v="11125"/>
    <n v="2"/>
    <x v="4"/>
    <x v="0"/>
    <s v=" Sohna"/>
    <n v="0"/>
    <n v="0"/>
    <n v="2"/>
    <n v="13"/>
    <n v="2"/>
    <x v="0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x v="1"/>
    <s v="Todo bien"/>
    <x v="1"/>
    <x v="5"/>
    <n v="344.56469284673886"/>
    <x v="0"/>
    <x v="0"/>
    <s v="Pequeña"/>
    <x v="1"/>
    <n v="791.01123595505612"/>
  </r>
  <r>
    <s v="MM Heights"/>
    <x v="49"/>
    <n v="13991"/>
    <n v="2"/>
    <x v="1"/>
    <x v="4"/>
    <s v=" Sector 65 Gurgaon"/>
    <n v="0"/>
    <n v="0"/>
    <n v="2"/>
    <n v="40"/>
    <n v="2"/>
    <x v="0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x v="3"/>
    <s v="Todo bien"/>
    <x v="0"/>
    <x v="2"/>
    <n v="591.55205254091823"/>
    <x v="1"/>
    <x v="2"/>
    <s v="Mediana"/>
    <x v="0"/>
    <n v="1358.015867343292"/>
  </r>
  <r>
    <s v="MVN Athens"/>
    <x v="79"/>
    <n v="5397"/>
    <n v="2"/>
    <x v="1"/>
    <x v="0"/>
    <s v=" Sohna"/>
    <n v="0"/>
    <n v="0"/>
    <n v="2"/>
    <n v="5"/>
    <n v="1"/>
    <x v="0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x v="0"/>
    <s v="Todo bien"/>
    <x v="0"/>
    <x v="3"/>
    <n v="209.85003749119639"/>
    <x v="0"/>
    <x v="1"/>
    <s v="Pequeña"/>
    <x v="0"/>
    <n v="481.74911988141565"/>
  </r>
  <r>
    <s v="GLS Arawali Homes"/>
    <x v="96"/>
    <n v="4687"/>
    <n v="2"/>
    <x v="4"/>
    <x v="2"/>
    <s v=" Sohna"/>
    <n v="0"/>
    <n v="0"/>
    <n v="2"/>
    <n v="1"/>
    <n v="2"/>
    <x v="0"/>
    <n v="13"/>
    <n v="0"/>
    <n v="0"/>
    <n v="0"/>
    <n v="0"/>
    <n v="576"/>
    <m/>
    <m/>
    <n v="0"/>
    <n v="0"/>
    <n v="1"/>
    <n v="0"/>
    <n v="1"/>
    <n v="0"/>
    <n v="0"/>
    <n v="1"/>
    <n v="1"/>
    <n v="0"/>
    <n v="0"/>
    <n v="0"/>
    <n v="1"/>
    <n v="1"/>
    <n v="0"/>
    <n v="0"/>
    <n v="1"/>
    <n v="1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6144655429001E-3"/>
    <n v="2700000"/>
    <n v="4.6870000000000002E-2"/>
    <x v="0"/>
    <s v="Todo bien"/>
    <x v="0"/>
    <x v="2"/>
    <n v="250.93251065286569"/>
    <x v="0"/>
    <x v="1"/>
    <s v="Pequeña"/>
    <x v="0"/>
    <n v="576.0614465542991"/>
  </r>
  <r>
    <s v="Signature Global City "/>
    <x v="309"/>
    <n v="8279"/>
    <n v="2"/>
    <x v="5"/>
    <x v="3"/>
    <s v=" Sector 81 Gurgaon"/>
    <n v="0"/>
    <n v="0"/>
    <n v="2"/>
    <n v="3"/>
    <n v="2"/>
    <x v="0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x v="1"/>
    <s v="Todo bien"/>
    <x v="1"/>
    <x v="2"/>
    <n v="468.27421584853056"/>
    <x v="0"/>
    <x v="0"/>
    <s v="Pequeña"/>
    <x v="0"/>
    <n v="1075.0090590651043"/>
  </r>
  <r>
    <s v="Ambience Caitriona"/>
    <x v="424"/>
    <n v="200000"/>
    <n v="4"/>
    <x v="4"/>
    <x v="4"/>
    <s v=" Sector 24 Gurgaon"/>
    <n v="0"/>
    <n v="0"/>
    <n v="5"/>
    <n v="3"/>
    <n v="3"/>
    <x v="2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x v="6"/>
    <s v="Todo bien"/>
    <x v="0"/>
    <x v="2"/>
    <n v="304.92017563000002"/>
    <x v="0"/>
    <x v="0"/>
    <s v="Pequeña"/>
    <x v="0"/>
    <n v="700"/>
  </r>
  <r>
    <s v="Ansal Heights "/>
    <x v="15"/>
    <n v="5325"/>
    <n v="3"/>
    <x v="1"/>
    <x v="2"/>
    <s v=" Sector 86 Gurgaon"/>
    <n v="0"/>
    <n v="0"/>
    <n v="3"/>
    <n v="10"/>
    <n v="2"/>
    <x v="1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x v="1"/>
    <s v="Todo bien"/>
    <x v="0"/>
    <x v="1"/>
    <n v="736.22577616901299"/>
    <x v="1"/>
    <x v="2"/>
    <s v="Mediana"/>
    <x v="0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x v="1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x v="2"/>
    <s v="Todo bien"/>
    <x v="0"/>
    <x v="2"/>
    <n v="866.78776409189175"/>
    <x v="1"/>
    <x v="2"/>
    <s v="Grande"/>
    <x v="0"/>
    <n v="1989.8697539797395"/>
  </r>
  <r>
    <s v="Smart World Gems"/>
    <x v="13"/>
    <n v="8903"/>
    <n v="2"/>
    <x v="4"/>
    <x v="3"/>
    <s v=" Sector 89 Gurgaon"/>
    <n v="0"/>
    <n v="0"/>
    <n v="2"/>
    <n v="1"/>
    <n v="2"/>
    <x v="0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x v="1"/>
    <s v="Todo bien"/>
    <x v="0"/>
    <x v="3"/>
    <n v="464.80988246096399"/>
    <x v="0"/>
    <x v="1"/>
    <s v="Pequeña"/>
    <x v="1"/>
    <n v="1067.0560485229698"/>
  </r>
  <r>
    <s v="Green Court"/>
    <x v="401"/>
    <n v="6811"/>
    <n v="2"/>
    <x v="4"/>
    <x v="2"/>
    <s v=" Sector 90 Gurgaon"/>
    <n v="0"/>
    <n v="0"/>
    <n v="2"/>
    <n v="0"/>
    <n v="1"/>
    <x v="0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x v="0"/>
    <s v="Todo bien"/>
    <x v="0"/>
    <x v="1"/>
    <n v="300.59039483629135"/>
    <x v="0"/>
    <x v="0"/>
    <s v="Pequeña"/>
    <x v="0"/>
    <n v="690.06019674056665"/>
  </r>
  <r>
    <s v="MVN Athens"/>
    <x v="96"/>
    <n v="5901"/>
    <n v="2"/>
    <x v="1"/>
    <x v="0"/>
    <s v=" Sohna"/>
    <n v="0"/>
    <n v="0"/>
    <n v="2"/>
    <n v="0"/>
    <n v="1"/>
    <x v="0"/>
    <n v="14"/>
    <n v="0"/>
    <n v="0"/>
    <n v="0"/>
    <n v="0"/>
    <n v="457.52"/>
    <m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1"/>
    <x v="0"/>
    <x v="1"/>
    <x v="0"/>
    <x v="0"/>
    <x v="1"/>
    <x v="1"/>
    <x v="0"/>
    <x v="0"/>
    <n v="1"/>
    <n v="0"/>
    <n v="0"/>
    <n v="2"/>
    <n v="1"/>
    <n v="0"/>
    <n v="0"/>
    <n v="0"/>
    <n v="1"/>
    <n v="0"/>
    <n v="0"/>
    <n v="1"/>
    <n v="0"/>
    <n v="0"/>
    <n v="1"/>
    <n v="1"/>
    <n v="1"/>
    <n v="0"/>
    <n v="0"/>
    <n v="0"/>
    <n v="0"/>
    <n v="0"/>
    <n v="0"/>
    <n v="2"/>
    <n v="4.5754956786984999E-3"/>
    <n v="2700000"/>
    <n v="5.901E-2"/>
    <x v="0"/>
    <s v="Todo bien"/>
    <x v="1"/>
    <x v="1"/>
    <n v="199.30870656329324"/>
    <x v="0"/>
    <x v="1"/>
    <s v="Pequeña"/>
    <x v="0"/>
    <n v="457.54956786985258"/>
  </r>
  <r>
    <s v="Supertech Araville"/>
    <x v="13"/>
    <n v="6209"/>
    <n v="2"/>
    <x v="2"/>
    <x v="2"/>
    <s v=" Sector 79 Gurgaon"/>
    <n v="0"/>
    <n v="0"/>
    <n v="2"/>
    <n v="7"/>
    <n v="3"/>
    <x v="0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x v="1"/>
    <s v="Todo bien"/>
    <x v="0"/>
    <x v="1"/>
    <n v="666.48451981800451"/>
    <x v="1"/>
    <x v="2"/>
    <s v="Pequeña"/>
    <x v="1"/>
    <n v="1530.0370430020937"/>
  </r>
  <r>
    <s v="Umang Monsoon Breeze"/>
    <x v="81"/>
    <n v="5284"/>
    <n v="3"/>
    <x v="1"/>
    <x v="5"/>
    <s v=" Sector 78 Gurgaon"/>
    <n v="0"/>
    <n v="0"/>
    <n v="3"/>
    <n v="9"/>
    <n v="3"/>
    <x v="1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x v="2"/>
    <s v="Todo bien"/>
    <x v="0"/>
    <x v="0"/>
    <n v="948.03234014950476"/>
    <x v="1"/>
    <x v="2"/>
    <s v="Pequeña"/>
    <x v="2"/>
    <n v="2176.3815291445876"/>
  </r>
  <r>
    <s v="ILD Greens"/>
    <x v="15"/>
    <n v="5614"/>
    <n v="3"/>
    <x v="2"/>
    <x v="3"/>
    <s v=" Sector 37C Gurgaon"/>
    <n v="0"/>
    <n v="0"/>
    <n v="3"/>
    <n v="0"/>
    <n v="3"/>
    <x v="1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x v="1"/>
    <s v="Todo bien"/>
    <x v="0"/>
    <x v="3"/>
    <n v="698.32601676166621"/>
    <x v="1"/>
    <x v="2"/>
    <s v="Mediana"/>
    <x v="1"/>
    <n v="1603.1350195938724"/>
  </r>
  <r>
    <s v="Brisk Lumbini Terrace Homes"/>
    <x v="78"/>
    <n v="6616"/>
    <n v="3"/>
    <x v="5"/>
    <x v="2"/>
    <s v=" Sector 109 Gurgaon"/>
    <n v="0"/>
    <n v="0"/>
    <n v="3"/>
    <n v="4"/>
    <n v="1"/>
    <x v="1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x v="2"/>
    <s v="Todo bien"/>
    <x v="0"/>
    <x v="0"/>
    <n v="987.6063729594897"/>
    <x v="1"/>
    <x v="2"/>
    <s v="Pequeña"/>
    <x v="0"/>
    <n v="2267.2309552599759"/>
  </r>
  <r>
    <s v="Bhagwati Sadan"/>
    <x v="81"/>
    <n v="5500"/>
    <n v="3"/>
    <x v="1"/>
    <x v="1"/>
    <s v=" Sector 12 Gurgaon"/>
    <n v="0"/>
    <n v="0"/>
    <n v="4"/>
    <n v="2"/>
    <n v="2"/>
    <x v="1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x v="2"/>
    <s v="Todo bien"/>
    <x v="0"/>
    <x v="2"/>
    <n v="910.80052460909064"/>
    <x v="1"/>
    <x v="2"/>
    <s v="Grande"/>
    <x v="0"/>
    <n v="2090.909090909091"/>
  </r>
  <r>
    <s v="ASS The Leafotech Blith"/>
    <x v="49"/>
    <n v="6702"/>
    <n v="4"/>
    <x v="2"/>
    <x v="4"/>
    <s v=" Sector 99 Gurgaon"/>
    <n v="0"/>
    <n v="0"/>
    <n v="4"/>
    <n v="2"/>
    <n v="3"/>
    <x v="2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x v="3"/>
    <s v="Todo bien"/>
    <x v="0"/>
    <x v="2"/>
    <n v="1234.9156620561023"/>
    <x v="1"/>
    <x v="3"/>
    <s v="Muy grande"/>
    <x v="0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Tulip Ivory"/>
    <x v="227"/>
    <n v="10416"/>
    <n v="6"/>
    <x v="1"/>
    <x v="0"/>
    <s v=" Sector 70 Gurgaon"/>
    <n v="0"/>
    <n v="0"/>
    <n v="7"/>
    <n v="0"/>
    <n v="3"/>
    <x v="5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x v="4"/>
    <s v="Todo bien"/>
    <x v="0"/>
    <x v="3"/>
    <n v="2091.0150292818703"/>
    <x v="3"/>
    <x v="3"/>
    <s v="Pequeña"/>
    <x v="0"/>
    <n v="4800.3072196620578"/>
  </r>
  <r>
    <s v="Antriksh Heights"/>
    <x v="28"/>
    <n v="5556"/>
    <n v="2"/>
    <x v="7"/>
    <x v="2"/>
    <s v=" Sector 84 Gurgaon"/>
    <n v="0"/>
    <n v="0"/>
    <n v="2"/>
    <n v="10"/>
    <n v="3"/>
    <x v="0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x v="1"/>
    <s v="Todo bien"/>
    <x v="0"/>
    <x v="2"/>
    <n v="666.41507067134341"/>
    <x v="1"/>
    <x v="2"/>
    <s v="Pequeña"/>
    <x v="1"/>
    <n v="1529.8776097912169"/>
  </r>
  <r>
    <s v="Sidhivinayak Apartments"/>
    <x v="49"/>
    <n v="10555"/>
    <n v="4"/>
    <x v="5"/>
    <x v="5"/>
    <s v=" Sector 55 Gurgaon"/>
    <n v="0"/>
    <n v="0"/>
    <n v="3"/>
    <n v="9"/>
    <n v="3"/>
    <x v="2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x v="3"/>
    <s v="Todo bien"/>
    <x v="2"/>
    <x v="1"/>
    <n v="784.12172118426975"/>
    <x v="1"/>
    <x v="2"/>
    <s v="Pequeña"/>
    <x v="0"/>
    <n v="1800.0947418285173"/>
  </r>
  <r>
    <s v="Krrish Florence Estate"/>
    <x v="71"/>
    <n v="7764"/>
    <n v="3"/>
    <x v="2"/>
    <x v="2"/>
    <s v=" Sector 70 Gurgaon"/>
    <n v="0"/>
    <n v="0"/>
    <n v="4"/>
    <n v="27"/>
    <n v="3"/>
    <x v="1"/>
    <n v="30"/>
    <n v="1"/>
    <n v="1"/>
    <n v="0"/>
    <n v="0"/>
    <n v="2125.193199381762"/>
    <m/>
    <n v="212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51931993817599E-2"/>
    <n v="16500000"/>
    <n v="7.7640000000000001E-2"/>
    <x v="3"/>
    <s v="Todo bien"/>
    <x v="0"/>
    <x v="4"/>
    <n v="925.73469086166847"/>
    <x v="1"/>
    <x v="2"/>
    <s v="Pequeña"/>
    <x v="2"/>
    <n v="2125.193199381762"/>
  </r>
  <r>
    <s v="La Vida by Tata Housing"/>
    <x v="128"/>
    <n v="12222"/>
    <n v="3"/>
    <x v="1"/>
    <x v="3"/>
    <s v=" Sector 113 Gurgaon"/>
    <n v="0"/>
    <n v="0"/>
    <n v="3"/>
    <n v="8"/>
    <n v="2"/>
    <x v="1"/>
    <n v="14"/>
    <n v="0"/>
    <n v="0"/>
    <n v="0"/>
    <n v="0"/>
    <n v="1579.1196203567338"/>
    <m/>
    <n v="157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1196203567299E-2"/>
    <n v="19300000"/>
    <n v="0.12222"/>
    <x v="3"/>
    <s v="Todo bien"/>
    <x v="0"/>
    <x v="2"/>
    <n v="687.86490282850434"/>
    <x v="1"/>
    <x v="2"/>
    <s v="Pequeña"/>
    <x v="1"/>
    <n v="1579.1196203567338"/>
  </r>
  <r>
    <s v="CHD Avenue "/>
    <x v="30"/>
    <n v="7083"/>
    <n v="2"/>
    <x v="1"/>
    <x v="5"/>
    <s v=" Sector 71 Gurgaon"/>
    <n v="0"/>
    <n v="0"/>
    <n v="2"/>
    <n v="6"/>
    <n v="2"/>
    <x v="0"/>
    <n v="15"/>
    <n v="0"/>
    <n v="0"/>
    <n v="0"/>
    <n v="0"/>
    <n v="1157.701538895948"/>
    <m/>
    <n v="1200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77015388959401E-2"/>
    <n v="8200000"/>
    <n v="7.0830000000000004E-2"/>
    <x v="1"/>
    <s v="Todo bien"/>
    <x v="0"/>
    <x v="2"/>
    <n v="504.29508081038762"/>
    <x v="1"/>
    <x v="0"/>
    <s v="Pequeña"/>
    <x v="1"/>
    <n v="1157.701538895948"/>
  </r>
  <r>
    <s v="GLS Arawali Homes"/>
    <x v="63"/>
    <n v="5982"/>
    <n v="2"/>
    <x v="1"/>
    <x v="0"/>
    <s v=" Sohna"/>
    <n v="0"/>
    <n v="0"/>
    <n v="2"/>
    <n v="3"/>
    <n v="2"/>
    <x v="0"/>
    <n v="13"/>
    <n v="0"/>
    <n v="0"/>
    <n v="0"/>
    <n v="0"/>
    <n v="46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4.6807087930457996E-3"/>
    <n v="2800000"/>
    <n v="5.9819999999999998E-2"/>
    <x v="0"/>
    <s v="Todo bien"/>
    <x v="0"/>
    <x v="1"/>
    <n v="203.89179246405865"/>
    <x v="0"/>
    <x v="1"/>
    <s v="Pequeña"/>
    <x v="0"/>
    <n v="468.07087930458044"/>
  </r>
  <r>
    <s v="Trisara Our Homes "/>
    <x v="240"/>
    <n v="4339"/>
    <n v="1"/>
    <x v="1"/>
    <x v="4"/>
    <s v=" Sohna"/>
    <n v="0"/>
    <n v="0"/>
    <n v="1"/>
    <n v="2"/>
    <n v="0"/>
    <x v="3"/>
    <n v="2"/>
    <n v="0"/>
    <n v="0"/>
    <n v="0"/>
    <n v="0"/>
    <n v="483.98248444342016"/>
    <n v="484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98248444342E-3"/>
    <n v="2100000"/>
    <n v="4.3389999999999998E-2"/>
    <x v="0"/>
    <s v="Todo bien"/>
    <x v="0"/>
    <x v="2"/>
    <n v="210.8228916547591"/>
    <x v="0"/>
    <x v="1"/>
    <s v="Pequeña"/>
    <x v="0"/>
    <n v="483.98248444342016"/>
  </r>
  <r>
    <s v="Ashiana Anmol"/>
    <x v="8"/>
    <n v="8627"/>
    <n v="2"/>
    <x v="2"/>
    <x v="4"/>
    <s v=" Sector 33 Gurgaon"/>
    <n v="0"/>
    <n v="0"/>
    <n v="2"/>
    <n v="4"/>
    <n v="2"/>
    <x v="0"/>
    <n v="4"/>
    <n v="0"/>
    <n v="0"/>
    <n v="0"/>
    <n v="0"/>
    <n v="795"/>
    <n v="12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666512113099E-2"/>
    <n v="11000000"/>
    <n v="8.6269999999999999E-2"/>
    <x v="2"/>
    <s v="Todo bien"/>
    <x v="0"/>
    <x v="2"/>
    <n v="555.41935318186938"/>
    <x v="1"/>
    <x v="0"/>
    <s v="Mediana"/>
    <x v="0"/>
    <n v="1275.0666512113132"/>
  </r>
  <r>
    <s v="Smart World Orchard"/>
    <x v="26"/>
    <n v="13913"/>
    <n v="2"/>
    <x v="1"/>
    <x v="3"/>
    <s v=" Sector 61 Gurgaon"/>
    <n v="0"/>
    <n v="0"/>
    <n v="2"/>
    <n v="3"/>
    <n v="2"/>
    <x v="0"/>
    <n v="4"/>
    <n v="0"/>
    <n v="1"/>
    <n v="0"/>
    <n v="0"/>
    <n v="1150"/>
    <m/>
    <m/>
    <n v="1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1"/>
    <n v="500.94185397829352"/>
    <x v="1"/>
    <x v="0"/>
    <s v="Pequeña"/>
    <x v="0"/>
    <n v="1150.0035937612304"/>
  </r>
  <r>
    <s v="Signature Global City"/>
    <x v="8"/>
    <n v="8800"/>
    <n v="3"/>
    <x v="1"/>
    <x v="3"/>
    <s v=" Sector 37D Gurgaon"/>
    <n v="0"/>
    <n v="0"/>
    <n v="3"/>
    <n v="1"/>
    <n v="3"/>
    <x v="1"/>
    <n v="4"/>
    <n v="0"/>
    <n v="0"/>
    <n v="0"/>
    <n v="0"/>
    <n v="125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1000000"/>
    <n v="8.7999999999999995E-2"/>
    <x v="2"/>
    <s v="Todo bien"/>
    <x v="0"/>
    <x v="2"/>
    <n v="544.5003136250001"/>
    <x v="1"/>
    <x v="2"/>
    <s v="Pequeña"/>
    <x v="0"/>
    <n v="1250"/>
  </r>
  <r>
    <s v="MM Capital"/>
    <x v="27"/>
    <n v="14142"/>
    <n v="4"/>
    <x v="1"/>
    <x v="3"/>
    <s v=" Sector 113 Gurgaon"/>
    <n v="0"/>
    <n v="0"/>
    <n v="4"/>
    <n v="34"/>
    <n v="3"/>
    <x v="2"/>
    <n v="34"/>
    <n v="1"/>
    <n v="1"/>
    <n v="1"/>
    <n v="0"/>
    <n v="2298"/>
    <m/>
    <m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81190779239099E-2"/>
    <n v="32500000"/>
    <n v="0.14141999999999999"/>
    <x v="5"/>
    <s v="Todo bien"/>
    <x v="1"/>
    <x v="5"/>
    <n v="1001.0612469417318"/>
    <x v="1"/>
    <x v="2"/>
    <s v="Pequeña"/>
    <x v="0"/>
    <n v="2298.1190779239146"/>
  </r>
  <r>
    <s v="Indiabulls Centrum Park"/>
    <x v="56"/>
    <n v="8432"/>
    <n v="2"/>
    <x v="2"/>
    <x v="5"/>
    <s v=" Sector 103 Gurgaon"/>
    <n v="0"/>
    <n v="0"/>
    <n v="2"/>
    <n v="3"/>
    <n v="3"/>
    <x v="0"/>
    <n v="10"/>
    <n v="0"/>
    <n v="0"/>
    <n v="0"/>
    <n v="0"/>
    <n v="1423.1499051233395"/>
    <m/>
    <n v="1423"/>
    <n v="0"/>
    <n v="0"/>
    <n v="0"/>
    <n v="0"/>
    <n v="0"/>
    <n v="0"/>
    <n v="0"/>
    <n v="1"/>
    <n v="0"/>
    <n v="1"/>
    <n v="1"/>
    <n v="0"/>
    <n v="1"/>
    <n v="1"/>
    <n v="0"/>
    <n v="0"/>
    <n v="0"/>
    <n v="1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0"/>
    <n v="619.92445574003375"/>
    <x v="1"/>
    <x v="2"/>
    <s v="Pequeña"/>
    <x v="1"/>
    <n v="1423.1499051233395"/>
  </r>
  <r>
    <s v="Trisara Our Homes "/>
    <x v="94"/>
    <n v="6312"/>
    <n v="2"/>
    <x v="1"/>
    <x v="4"/>
    <s v=" Sohna"/>
    <n v="0"/>
    <n v="0"/>
    <n v="2"/>
    <n v="1"/>
    <n v="2"/>
    <x v="0"/>
    <n v="1"/>
    <n v="0"/>
    <n v="0"/>
    <n v="0"/>
    <n v="0"/>
    <n v="602.02788339670474"/>
    <n v="60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2788339670001E-3"/>
    <n v="3800000"/>
    <n v="6.3119999999999996E-2"/>
    <x v="0"/>
    <s v="Todo bien"/>
    <x v="0"/>
    <x v="2"/>
    <n v="262.2434970563985"/>
    <x v="0"/>
    <x v="0"/>
    <s v="Pequeña"/>
    <x v="0"/>
    <n v="602.02788339670474"/>
  </r>
  <r>
    <s v="Smart World Orchard"/>
    <x v="158"/>
    <n v="15800"/>
    <n v="3"/>
    <x v="1"/>
    <x v="2"/>
    <s v=" Sector 61 Gurgaon"/>
    <n v="0"/>
    <n v="0"/>
    <n v="3"/>
    <n v="3"/>
    <n v="3"/>
    <x v="1"/>
    <n v="4"/>
    <n v="1"/>
    <n v="1"/>
    <n v="0"/>
    <n v="0"/>
    <n v="939.37"/>
    <m/>
    <n v="1549"/>
    <n v="0"/>
    <n v="0"/>
    <n v="1"/>
    <n v="1"/>
    <n v="0"/>
    <n v="1"/>
    <n v="0"/>
    <n v="1"/>
    <n v="1"/>
    <n v="1"/>
    <n v="1"/>
    <n v="1"/>
    <n v="1"/>
    <n v="0"/>
    <n v="1"/>
    <n v="1"/>
    <n v="1"/>
    <n v="56"/>
    <x v="0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506329113924E-2"/>
    <n v="24500000.000000004"/>
    <n v="0.158"/>
    <x v="3"/>
    <s v="Todo bien"/>
    <x v="1"/>
    <x v="5"/>
    <n v="675.4560852563269"/>
    <x v="1"/>
    <x v="0"/>
    <s v="Pequeña"/>
    <x v="1"/>
    <n v="1550.6329113924053"/>
  </r>
  <r>
    <s v="Smart World Gems"/>
    <x v="28"/>
    <n v="7706"/>
    <n v="2"/>
    <x v="2"/>
    <x v="3"/>
    <s v=" Sector 89 Gurgaon"/>
    <n v="0"/>
    <n v="0"/>
    <n v="2"/>
    <n v="2"/>
    <n v="2"/>
    <x v="0"/>
    <n v="4"/>
    <n v="0"/>
    <n v="1"/>
    <n v="0"/>
    <n v="0"/>
    <n v="110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659486114E-2"/>
    <n v="8500000"/>
    <n v="7.7060000000000003E-2"/>
    <x v="1"/>
    <s v="Todo bien"/>
    <x v="0"/>
    <x v="2"/>
    <n v="480.48301747339428"/>
    <x v="0"/>
    <x v="0"/>
    <s v="Pequeña"/>
    <x v="0"/>
    <n v="1103.036594861147"/>
  </r>
  <r>
    <s v="DLF Royalton Tower"/>
    <x v="156"/>
    <n v="22108"/>
    <n v="4"/>
    <x v="0"/>
    <x v="0"/>
    <s v=" DLF Phase 5"/>
    <n v="0"/>
    <n v="0"/>
    <n v="5"/>
    <n v="8"/>
    <n v="2"/>
    <x v="2"/>
    <n v="19"/>
    <n v="1"/>
    <n v="0"/>
    <n v="0"/>
    <n v="0"/>
    <n v="2940.1121765876605"/>
    <m/>
    <n v="294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401121765876601E-2"/>
    <n v="65000000"/>
    <n v="0.22108"/>
    <x v="6"/>
    <s v="Todo bien"/>
    <x v="0"/>
    <x v="2"/>
    <n v="1280.7136017957298"/>
    <x v="1"/>
    <x v="3"/>
    <s v="Pequeña"/>
    <x v="2"/>
    <n v="2940.1121765876605"/>
  </r>
  <r>
    <s v="Ashok vihar phase "/>
    <x v="63"/>
    <n v="4307"/>
    <n v="2"/>
    <x v="5"/>
    <x v="0"/>
    <s v=" Ashok Vihar Phase 2"/>
    <n v="0"/>
    <n v="0"/>
    <n v="2"/>
    <n v="3"/>
    <n v="1"/>
    <x v="0"/>
    <n v="4"/>
    <n v="0"/>
    <n v="0"/>
    <n v="0"/>
    <n v="0"/>
    <n v="550"/>
    <m/>
    <n v="650"/>
    <n v="0"/>
    <n v="0"/>
    <n v="1"/>
    <n v="1"/>
    <n v="0"/>
    <n v="0"/>
    <n v="0"/>
    <n v="1"/>
    <n v="1"/>
    <n v="1"/>
    <n v="0"/>
    <n v="1"/>
    <n v="1"/>
    <n v="1"/>
    <n v="1"/>
    <n v="1"/>
    <n v="0"/>
    <n v="41"/>
    <x v="0"/>
    <x v="0"/>
    <x v="0"/>
    <x v="1"/>
    <x v="0"/>
    <x v="0"/>
    <x v="0"/>
    <x v="0"/>
    <x v="0"/>
    <n v="0"/>
    <n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x v="0"/>
    <s v="Todo bien"/>
    <x v="0"/>
    <x v="4"/>
    <n v="283.18567506849053"/>
    <x v="0"/>
    <x v="1"/>
    <s v="Pequeña"/>
    <x v="0"/>
    <n v="650.104481077316"/>
  </r>
  <r>
    <s v="Ardee City"/>
    <x v="46"/>
    <n v="7381"/>
    <n v="4"/>
    <x v="1"/>
    <x v="5"/>
    <s v=" Sector 52 Gurgaon"/>
    <n v="0"/>
    <n v="0"/>
    <n v="4"/>
    <n v="1"/>
    <n v="3"/>
    <x v="2"/>
    <n v="1"/>
    <n v="0"/>
    <n v="0"/>
    <n v="0"/>
    <n v="0"/>
    <n v="1600"/>
    <n v="21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998645170031E-2"/>
    <n v="15500000"/>
    <n v="7.3810000000000001E-2"/>
    <x v="3"/>
    <s v="Todo bien"/>
    <x v="0"/>
    <x v="2"/>
    <n v="914.75462524725583"/>
    <x v="1"/>
    <x v="2"/>
    <s v="Grande"/>
    <x v="0"/>
    <n v="2099.9864517003116"/>
  </r>
  <r>
    <s v="Unitech Vistas"/>
    <x v="426"/>
    <n v="57507"/>
    <n v="3"/>
    <x v="1"/>
    <x v="4"/>
    <s v=" Sector 70 Gurgaon"/>
    <n v="0"/>
    <n v="0"/>
    <n v="3"/>
    <n v="7"/>
    <n v="0"/>
    <x v="1"/>
    <n v="7"/>
    <n v="0"/>
    <n v="0"/>
    <n v="0"/>
    <n v="0"/>
    <n v="1565.0268662945382"/>
    <n v="156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0268662945301E-2"/>
    <n v="90000000"/>
    <n v="0.57506999999999997"/>
    <x v="6"/>
    <s v="Todo bien"/>
    <x v="0"/>
    <x v="2"/>
    <n v="681.72609562313812"/>
    <x v="1"/>
    <x v="2"/>
    <s v="Mediana"/>
    <x v="0"/>
    <n v="1565.0268662945382"/>
  </r>
  <r>
    <s v="Valley View Estate"/>
    <x v="78"/>
    <n v="7489"/>
    <n v="4"/>
    <x v="2"/>
    <x v="5"/>
    <s v=" Valley View Estate"/>
    <n v="0"/>
    <n v="0"/>
    <n v="4"/>
    <n v="10"/>
    <n v="3"/>
    <x v="2"/>
    <n v="18"/>
    <n v="0"/>
    <n v="0"/>
    <n v="0"/>
    <n v="0"/>
    <n v="1650"/>
    <n v="1850"/>
    <n v="2000"/>
    <n v="0"/>
    <n v="0"/>
    <n v="0"/>
    <n v="0"/>
    <n v="0"/>
    <n v="0"/>
    <n v="1"/>
    <n v="1"/>
    <n v="0"/>
    <n v="1"/>
    <n v="0"/>
    <n v="1"/>
    <n v="1"/>
    <n v="1"/>
    <n v="1"/>
    <n v="1"/>
    <n v="1"/>
    <n v="23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29376418747399E-2"/>
    <n v="15000000"/>
    <n v="7.4889999999999998E-2"/>
    <x v="2"/>
    <s v="Todo bien"/>
    <x v="0"/>
    <x v="1"/>
    <n v="872.48013933769107"/>
    <x v="1"/>
    <x v="2"/>
    <s v="Grande"/>
    <x v="1"/>
    <n v="2002.9376418747497"/>
  </r>
  <r>
    <s v="Supertech Araville"/>
    <x v="42"/>
    <n v="5266"/>
    <n v="2"/>
    <x v="1"/>
    <x v="2"/>
    <s v=" Sector 79 Gurgaon"/>
    <n v="0"/>
    <n v="0"/>
    <n v="2"/>
    <n v="12"/>
    <n v="2"/>
    <x v="0"/>
    <n v="14"/>
    <n v="0"/>
    <n v="1"/>
    <n v="0"/>
    <n v="0"/>
    <n v="151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1917964299278E-2"/>
    <n v="8000000"/>
    <n v="5.2659999999999998E-2"/>
    <x v="1"/>
    <s v="Todo bien"/>
    <x v="0"/>
    <x v="1"/>
    <n v="661.75503364982751"/>
    <x v="1"/>
    <x v="2"/>
    <s v="Pequeña"/>
    <x v="0"/>
    <n v="1519.179642992784"/>
  </r>
  <r>
    <s v="Sare Petioles"/>
    <x v="282"/>
    <n v="5250"/>
    <n v="4"/>
    <x v="1"/>
    <x v="3"/>
    <s v=" Sector 92 Gurgaon"/>
    <n v="0"/>
    <n v="0"/>
    <n v="3"/>
    <n v="9"/>
    <n v="3"/>
    <x v="2"/>
    <n v="12"/>
    <n v="1"/>
    <n v="0"/>
    <n v="0"/>
    <n v="0"/>
    <n v="2323.8095238095239"/>
    <n v="2093"/>
    <m/>
    <n v="0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380952380952E-2"/>
    <n v="12200000"/>
    <n v="5.2499999999999998E-2"/>
    <x v="2"/>
    <s v="Todo bien"/>
    <x v="0"/>
    <x v="4"/>
    <n v="1012.2520116152365"/>
    <x v="1"/>
    <x v="2"/>
    <s v="Grande"/>
    <x v="0"/>
    <n v="2323.8095238095239"/>
  </r>
  <r>
    <s v="MRG World Ultimus"/>
    <x v="1"/>
    <n v="6983"/>
    <n v="2"/>
    <x v="2"/>
    <x v="3"/>
    <s v=" Sector 90 Gurgaon"/>
    <n v="0"/>
    <n v="0"/>
    <n v="2"/>
    <n v="1"/>
    <n v="2"/>
    <x v="0"/>
    <n v="14"/>
    <n v="0"/>
    <n v="0"/>
    <n v="0"/>
    <n v="0"/>
    <n v="716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x v="1"/>
    <s v="Todo bien"/>
    <x v="0"/>
    <x v="0"/>
    <n v="311.90050902190825"/>
    <x v="0"/>
    <x v="0"/>
    <s v="Pequeña"/>
    <x v="0"/>
    <n v="716.02463124731491"/>
  </r>
  <r>
    <s v="ASS The Leafotech Blith"/>
    <x v="119"/>
    <n v="6739"/>
    <n v="2"/>
    <x v="1"/>
    <x v="3"/>
    <s v=" Sector 99 Gurgaon"/>
    <n v="0"/>
    <n v="0"/>
    <n v="2"/>
    <n v="22"/>
    <n v="3"/>
    <x v="0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x v="1"/>
    <s v="Todo bien"/>
    <x v="0"/>
    <x v="1"/>
    <n v="594.67611044368596"/>
    <x v="1"/>
    <x v="2"/>
    <s v="Pequeña"/>
    <x v="1"/>
    <n v="1365.1877133105802"/>
  </r>
  <r>
    <s v="Supertech Araville"/>
    <x v="120"/>
    <n v="6061"/>
    <n v="2"/>
    <x v="5"/>
    <x v="2"/>
    <s v=" Sector 79 Gurgaon"/>
    <n v="0"/>
    <n v="0"/>
    <n v="2"/>
    <n v="17"/>
    <n v="3"/>
    <x v="0"/>
    <n v="17"/>
    <n v="0"/>
    <n v="0"/>
    <n v="0"/>
    <n v="0"/>
    <n v="1250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x v="1"/>
    <s v="Todo bien"/>
    <x v="1"/>
    <x v="3"/>
    <n v="513.8659947096146"/>
    <x v="1"/>
    <x v="2"/>
    <s v="Pequeña"/>
    <x v="1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x v="0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x v="1"/>
    <s v="Todo bien"/>
    <x v="0"/>
    <x v="3"/>
    <n v="592.86081744827698"/>
    <x v="1"/>
    <x v="2"/>
    <s v="Pequeña"/>
    <x v="1"/>
    <n v="1361.0203764193498"/>
  </r>
  <r>
    <s v="Paras Dews"/>
    <x v="12"/>
    <n v="8940"/>
    <n v="4"/>
    <x v="1"/>
    <x v="1"/>
    <s v=" Sector 106 Gurgaon"/>
    <n v="0"/>
    <n v="0"/>
    <n v="3"/>
    <n v="19"/>
    <n v="3"/>
    <x v="2"/>
    <n v="24"/>
    <n v="1"/>
    <n v="0"/>
    <n v="0"/>
    <n v="0"/>
    <n v="151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00671140939499E-2"/>
    <n v="13500000"/>
    <n v="8.9399999999999993E-2"/>
    <x v="2"/>
    <s v="Todo bien"/>
    <x v="0"/>
    <x v="4"/>
    <n v="657.7856137751636"/>
    <x v="1"/>
    <x v="2"/>
    <s v="Pequeña"/>
    <x v="0"/>
    <n v="1510.0671140939598"/>
  </r>
  <r>
    <s v="Mapsko Casa Bella"/>
    <x v="43"/>
    <n v="6377"/>
    <n v="3"/>
    <x v="1"/>
    <x v="3"/>
    <s v=" Sector 82 Gurgaon"/>
    <n v="0"/>
    <n v="0"/>
    <n v="4"/>
    <n v="8"/>
    <n v="3"/>
    <x v="1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x v="2"/>
    <s v="Todo bien"/>
    <x v="0"/>
    <x v="2"/>
    <n v="853.85026442684398"/>
    <x v="1"/>
    <x v="2"/>
    <s v="Pequeña"/>
    <x v="1"/>
    <n v="1960.169358632586"/>
  </r>
  <r>
    <s v="Unitech Uniworld Gardens "/>
    <x v="16"/>
    <n v="10531"/>
    <n v="2"/>
    <x v="2"/>
    <x v="0"/>
    <s v=" Sector 47 Gurgaon"/>
    <n v="0"/>
    <n v="0"/>
    <n v="2"/>
    <n v="3"/>
    <n v="2"/>
    <x v="0"/>
    <n v="14"/>
    <n v="0"/>
    <n v="0"/>
    <n v="0"/>
    <n v="0"/>
    <n v="997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x v="2"/>
    <s v="Todo bien"/>
    <x v="1"/>
    <x v="0"/>
    <n v="434.3179787721939"/>
    <x v="0"/>
    <x v="0"/>
    <s v="Pequeña"/>
    <x v="0"/>
    <n v="997.05630994207581"/>
  </r>
  <r>
    <s v="ILD Grand"/>
    <x v="123"/>
    <n v="5038"/>
    <n v="2"/>
    <x v="1"/>
    <x v="4"/>
    <s v=" Sector 37C Gurgaon"/>
    <n v="0"/>
    <n v="0"/>
    <n v="2"/>
    <n v="14"/>
    <n v="3"/>
    <x v="0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x v="1"/>
    <s v="Todo bien"/>
    <x v="0"/>
    <x v="2"/>
    <n v="570.65535052401719"/>
    <x v="1"/>
    <x v="2"/>
    <s v="Mediana"/>
    <x v="0"/>
    <n v="1310.0436681222707"/>
  </r>
  <r>
    <s v="Unitech Vistas"/>
    <x v="124"/>
    <n v="4800"/>
    <n v="2"/>
    <x v="1"/>
    <x v="3"/>
    <s v=" Sector 70 Gurgaon"/>
    <n v="0"/>
    <n v="0"/>
    <n v="2"/>
    <n v="9"/>
    <n v="2"/>
    <x v="0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x v="1"/>
    <s v="Todo bien"/>
    <x v="0"/>
    <x v="2"/>
    <n v="476.98227473550003"/>
    <x v="0"/>
    <x v="0"/>
    <s v="Pequeña"/>
    <x v="1"/>
    <n v="1095"/>
  </r>
  <r>
    <s v="Ramprastha The Edge Towers"/>
    <x v="42"/>
    <n v="5797"/>
    <n v="2"/>
    <x v="2"/>
    <x v="0"/>
    <s v=" Sector 37D Gurgaon"/>
    <n v="0"/>
    <n v="0"/>
    <n v="2"/>
    <n v="2"/>
    <n v="3"/>
    <x v="0"/>
    <n v="17"/>
    <n v="0"/>
    <n v="0"/>
    <n v="0"/>
    <n v="0"/>
    <n v="1200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x v="1"/>
    <s v="Todo bien"/>
    <x v="0"/>
    <x v="1"/>
    <n v="601.13886617215701"/>
    <x v="1"/>
    <x v="0"/>
    <s v="Mediana"/>
    <x v="1"/>
    <n v="1380.0241504226324"/>
  </r>
  <r>
    <s v="Smart World Gems"/>
    <x v="125"/>
    <n v="12000"/>
    <n v="3"/>
    <x v="1"/>
    <x v="4"/>
    <s v=" Sector 89 Gurgaon"/>
    <n v="0"/>
    <n v="0"/>
    <n v="2"/>
    <n v="3"/>
    <n v="0"/>
    <x v="1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x v="3"/>
    <s v="Todo bien"/>
    <x v="0"/>
    <x v="2"/>
    <n v="620.73035753250008"/>
    <x v="1"/>
    <x v="2"/>
    <s v="Mediana"/>
    <x v="0"/>
    <n v="1425"/>
  </r>
  <r>
    <s v="Sapphire Eighty Three"/>
    <x v="53"/>
    <n v="9286"/>
    <n v="1"/>
    <x v="1"/>
    <x v="4"/>
    <s v=" Sector 83 Gurgaon"/>
    <n v="0"/>
    <n v="0"/>
    <n v="1"/>
    <n v="6"/>
    <n v="0"/>
    <x v="3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x v="1"/>
    <s v="Todo bien"/>
    <x v="0"/>
    <x v="2"/>
    <n v="304.91079375942149"/>
    <x v="0"/>
    <x v="0"/>
    <s v="Pequeña"/>
    <x v="0"/>
    <n v="699.9784622011631"/>
  </r>
  <r>
    <s v="Pareena Coban Residences"/>
    <x v="35"/>
    <n v="6510"/>
    <n v="3"/>
    <x v="1"/>
    <x v="4"/>
    <s v=" Sector 99A Gurgaon"/>
    <n v="0"/>
    <n v="0"/>
    <n v="3"/>
    <n v="16"/>
    <n v="0"/>
    <x v="1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x v="2"/>
    <s v="Todo bien"/>
    <x v="0"/>
    <x v="2"/>
    <n v="869.86225218125685"/>
    <x v="1"/>
    <x v="2"/>
    <s v="Grande"/>
    <x v="0"/>
    <n v="1996.9278033794162"/>
  </r>
  <r>
    <s v="Sare Crescent Parc"/>
    <x v="30"/>
    <n v="5384"/>
    <n v="3"/>
    <x v="0"/>
    <x v="4"/>
    <s v=" Sector 92 Gurgaon"/>
    <n v="0"/>
    <n v="0"/>
    <n v="3"/>
    <n v="12"/>
    <n v="3"/>
    <x v="1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2"/>
    <n v="663.43277440193094"/>
    <x v="1"/>
    <x v="2"/>
    <s v="Mediana"/>
    <x v="0"/>
    <n v="1523.0312035661218"/>
  </r>
  <r>
    <s v="DLF The Grove"/>
    <x v="126"/>
    <n v="41245"/>
    <n v="3"/>
    <x v="4"/>
    <x v="4"/>
    <s v=" Sector 54 Gurgaon"/>
    <n v="0"/>
    <n v="0"/>
    <n v="3"/>
    <n v="1"/>
    <n v="3"/>
    <x v="1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x v="4"/>
    <s v="Todo bien"/>
    <x v="0"/>
    <x v="2"/>
    <n v="601.99331558491679"/>
    <x v="1"/>
    <x v="2"/>
    <s v="Mediana"/>
    <x v="0"/>
    <n v="1381.9856952357861"/>
  </r>
  <r>
    <s v="Indiabulls Enigma"/>
    <x v="127"/>
    <n v="9851"/>
    <n v="4"/>
    <x v="1"/>
    <x v="2"/>
    <s v=" Sector 110 Gurgaon"/>
    <n v="0"/>
    <n v="0"/>
    <n v="4"/>
    <n v="17"/>
    <n v="3"/>
    <x v="2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x v="5"/>
    <s v="Todo bien"/>
    <x v="0"/>
    <x v="2"/>
    <n v="1768.7554599533028"/>
    <x v="3"/>
    <x v="3"/>
    <s v="Muy grande"/>
    <x v="0"/>
    <n v="4060.5014719317837"/>
  </r>
  <r>
    <s v="MM Skycity"/>
    <x v="40"/>
    <n v="15317"/>
    <n v="3"/>
    <x v="1"/>
    <x v="4"/>
    <s v=" Sector 65 Gurgaon"/>
    <n v="0"/>
    <n v="0"/>
    <n v="3"/>
    <n v="14"/>
    <n v="0"/>
    <x v="1"/>
    <n v="14"/>
    <n v="0"/>
    <n v="0"/>
    <n v="0"/>
    <n v="0"/>
    <n v="1828.0342103545081"/>
    <n v="1828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342103545E-2"/>
    <n v="28000000"/>
    <n v="0.15317"/>
    <x v="5"/>
    <s v="Todo bien"/>
    <x v="0"/>
    <x v="2"/>
    <n v="796.29216068420362"/>
    <x v="1"/>
    <x v="2"/>
    <s v="Grande"/>
    <x v="0"/>
    <n v="1828.0342103545081"/>
  </r>
  <r>
    <s v="Raheja Vedaanta"/>
    <x v="78"/>
    <n v="5263"/>
    <n v="3"/>
    <x v="1"/>
    <x v="4"/>
    <s v=" Sector 108 Gurgaon"/>
    <n v="0"/>
    <n v="0"/>
    <n v="4"/>
    <n v="12"/>
    <n v="0"/>
    <x v="1"/>
    <n v="12"/>
    <n v="0"/>
    <n v="0"/>
    <n v="0"/>
    <n v="0"/>
    <n v="2850.0855025650767"/>
    <n v="28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500855025650699E-2"/>
    <n v="15000000"/>
    <n v="5.2630000000000003E-2"/>
    <x v="2"/>
    <s v="Todo bien"/>
    <x v="0"/>
    <x v="2"/>
    <n v="1241.4979600037971"/>
    <x v="1"/>
    <x v="3"/>
    <s v="Muy grande"/>
    <x v="0"/>
    <n v="2850.0855025650767"/>
  </r>
  <r>
    <s v="Ansal Housing Highland Park"/>
    <x v="42"/>
    <n v="5878"/>
    <n v="2"/>
    <x v="3"/>
    <x v="4"/>
    <s v=" Sector 103 Gurgaon"/>
    <n v="0"/>
    <n v="0"/>
    <n v="2"/>
    <n v="9"/>
    <n v="2"/>
    <x v="0"/>
    <n v="9"/>
    <n v="0"/>
    <n v="0"/>
    <n v="0"/>
    <n v="0"/>
    <n v="1300"/>
    <n v="13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0714528751E-2"/>
    <n v="8000000"/>
    <n v="5.8779999999999999E-2"/>
    <x v="1"/>
    <s v="Todo bien"/>
    <x v="0"/>
    <x v="2"/>
    <n v="592.85505396393216"/>
    <x v="1"/>
    <x v="2"/>
    <s v="Mediana"/>
    <x v="0"/>
    <n v="1361.0071452875127"/>
  </r>
  <r>
    <s v="Sidhartha NCR One Phase "/>
    <x v="60"/>
    <n v="4646"/>
    <n v="2"/>
    <x v="1"/>
    <x v="4"/>
    <s v=" Sector 95 Gurgaon"/>
    <n v="0"/>
    <n v="0"/>
    <n v="2"/>
    <n v="6"/>
    <n v="0"/>
    <x v="0"/>
    <n v="19"/>
    <n v="0"/>
    <n v="0"/>
    <n v="0"/>
    <n v="0"/>
    <n v="990.09900990099004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4600000"/>
    <n v="4.6460000000000001E-2"/>
    <x v="0"/>
    <s v="Todo bien"/>
    <x v="0"/>
    <x v="2"/>
    <n v="431.28737712871282"/>
    <x v="0"/>
    <x v="0"/>
    <s v="Mediana"/>
    <x v="0"/>
    <n v="990.09900990099004"/>
  </r>
  <r>
    <s v="Ramsons Kshitij"/>
    <x v="45"/>
    <n v="3158"/>
    <n v="2"/>
    <x v="1"/>
    <x v="4"/>
    <s v=" Sector 95 Gurgaon"/>
    <n v="0"/>
    <n v="0"/>
    <n v="2"/>
    <n v="11"/>
    <n v="1"/>
    <x v="0"/>
    <n v="11"/>
    <n v="0"/>
    <n v="0"/>
    <n v="0"/>
    <n v="0"/>
    <n v="552"/>
    <n v="9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996833438884994E-3"/>
    <n v="3000000"/>
    <n v="3.1579999999999997E-2"/>
    <x v="0"/>
    <s v="Todo bien"/>
    <x v="0"/>
    <x v="2"/>
    <n v="413.80644480683816"/>
    <x v="0"/>
    <x v="1"/>
    <s v="Mediana"/>
    <x v="0"/>
    <n v="949.9683343888538"/>
  </r>
  <r>
    <s v="Ramprastha Skyz"/>
    <x v="43"/>
    <n v="7250"/>
    <n v="3"/>
    <x v="2"/>
    <x v="3"/>
    <s v=" Sector 37D Gurgaon"/>
    <n v="0"/>
    <n v="0"/>
    <n v="3"/>
    <n v="2"/>
    <n v="3"/>
    <x v="1"/>
    <n v="19"/>
    <n v="0"/>
    <n v="0"/>
    <n v="0"/>
    <n v="0"/>
    <n v="1724.1379310344828"/>
    <n v="1725"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413793103448E-2"/>
    <n v="12500000"/>
    <n v="7.2499999999999995E-2"/>
    <x v="2"/>
    <s v="Todo bien"/>
    <x v="0"/>
    <x v="2"/>
    <n v="751.03491534482646"/>
    <x v="1"/>
    <x v="2"/>
    <s v="Mediana"/>
    <x v="0"/>
    <n v="1724.1379310344828"/>
  </r>
  <r>
    <s v="Sobha Smriti Apartments"/>
    <x v="1"/>
    <n v="8333"/>
    <n v="1"/>
    <x v="1"/>
    <x v="4"/>
    <s v=" Sector 56 Gurgaon"/>
    <n v="0"/>
    <n v="0"/>
    <n v="1"/>
    <n v="3"/>
    <n v="2"/>
    <x v="3"/>
    <n v="3"/>
    <n v="0"/>
    <n v="0"/>
    <n v="0"/>
    <n v="0"/>
    <n v="60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2"/>
    <n v="261.37060536421092"/>
    <x v="0"/>
    <x v="1"/>
    <s v="Pequeña"/>
    <x v="0"/>
    <n v="600.02400096003839"/>
  </r>
  <r>
    <s v="Supertech Araville"/>
    <x v="15"/>
    <n v="6950"/>
    <n v="2"/>
    <x v="1"/>
    <x v="4"/>
    <s v=" Sector 79 Gurgaon"/>
    <n v="0"/>
    <n v="0"/>
    <n v="2"/>
    <n v="12"/>
    <n v="0"/>
    <x v="0"/>
    <n v="18"/>
    <n v="0"/>
    <n v="0"/>
    <n v="0"/>
    <n v="0"/>
    <n v="1294.9640287769782"/>
    <n v="12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640287769701E-2"/>
    <n v="9000000"/>
    <n v="6.9500000000000006E-2"/>
    <x v="1"/>
    <s v="Todo bien"/>
    <x v="0"/>
    <x v="2"/>
    <n v="564.08665584172297"/>
    <x v="1"/>
    <x v="2"/>
    <s v="Mediana"/>
    <x v="0"/>
    <n v="1294.9640287769782"/>
  </r>
  <r>
    <s v="Signature Global Park"/>
    <x v="53"/>
    <n v="7299"/>
    <n v="2"/>
    <x v="1"/>
    <x v="2"/>
    <s v=" Sohna"/>
    <n v="0"/>
    <n v="0"/>
    <n v="2"/>
    <n v="1"/>
    <n v="3"/>
    <x v="0"/>
    <n v="4"/>
    <n v="0"/>
    <n v="0"/>
    <n v="0"/>
    <n v="0"/>
    <n v="52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053294971913003E-3"/>
    <n v="6500000"/>
    <n v="7.2989999999999999E-2"/>
    <x v="1"/>
    <s v="Todo bien"/>
    <x v="0"/>
    <x v="2"/>
    <n v="387.91637633237013"/>
    <x v="0"/>
    <x v="1"/>
    <s v="Mediana"/>
    <x v="0"/>
    <n v="890.53294971913965"/>
  </r>
  <r>
    <s v="ILD Greens"/>
    <x v="29"/>
    <n v="5245"/>
    <n v="2"/>
    <x v="4"/>
    <x v="4"/>
    <s v=" Sector 37C Gurgaon"/>
    <n v="0"/>
    <n v="0"/>
    <n v="2"/>
    <n v="13"/>
    <n v="3"/>
    <x v="0"/>
    <n v="14"/>
    <n v="0"/>
    <n v="0"/>
    <n v="0"/>
    <n v="0"/>
    <n v="1429.9332697807436"/>
    <n v="14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993326978074E-2"/>
    <n v="7500000"/>
    <n v="5.2449999999999997E-2"/>
    <x v="1"/>
    <s v="Todo bien"/>
    <x v="0"/>
    <x v="2"/>
    <n v="622.8792910867478"/>
    <x v="1"/>
    <x v="2"/>
    <s v="Mediana"/>
    <x v="0"/>
    <n v="1429.9332697807436"/>
  </r>
  <r>
    <s v="Umang Winter Hills"/>
    <x v="100"/>
    <n v="6340"/>
    <n v="3"/>
    <x v="2"/>
    <x v="4"/>
    <s v=" Sector 77 Gurgaon"/>
    <n v="0"/>
    <n v="0"/>
    <n v="3"/>
    <n v="10"/>
    <n v="3"/>
    <x v="1"/>
    <n v="10"/>
    <n v="0"/>
    <n v="0"/>
    <n v="0"/>
    <n v="0"/>
    <n v="2208.2018927444797"/>
    <n v="1735"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82018927444699E-2"/>
    <n v="14000000"/>
    <n v="6.3399999999999998E-2"/>
    <x v="2"/>
    <s v="Todo bien"/>
    <x v="0"/>
    <x v="0"/>
    <n v="961.89329851734601"/>
    <x v="1"/>
    <x v="2"/>
    <s v="Mediana"/>
    <x v="0"/>
    <n v="2208.2018927444797"/>
  </r>
  <r>
    <s v="Unitech Sunbreeze"/>
    <x v="50"/>
    <n v="5476"/>
    <n v="4"/>
    <x v="1"/>
    <x v="4"/>
    <s v=" Sector 69 Gurgaon"/>
    <n v="0"/>
    <n v="0"/>
    <n v="3"/>
    <n v="0"/>
    <n v="0"/>
    <x v="2"/>
    <n v="15"/>
    <n v="0"/>
    <n v="0"/>
    <n v="0"/>
    <n v="0"/>
    <n v="1826.1504747991232"/>
    <n v="1826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61504747991202E-2"/>
    <n v="10000000"/>
    <n v="5.4760000000000003E-2"/>
    <x v="1"/>
    <s v="Todo bien"/>
    <x v="0"/>
    <x v="2"/>
    <n v="795.47160500365089"/>
    <x v="1"/>
    <x v="2"/>
    <s v="Grande"/>
    <x v="0"/>
    <n v="1826.1504747991232"/>
  </r>
  <r>
    <s v="Shree Vardhman Victoria"/>
    <x v="7"/>
    <n v="9230"/>
    <n v="3"/>
    <x v="6"/>
    <x v="2"/>
    <s v=" Sector 70 Gurgaon"/>
    <n v="0"/>
    <n v="0"/>
    <n v="4"/>
    <n v="2"/>
    <n v="3"/>
    <x v="1"/>
    <n v="18"/>
    <n v="1"/>
    <n v="0"/>
    <n v="0"/>
    <n v="0"/>
    <n v="1161"/>
    <m/>
    <n v="195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8000000"/>
    <n v="9.2299999999999993E-2"/>
    <x v="3"/>
    <s v="Todo bien"/>
    <x v="0"/>
    <x v="2"/>
    <n v="849.49128019501404"/>
    <x v="1"/>
    <x v="0"/>
    <s v="Pequeña"/>
    <x v="1"/>
    <n v="1950.1625135427953"/>
  </r>
  <r>
    <s v="Godrej Nature Plus"/>
    <x v="56"/>
    <n v="12000"/>
    <n v="2"/>
    <x v="2"/>
    <x v="3"/>
    <s v=" Sector-33 Sohna"/>
    <n v="0"/>
    <n v="0"/>
    <n v="2"/>
    <n v="3"/>
    <n v="3"/>
    <x v="0"/>
    <n v="22"/>
    <n v="0"/>
    <n v="0"/>
    <n v="0"/>
    <n v="0"/>
    <n v="1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2000000"/>
    <n v="0.12"/>
    <x v="2"/>
    <s v="Todo bien"/>
    <x v="0"/>
    <x v="5"/>
    <n v="435.60025090000005"/>
    <x v="0"/>
    <x v="0"/>
    <s v="Pequeña"/>
    <x v="0"/>
    <n v="1000"/>
  </r>
  <r>
    <s v="Indiabulls Centrum Park"/>
    <x v="16"/>
    <n v="5861"/>
    <n v="2"/>
    <x v="0"/>
    <x v="0"/>
    <s v=" Sector 103 Gurgaon"/>
    <n v="0"/>
    <n v="0"/>
    <n v="2"/>
    <n v="1"/>
    <n v="3"/>
    <x v="0"/>
    <n v="10"/>
    <n v="0"/>
    <n v="0"/>
    <n v="0"/>
    <n v="0"/>
    <n v="900"/>
    <n v="13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915031564579399E-2"/>
    <n v="10500000"/>
    <n v="5.8610000000000002E-2"/>
    <x v="2"/>
    <s v="Todo bien"/>
    <x v="1"/>
    <x v="2"/>
    <n v="780.37922444122057"/>
    <x v="1"/>
    <x v="0"/>
    <s v="Mediana"/>
    <x v="0"/>
    <n v="1791.5031564579422"/>
  </r>
  <r>
    <s v="Sare Crescent Parc"/>
    <x v="123"/>
    <n v="4977"/>
    <n v="3"/>
    <x v="5"/>
    <x v="0"/>
    <s v=" Sector 92 Gurgaon"/>
    <n v="0"/>
    <n v="0"/>
    <n v="2"/>
    <n v="15"/>
    <n v="2"/>
    <x v="1"/>
    <n v="15"/>
    <n v="0"/>
    <n v="0"/>
    <n v="0"/>
    <n v="0"/>
    <n v="132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3"/>
    <n v="1"/>
    <n v="2"/>
    <n v="1"/>
    <n v="1"/>
    <n v="1"/>
    <n v="1"/>
    <n v="1"/>
    <n v="4"/>
    <n v="1"/>
    <n v="1"/>
    <n v="1"/>
    <n v="1"/>
    <n v="1"/>
    <n v="2"/>
    <n v="1"/>
    <n v="1"/>
    <n v="0"/>
    <n v="0"/>
    <n v="0"/>
    <n v="0"/>
    <n v="0"/>
    <n v="1"/>
    <n v="1.32610006027727E-2"/>
    <n v="6600000"/>
    <n v="4.9770000000000002E-2"/>
    <x v="1"/>
    <s v="Todo bien"/>
    <x v="2"/>
    <x v="1"/>
    <n v="577.64951897528397"/>
    <x v="1"/>
    <x v="2"/>
    <s v="Pequeña"/>
    <x v="0"/>
    <n v="1326.1000602772754"/>
  </r>
  <r>
    <s v="HCBS Sports Ville"/>
    <x v="96"/>
    <n v="3600"/>
    <n v="2"/>
    <x v="2"/>
    <x v="2"/>
    <s v=" Sector-35 Sohna"/>
    <n v="0"/>
    <n v="0"/>
    <n v="2"/>
    <n v="2"/>
    <n v="2"/>
    <x v="0"/>
    <n v="13"/>
    <n v="0"/>
    <n v="0"/>
    <n v="0"/>
    <n v="0"/>
    <n v="600"/>
    <m/>
    <n v="750"/>
    <n v="0"/>
    <n v="1"/>
    <n v="1"/>
    <n v="1"/>
    <n v="0"/>
    <n v="0"/>
    <n v="0"/>
    <n v="1"/>
    <n v="1"/>
    <n v="1"/>
    <n v="1"/>
    <n v="0"/>
    <n v="1"/>
    <n v="0"/>
    <n v="1"/>
    <n v="1"/>
    <n v="0"/>
    <n v="46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7.4999999999999997E-3"/>
    <n v="2700000"/>
    <n v="3.5999999999999997E-2"/>
    <x v="0"/>
    <s v="Todo bien"/>
    <x v="0"/>
    <x v="4"/>
    <n v="326.70018817499999"/>
    <x v="0"/>
    <x v="1"/>
    <s v="Pequeña"/>
    <x v="0"/>
    <n v="750"/>
  </r>
  <r>
    <s v="ATS Triumph"/>
    <x v="82"/>
    <n v="8515"/>
    <n v="3"/>
    <x v="1"/>
    <x v="2"/>
    <s v=" Sector 104 Gurgaon"/>
    <n v="0"/>
    <n v="0"/>
    <n v="3"/>
    <n v="3"/>
    <n v="3"/>
    <x v="1"/>
    <n v="27"/>
    <n v="1"/>
    <n v="0"/>
    <n v="0"/>
    <n v="0"/>
    <n v="2290"/>
    <m/>
    <m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9500000"/>
    <n v="8.5150000000000003E-2"/>
    <x v="3"/>
    <s v="Todo bien"/>
    <x v="0"/>
    <x v="1"/>
    <n v="997.55782648854859"/>
    <x v="1"/>
    <x v="2"/>
    <s v="Pequeña"/>
    <x v="0"/>
    <n v="2290.0763358778627"/>
  </r>
  <r>
    <s v="Smart World Gems"/>
    <x v="15"/>
    <n v="8159"/>
    <n v="2"/>
    <x v="4"/>
    <x v="2"/>
    <s v=" Sector 89 Gurgaon"/>
    <n v="0"/>
    <n v="0"/>
    <n v="2"/>
    <n v="2"/>
    <n v="2"/>
    <x v="0"/>
    <n v="4"/>
    <n v="0"/>
    <n v="1"/>
    <n v="0"/>
    <n v="0"/>
    <n v="1103.0763573967399"/>
    <m/>
    <n v="1103"/>
    <n v="1"/>
    <n v="0"/>
    <n v="0"/>
    <n v="1"/>
    <n v="0"/>
    <n v="0"/>
    <n v="1"/>
    <n v="1"/>
    <n v="1"/>
    <n v="1"/>
    <n v="0"/>
    <n v="0"/>
    <n v="1"/>
    <n v="0"/>
    <n v="0"/>
    <n v="1"/>
    <n v="1"/>
    <n v="2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x v="1"/>
    <s v="Todo bien"/>
    <x v="0"/>
    <x v="1"/>
    <n v="480.50033804387368"/>
    <x v="0"/>
    <x v="0"/>
    <s v="Pequeña"/>
    <x v="1"/>
    <n v="1103.0763573967399"/>
  </r>
  <r>
    <s v="Suncity Avenue "/>
    <x v="52"/>
    <n v="7422"/>
    <n v="2"/>
    <x v="2"/>
    <x v="3"/>
    <s v=" Sector 76 Gurgaon"/>
    <n v="0"/>
    <n v="0"/>
    <n v="2"/>
    <n v="9"/>
    <n v="2"/>
    <x v="0"/>
    <n v="14"/>
    <n v="0"/>
    <n v="0"/>
    <n v="0"/>
    <n v="0"/>
    <n v="7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104015090272002E-3"/>
    <n v="5500000"/>
    <n v="7.4219999999999994E-2"/>
    <x v="1"/>
    <s v="Todo bien"/>
    <x v="0"/>
    <x v="0"/>
    <n v="322.79727566019875"/>
    <x v="0"/>
    <x v="0"/>
    <s v="Pequeña"/>
    <x v="0"/>
    <n v="741.04015090272173"/>
  </r>
  <r>
    <s v="Raheja Sampada"/>
    <x v="4"/>
    <n v="4453"/>
    <n v="3"/>
    <x v="1"/>
    <x v="4"/>
    <s v=" Sector 92 Gurgaon"/>
    <n v="0"/>
    <n v="0"/>
    <n v="3"/>
    <n v="7"/>
    <n v="0"/>
    <x v="1"/>
    <n v="19"/>
    <n v="0"/>
    <n v="0"/>
    <n v="0"/>
    <n v="0"/>
    <n v="1571.973950145969"/>
    <n v="157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19739501459599E-2"/>
    <n v="7000000"/>
    <n v="4.453E-2"/>
    <x v="1"/>
    <s v="Todo bien"/>
    <x v="0"/>
    <x v="2"/>
    <n v="684.75224709184431"/>
    <x v="1"/>
    <x v="2"/>
    <s v="Mediana"/>
    <x v="0"/>
    <n v="1571.973950145969"/>
  </r>
  <r>
    <s v="GLS Arawali Homes"/>
    <x v="45"/>
    <n v="5291"/>
    <n v="2"/>
    <x v="1"/>
    <x v="4"/>
    <s v=" Sohna"/>
    <n v="0"/>
    <n v="0"/>
    <n v="2"/>
    <n v="10"/>
    <n v="0"/>
    <x v="0"/>
    <n v="14"/>
    <n v="0"/>
    <n v="0"/>
    <n v="0"/>
    <n v="0"/>
    <n v="567.000567000567"/>
    <n v="56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0056700056001E-3"/>
    <n v="3000000"/>
    <n v="5.2909999999999999E-2"/>
    <x v="0"/>
    <s v="Todo bien"/>
    <x v="0"/>
    <x v="2"/>
    <n v="246.98558924588622"/>
    <x v="0"/>
    <x v="1"/>
    <s v="Pequeña"/>
    <x v="0"/>
    <n v="567.000567000567"/>
  </r>
  <r>
    <s v="Umang Monsoon Breeze"/>
    <x v="16"/>
    <n v="5666"/>
    <n v="3"/>
    <x v="5"/>
    <x v="5"/>
    <s v=" Sector 78 Gurgaon"/>
    <n v="0"/>
    <n v="0"/>
    <n v="3"/>
    <n v="6"/>
    <n v="3"/>
    <x v="1"/>
    <n v="16"/>
    <n v="0"/>
    <n v="0"/>
    <n v="0"/>
    <n v="0"/>
    <n v="1390"/>
    <n v="1853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31591951994299E-2"/>
    <n v="10500000"/>
    <n v="5.6660000000000002E-2"/>
    <x v="2"/>
    <s v="Todo bien"/>
    <x v="0"/>
    <x v="2"/>
    <n v="807.2366103865138"/>
    <x v="1"/>
    <x v="2"/>
    <s v="Grande"/>
    <x v="0"/>
    <n v="1853.1591951994351"/>
  </r>
  <r>
    <s v="Ambience Creacions"/>
    <x v="151"/>
    <n v="19444"/>
    <n v="3"/>
    <x v="4"/>
    <x v="2"/>
    <s v=" Sector 22 Gurgaon"/>
    <n v="0"/>
    <n v="0"/>
    <n v="4"/>
    <n v="8"/>
    <n v="3"/>
    <x v="1"/>
    <n v="18"/>
    <n v="1"/>
    <n v="0"/>
    <n v="0"/>
    <n v="0"/>
    <n v="180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4"/>
    <n v="1"/>
    <n v="2"/>
    <n v="1"/>
    <n v="1"/>
    <n v="1"/>
    <n v="0"/>
    <n v="0"/>
    <n v="0"/>
    <n v="0"/>
    <n v="0"/>
    <n v="0"/>
    <n v="0"/>
    <n v="0"/>
    <n v="4"/>
    <n v="1"/>
    <n v="0"/>
    <n v="0"/>
    <n v="0"/>
    <n v="0"/>
    <n v="0"/>
    <n v="0"/>
    <n v="2"/>
    <n v="1.8000411437975702E-2"/>
    <n v="35000000"/>
    <n v="0.19444"/>
    <x v="5"/>
    <s v="Todo bien"/>
    <x v="1"/>
    <x v="2"/>
    <n v="784.09837386854463"/>
    <x v="1"/>
    <x v="2"/>
    <s v="Pequeña"/>
    <x v="0"/>
    <n v="1800.0411437975724"/>
  </r>
  <r>
    <s v="Sare Crescent Parc"/>
    <x v="13"/>
    <n v="5013"/>
    <n v="4"/>
    <x v="5"/>
    <x v="4"/>
    <s v=" Sector 92 Gurgaon"/>
    <n v="0"/>
    <n v="0"/>
    <n v="5"/>
    <n v="13"/>
    <n v="3"/>
    <x v="2"/>
    <n v="14"/>
    <n v="0"/>
    <n v="0"/>
    <n v="0"/>
    <n v="0"/>
    <n v="1500"/>
    <n v="18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50728106921999E-2"/>
    <n v="9500000"/>
    <n v="5.0130000000000001E-2"/>
    <x v="1"/>
    <s v="Todo bien"/>
    <x v="0"/>
    <x v="2"/>
    <n v="825.49419181129053"/>
    <x v="1"/>
    <x v="2"/>
    <s v="Grande"/>
    <x v="0"/>
    <n v="1895.0728106922002"/>
  </r>
  <r>
    <s v="Godrej Air"/>
    <x v="153"/>
    <n v="12212"/>
    <n v="3"/>
    <x v="1"/>
    <x v="3"/>
    <s v=" Sector 85 Gurgaon"/>
    <n v="0"/>
    <n v="0"/>
    <n v="3"/>
    <n v="17"/>
    <n v="3"/>
    <x v="1"/>
    <n v="25"/>
    <n v="1"/>
    <n v="0"/>
    <n v="0"/>
    <n v="0"/>
    <n v="2129.0533901080903"/>
    <n v="212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90533901080901E-2"/>
    <n v="26000000"/>
    <n v="0.12212000000000001"/>
    <x v="5"/>
    <s v="Todo bien"/>
    <x v="0"/>
    <x v="2"/>
    <n v="927.41619091057964"/>
    <x v="1"/>
    <x v="2"/>
    <s v="Grande"/>
    <x v="0"/>
    <n v="2129.0533901080903"/>
  </r>
  <r>
    <s v="Sare Crescent Parc Royal Greens Phase "/>
    <x v="29"/>
    <n v="4325"/>
    <n v="4"/>
    <x v="4"/>
    <x v="0"/>
    <s v=" Sector 92 Gurgaon"/>
    <n v="0"/>
    <n v="0"/>
    <n v="4"/>
    <n v="3"/>
    <n v="3"/>
    <x v="2"/>
    <n v="4"/>
    <n v="0"/>
    <n v="0"/>
    <n v="0"/>
    <n v="0"/>
    <n v="1734.1040462427748"/>
    <n v="1734"/>
    <m/>
    <n v="0"/>
    <n v="1"/>
    <n v="0"/>
    <n v="0"/>
    <n v="0"/>
    <n v="0"/>
    <n v="1"/>
    <n v="1"/>
    <n v="1"/>
    <n v="1"/>
    <n v="1"/>
    <n v="1"/>
    <n v="1"/>
    <n v="0"/>
    <n v="1"/>
    <n v="1"/>
    <n v="1"/>
    <n v="3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41040462427699E-2"/>
    <n v="7500000"/>
    <n v="4.3249999999999997E-2"/>
    <x v="1"/>
    <s v="Todo bien"/>
    <x v="0"/>
    <x v="3"/>
    <n v="755.37615763005579"/>
    <x v="1"/>
    <x v="2"/>
    <s v="Mediana"/>
    <x v="0"/>
    <n v="1734.1040462427748"/>
  </r>
  <r>
    <s v="Railway Officers RPF Society"/>
    <x v="35"/>
    <n v="5039"/>
    <n v="4"/>
    <x v="4"/>
    <x v="4"/>
    <s v=" Sector 9A Gurgaon"/>
    <n v="0"/>
    <n v="0"/>
    <n v="4"/>
    <n v="9"/>
    <n v="3"/>
    <x v="2"/>
    <n v="11"/>
    <n v="0"/>
    <n v="0"/>
    <n v="0"/>
    <n v="0"/>
    <n v="2579.8769597142291"/>
    <n v="25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98769597142199E-2"/>
    <n v="13000000"/>
    <n v="5.0389999999999997E-2"/>
    <x v="2"/>
    <s v="Todo bien"/>
    <x v="0"/>
    <x v="2"/>
    <n v="1123.7950509426435"/>
    <x v="1"/>
    <x v="3"/>
    <s v="Muy grande"/>
    <x v="0"/>
    <n v="2579.8769597142291"/>
  </r>
  <r>
    <s v="Satya Element One"/>
    <x v="394"/>
    <n v="14009"/>
    <n v="1"/>
    <x v="4"/>
    <x v="4"/>
    <s v=" Sector 49 Gurgaon"/>
    <n v="0"/>
    <n v="0"/>
    <n v="2"/>
    <n v="2"/>
    <n v="2"/>
    <x v="3"/>
    <n v="6"/>
    <n v="0"/>
    <n v="0"/>
    <n v="0"/>
    <n v="0"/>
    <n v="671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099721607537998E-3"/>
    <n v="9400000"/>
    <n v="0.14008999999999999"/>
    <x v="1"/>
    <s v="Todo bien"/>
    <x v="0"/>
    <x v="2"/>
    <n v="292.28655567563703"/>
    <x v="0"/>
    <x v="0"/>
    <s v="Pequeña"/>
    <x v="0"/>
    <n v="670.99721607538015"/>
  </r>
  <r>
    <s v="Shree Vardhman Flora"/>
    <x v="4"/>
    <n v="5325"/>
    <n v="2"/>
    <x v="4"/>
    <x v="2"/>
    <s v=" Sector 90 Gurgaon"/>
    <n v="0"/>
    <n v="0"/>
    <n v="2"/>
    <n v="9"/>
    <n v="3"/>
    <x v="0"/>
    <n v="13"/>
    <n v="0"/>
    <n v="1"/>
    <n v="0"/>
    <n v="0"/>
    <n v="1314.5539906103286"/>
    <n v="1350"/>
    <n v="1352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45539906103201E-2"/>
    <n v="7000000"/>
    <n v="5.3249999999999999E-2"/>
    <x v="1"/>
    <s v="Todo bien"/>
    <x v="0"/>
    <x v="2"/>
    <n v="572.62004813145165"/>
    <x v="1"/>
    <x v="2"/>
    <s v="Mediana"/>
    <x v="1"/>
    <n v="1314.5539906103286"/>
  </r>
  <r>
    <s v="ILD Grand Centra"/>
    <x v="13"/>
    <n v="5220"/>
    <n v="3"/>
    <x v="1"/>
    <x v="4"/>
    <s v=" Sector 37C Gurgaon"/>
    <n v="0"/>
    <n v="0"/>
    <n v="1"/>
    <n v="0"/>
    <n v="0"/>
    <x v="1"/>
    <n v="1"/>
    <n v="0"/>
    <n v="0"/>
    <n v="0"/>
    <n v="0"/>
    <n v="1819.9233716475094"/>
    <n v="182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99233716475E-2"/>
    <n v="9500000"/>
    <n v="5.2200000000000003E-2"/>
    <x v="1"/>
    <s v="Todo bien"/>
    <x v="0"/>
    <x v="2"/>
    <n v="792.75907730842493"/>
    <x v="1"/>
    <x v="2"/>
    <s v="Grande"/>
    <x v="0"/>
    <n v="1819.9233716475094"/>
  </r>
  <r>
    <s v="Umang Monsoon Breeze"/>
    <x v="4"/>
    <n v="5719"/>
    <n v="2"/>
    <x v="1"/>
    <x v="4"/>
    <s v=" Sector 78 Gurgaon"/>
    <n v="0"/>
    <n v="0"/>
    <n v="2"/>
    <n v="5"/>
    <n v="2"/>
    <x v="0"/>
    <n v="12"/>
    <n v="0"/>
    <n v="0"/>
    <n v="0"/>
    <n v="0"/>
    <n v="1223.9902080783354"/>
    <n v="1224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39902080783301E-2"/>
    <n v="7000000"/>
    <n v="5.7189999999999998E-2"/>
    <x v="1"/>
    <s v="Todo bien"/>
    <x v="0"/>
    <x v="2"/>
    <n v="533.1704417380638"/>
    <x v="1"/>
    <x v="2"/>
    <s v="Mediana"/>
    <x v="0"/>
    <n v="1223.9902080783354"/>
  </r>
  <r>
    <s v="Ansals Highland Park"/>
    <x v="56"/>
    <n v="6185"/>
    <n v="3"/>
    <x v="1"/>
    <x v="3"/>
    <s v=" Dwarka Expressway Gurgaon"/>
    <n v="0"/>
    <n v="0"/>
    <n v="3"/>
    <n v="4"/>
    <n v="3"/>
    <x v="1"/>
    <n v="17"/>
    <n v="1"/>
    <n v="0"/>
    <n v="0"/>
    <n v="0"/>
    <n v="1940.1778496362165"/>
    <n v="194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778496362099E-2"/>
    <n v="12000000"/>
    <n v="6.1850000000000002E-2"/>
    <x v="2"/>
    <s v="Todo bien"/>
    <x v="0"/>
    <x v="2"/>
    <n v="845.14195809215551"/>
    <x v="1"/>
    <x v="2"/>
    <s v="Grande"/>
    <x v="0"/>
    <n v="1940.1778496362165"/>
  </r>
  <r>
    <s v="Signature Global City "/>
    <x v="42"/>
    <n v="14652"/>
    <n v="2"/>
    <x v="5"/>
    <x v="3"/>
    <s v=" Sector 81 Gurgaon"/>
    <n v="0"/>
    <n v="0"/>
    <n v="2"/>
    <n v="4"/>
    <n v="2"/>
    <x v="0"/>
    <n v="4"/>
    <n v="0"/>
    <n v="1"/>
    <n v="0"/>
    <n v="0"/>
    <n v="546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600054600053996E-3"/>
    <n v="8000000"/>
    <n v="0.14652000000000001"/>
    <x v="1"/>
    <s v="Todo bien"/>
    <x v="0"/>
    <x v="0"/>
    <n v="237.83797482937223"/>
    <x v="0"/>
    <x v="1"/>
    <s v="Pequeña"/>
    <x v="0"/>
    <n v="546.00054600054591"/>
  </r>
  <r>
    <s v="Godrej Habitat"/>
    <x v="56"/>
    <n v="8310"/>
    <n v="2"/>
    <x v="1"/>
    <x v="3"/>
    <s v=" Sector 3 Gurgaon"/>
    <n v="0"/>
    <n v="0"/>
    <n v="2"/>
    <n v="0"/>
    <n v="3"/>
    <x v="0"/>
    <n v="17"/>
    <n v="0"/>
    <n v="0"/>
    <n v="0"/>
    <n v="0"/>
    <n v="1444.043321299639"/>
    <m/>
    <n v="144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4332129963E-2"/>
    <n v="12000000"/>
    <n v="8.3099999999999993E-2"/>
    <x v="2"/>
    <s v="Todo bien"/>
    <x v="0"/>
    <x v="2"/>
    <n v="629.02563306858815"/>
    <x v="1"/>
    <x v="2"/>
    <s v="Pequeña"/>
    <x v="1"/>
    <n v="1444.043321299639"/>
  </r>
  <r>
    <s v="MVN Athens"/>
    <x v="36"/>
    <n v="5189"/>
    <n v="2"/>
    <x v="5"/>
    <x v="0"/>
    <s v=" Sohna"/>
    <n v="0"/>
    <n v="0"/>
    <n v="2"/>
    <n v="0"/>
    <n v="1"/>
    <x v="0"/>
    <n v="14"/>
    <n v="0"/>
    <n v="0"/>
    <n v="1"/>
    <n v="0"/>
    <n v="481.73"/>
    <m/>
    <m/>
    <n v="1"/>
    <n v="1"/>
    <n v="1"/>
    <n v="1"/>
    <n v="0"/>
    <n v="0"/>
    <n v="1"/>
    <n v="1"/>
    <n v="0"/>
    <n v="1"/>
    <n v="1"/>
    <n v="0"/>
    <n v="1"/>
    <n v="0"/>
    <n v="1"/>
    <n v="1"/>
    <n v="1"/>
    <n v="46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78839853536002E-3"/>
    <n v="2500000"/>
    <n v="5.1889999999999999E-2"/>
    <x v="0"/>
    <s v="Todo bien"/>
    <x v="0"/>
    <x v="4"/>
    <n v="209.86714728271204"/>
    <x v="0"/>
    <x v="1"/>
    <s v="Pequeña"/>
    <x v="0"/>
    <n v="481.78839853536329"/>
  </r>
  <r>
    <s v="Shree Vardhman Flora"/>
    <x v="13"/>
    <n v="6333"/>
    <n v="3"/>
    <x v="3"/>
    <x v="0"/>
    <s v=" Sector 90 Gurgaon"/>
    <n v="0"/>
    <n v="0"/>
    <n v="3"/>
    <n v="9"/>
    <n v="3"/>
    <x v="1"/>
    <n v="13"/>
    <n v="1"/>
    <n v="0"/>
    <n v="0"/>
    <n v="0"/>
    <n v="1500"/>
    <m/>
    <m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7895152376E-2"/>
    <n v="9500000"/>
    <n v="6.3329999999999997E-2"/>
    <x v="1"/>
    <s v="Todo bien"/>
    <x v="0"/>
    <x v="4"/>
    <n v="653.43476765355877"/>
    <x v="1"/>
    <x v="2"/>
    <s v="Pequeña"/>
    <x v="0"/>
    <n v="1500.0789515237645"/>
  </r>
  <r>
    <s v="Ramsons Kshitij"/>
    <x v="0"/>
    <n v="4591"/>
    <n v="2"/>
    <x v="1"/>
    <x v="0"/>
    <s v=" Sector 95 Gurgaon"/>
    <n v="0"/>
    <n v="0"/>
    <n v="2"/>
    <n v="2"/>
    <n v="1"/>
    <x v="0"/>
    <n v="14"/>
    <n v="0"/>
    <n v="1"/>
    <n v="0"/>
    <n v="0"/>
    <n v="980.178610324548"/>
    <m/>
    <n v="98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017861032453999E-3"/>
    <n v="4500000"/>
    <n v="4.5909999999999999E-2"/>
    <x v="0"/>
    <s v="Todo bien"/>
    <x v="0"/>
    <x v="4"/>
    <n v="426.966048584183"/>
    <x v="0"/>
    <x v="0"/>
    <s v="Pequeña"/>
    <x v="0"/>
    <n v="980.178610324548"/>
  </r>
  <r>
    <s v="Oriental Valley CHS"/>
    <x v="78"/>
    <n v="9090"/>
    <n v="4"/>
    <x v="1"/>
    <x v="0"/>
    <s v=" Sector 9A Gurgaon"/>
    <n v="0"/>
    <n v="0"/>
    <n v="3"/>
    <n v="8"/>
    <n v="3"/>
    <x v="2"/>
    <n v="9"/>
    <n v="0"/>
    <n v="0"/>
    <n v="0"/>
    <n v="0"/>
    <n v="165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5016501650165E-2"/>
    <n v="15000000"/>
    <n v="9.0899999999999995E-2"/>
    <x v="2"/>
    <s v="Todo bien"/>
    <x v="1"/>
    <x v="2"/>
    <n v="718.81229521452144"/>
    <x v="1"/>
    <x v="2"/>
    <s v="Pequeña"/>
    <x v="0"/>
    <n v="1650.1650165016504"/>
  </r>
  <r>
    <s v="Breez Global Heights"/>
    <x v="79"/>
    <n v="6598"/>
    <n v="1"/>
    <x v="1"/>
    <x v="2"/>
    <s v=" Sohna"/>
    <n v="0"/>
    <n v="0"/>
    <n v="1"/>
    <n v="6"/>
    <n v="1"/>
    <x v="3"/>
    <n v="10"/>
    <n v="0"/>
    <n v="0"/>
    <n v="0"/>
    <n v="0"/>
    <n v="394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5880569868997E-3"/>
    <n v="2600000"/>
    <n v="6.5979999999999997E-2"/>
    <x v="0"/>
    <s v="Todo bien"/>
    <x v="0"/>
    <x v="0"/>
    <n v="171.65211463170371"/>
    <x v="0"/>
    <x v="1"/>
    <s v="Pequeña"/>
    <x v="0"/>
    <n v="394.05880569869657"/>
  </r>
  <r>
    <s v="Parsvnath Green Ville"/>
    <x v="6"/>
    <n v="7765"/>
    <n v="3"/>
    <x v="1"/>
    <x v="0"/>
    <s v=" Sector 48 Gurgaon"/>
    <n v="0"/>
    <n v="0"/>
    <n v="3"/>
    <n v="15"/>
    <n v="0"/>
    <x v="1"/>
    <n v="16"/>
    <n v="1"/>
    <n v="0"/>
    <n v="0"/>
    <n v="0"/>
    <n v="2575.6600128783002"/>
    <m/>
    <n v="212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6600128782999E-2"/>
    <n v="20000000"/>
    <n v="7.7649999999999997E-2"/>
    <x v="3"/>
    <s v="Todo bien"/>
    <x v="0"/>
    <x v="3"/>
    <n v="1121.9581478428847"/>
    <x v="1"/>
    <x v="3"/>
    <s v="Pequeña"/>
    <x v="2"/>
    <n v="2575.6600128783002"/>
  </r>
  <r>
    <s v="Shri Ram Apartments"/>
    <x v="60"/>
    <n v="5111"/>
    <n v="2"/>
    <x v="4"/>
    <x v="0"/>
    <s v=" Laxman Vihar"/>
    <n v="0"/>
    <n v="0"/>
    <n v="2"/>
    <n v="1"/>
    <n v="1"/>
    <x v="0"/>
    <n v="4"/>
    <n v="0"/>
    <n v="0"/>
    <n v="0"/>
    <n v="0"/>
    <n v="900"/>
    <m/>
    <m/>
    <n v="0"/>
    <n v="0"/>
    <n v="0"/>
    <n v="0"/>
    <n v="0"/>
    <n v="0"/>
    <n v="1"/>
    <n v="1"/>
    <n v="0"/>
    <n v="0"/>
    <n v="1"/>
    <n v="1"/>
    <n v="1"/>
    <n v="0"/>
    <n v="1"/>
    <n v="0"/>
    <n v="0"/>
    <n v="13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9.0001956564273004E-3"/>
    <n v="4600000"/>
    <n v="5.1110000000000003E-2"/>
    <x v="0"/>
    <s v="Todo bien"/>
    <x v="1"/>
    <x v="0"/>
    <n v="392.04874860888225"/>
    <x v="0"/>
    <x v="0"/>
    <s v="Pequeña"/>
    <x v="0"/>
    <n v="900.01956564273132"/>
  </r>
  <r>
    <s v="Sare Homes"/>
    <x v="42"/>
    <n v="4694"/>
    <n v="4"/>
    <x v="2"/>
    <x v="5"/>
    <s v=" Sector 92 Gurgaon"/>
    <n v="0"/>
    <n v="0"/>
    <n v="4"/>
    <n v="1"/>
    <n v="3"/>
    <x v="2"/>
    <n v="4"/>
    <n v="0"/>
    <n v="0"/>
    <n v="0"/>
    <n v="0"/>
    <n v="1704"/>
    <m/>
    <m/>
    <n v="0"/>
    <n v="0"/>
    <n v="1"/>
    <n v="0"/>
    <n v="0"/>
    <n v="0"/>
    <n v="0"/>
    <n v="1"/>
    <n v="1"/>
    <n v="0"/>
    <n v="0"/>
    <n v="1"/>
    <n v="1"/>
    <n v="1"/>
    <n v="1"/>
    <n v="1"/>
    <n v="1"/>
    <n v="26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043033659991401E-2"/>
    <n v="8000000"/>
    <n v="4.6940000000000003E-2"/>
    <x v="1"/>
    <s v="Todo bien"/>
    <x v="0"/>
    <x v="1"/>
    <n v="742.39497383894002"/>
    <x v="1"/>
    <x v="2"/>
    <s v="Pequeña"/>
    <x v="0"/>
    <n v="1704.3033659991477"/>
  </r>
  <r>
    <s v="Silverglades The Melia"/>
    <x v="32"/>
    <n v="5777"/>
    <n v="2"/>
    <x v="1"/>
    <x v="3"/>
    <s v=" Sohna"/>
    <n v="0"/>
    <n v="0"/>
    <n v="2"/>
    <n v="9"/>
    <n v="3"/>
    <x v="0"/>
    <n v="14"/>
    <n v="0"/>
    <n v="1"/>
    <n v="0"/>
    <n v="0"/>
    <n v="1350.1817552362818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3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817552362801E-2"/>
    <n v="7800000"/>
    <n v="5.7770000000000002E-2"/>
    <x v="1"/>
    <s v="Todo bien"/>
    <x v="0"/>
    <x v="3"/>
    <n v="588.13951134152603"/>
    <x v="1"/>
    <x v="2"/>
    <s v="Pequeña"/>
    <x v="1"/>
    <n v="1350.1817552362818"/>
  </r>
  <r>
    <s v="Sare Crescent Parc Royal Greens Phase "/>
    <x v="53"/>
    <n v="4512"/>
    <n v="3"/>
    <x v="4"/>
    <x v="5"/>
    <s v=" Sector 92 Gurgaon"/>
    <n v="0"/>
    <n v="0"/>
    <n v="3"/>
    <n v="1"/>
    <n v="3"/>
    <x v="1"/>
    <n v="4"/>
    <n v="0"/>
    <n v="0"/>
    <n v="0"/>
    <n v="0"/>
    <n v="1440.6028368794325"/>
    <m/>
    <n v="1440.45"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4060283687943E-2"/>
    <n v="6500000"/>
    <n v="4.512E-2"/>
    <x v="1"/>
    <s v="Todo bien"/>
    <x v="0"/>
    <x v="3"/>
    <n v="627.5269571919315"/>
    <x v="1"/>
    <x v="2"/>
    <s v="Pequeña"/>
    <x v="1"/>
    <n v="1440.6028368794325"/>
  </r>
  <r>
    <s v="Smriti Apartment"/>
    <x v="248"/>
    <n v="10666"/>
    <n v="1"/>
    <x v="1"/>
    <x v="1"/>
    <s v=" Sector 56 Gurgaon"/>
    <n v="0"/>
    <n v="0"/>
    <n v="1"/>
    <n v="1"/>
    <n v="1"/>
    <x v="3"/>
    <n v="5"/>
    <n v="0"/>
    <n v="0"/>
    <n v="0"/>
    <n v="0"/>
    <n v="487.53047065441586"/>
    <m/>
    <n v="525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753047065440997E-3"/>
    <n v="5200000"/>
    <n v="0.10666"/>
    <x v="1"/>
    <s v="Todo bien"/>
    <x v="0"/>
    <x v="0"/>
    <n v="212.36839533845608"/>
    <x v="0"/>
    <x v="1"/>
    <s v="Pequeña"/>
    <x v="0"/>
    <n v="487.53047065441586"/>
  </r>
  <r>
    <s v="Pareena Mi Casa"/>
    <x v="8"/>
    <n v="8835"/>
    <n v="2"/>
    <x v="5"/>
    <x v="2"/>
    <s v=" Sector 68 Gurgaon"/>
    <n v="0"/>
    <n v="0"/>
    <n v="2"/>
    <n v="11"/>
    <n v="3"/>
    <x v="0"/>
    <n v="25"/>
    <n v="0"/>
    <n v="0"/>
    <n v="0"/>
    <n v="0"/>
    <n v="1245.048104131296"/>
    <m/>
    <n v="1245"/>
    <n v="1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4810413129E-2"/>
    <n v="11000000"/>
    <n v="8.8349999999999998E-2"/>
    <x v="2"/>
    <s v="Todo bien"/>
    <x v="0"/>
    <x v="3"/>
    <n v="542.34326654215931"/>
    <x v="1"/>
    <x v="2"/>
    <s v="Pequeña"/>
    <x v="1"/>
    <n v="1245.048104131296"/>
  </r>
  <r>
    <s v="Godrej Nature Plus"/>
    <x v="85"/>
    <n v="13126"/>
    <n v="2"/>
    <x v="1"/>
    <x v="3"/>
    <s v=" Sector-33 Sohna"/>
    <n v="0"/>
    <n v="0"/>
    <n v="2"/>
    <n v="8"/>
    <n v="3"/>
    <x v="0"/>
    <n v="22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7944537559E-3"/>
    <n v="10800000"/>
    <n v="0.13125999999999999"/>
    <x v="2"/>
    <s v="Todo bien"/>
    <x v="0"/>
    <x v="2"/>
    <n v="358.40947049519849"/>
    <x v="0"/>
    <x v="1"/>
    <s v="Pequeña"/>
    <x v="0"/>
    <n v="822.79445375590444"/>
  </r>
  <r>
    <s v="Ambience Creacions"/>
    <x v="427"/>
    <n v="12912"/>
    <n v="3"/>
    <x v="1"/>
    <x v="2"/>
    <s v=" Sector 22 Gurgaon"/>
    <n v="0"/>
    <n v="0"/>
    <n v="5"/>
    <n v="3"/>
    <n v="3"/>
    <x v="1"/>
    <n v="16"/>
    <n v="1"/>
    <n v="0"/>
    <n v="0"/>
    <n v="0"/>
    <n v="3090.1486988847582"/>
    <m/>
    <n v="3090"/>
    <n v="1"/>
    <n v="1"/>
    <n v="0"/>
    <n v="1"/>
    <n v="0"/>
    <n v="1"/>
    <n v="1"/>
    <n v="1"/>
    <n v="1"/>
    <n v="1"/>
    <n v="0"/>
    <n v="1"/>
    <n v="1"/>
    <n v="0"/>
    <n v="1"/>
    <n v="1"/>
    <n v="1"/>
    <n v="46"/>
    <x v="0"/>
    <x v="1"/>
    <x v="1"/>
    <x v="1"/>
    <x v="1"/>
    <x v="0"/>
    <x v="0"/>
    <x v="0"/>
    <x v="1"/>
    <n v="0"/>
    <n v="4"/>
    <n v="1"/>
    <n v="0"/>
    <n v="0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3.0901486988847499E-2"/>
    <n v="39900000"/>
    <n v="0.12912000000000001"/>
    <x v="5"/>
    <s v="Todo bien"/>
    <x v="2"/>
    <x v="4"/>
    <n v="1346.0695485525057"/>
    <x v="1"/>
    <x v="3"/>
    <s v="Pequeña"/>
    <x v="3"/>
    <n v="3090.1486988847582"/>
  </r>
  <r>
    <s v="ATS Tourmaline"/>
    <x v="68"/>
    <n v="10000"/>
    <n v="3"/>
    <x v="1"/>
    <x v="2"/>
    <s v=" Sector 109 Gurgaon"/>
    <n v="0"/>
    <n v="0"/>
    <n v="3"/>
    <n v="4"/>
    <n v="3"/>
    <x v="1"/>
    <n v="27"/>
    <n v="0"/>
    <n v="0"/>
    <n v="0"/>
    <n v="0"/>
    <n v="1460"/>
    <n v="1466"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7500000"/>
    <n v="0.1"/>
    <x v="3"/>
    <s v="Todo bien"/>
    <x v="0"/>
    <x v="0"/>
    <n v="762.3004390750001"/>
    <x v="1"/>
    <x v="2"/>
    <s v="Mediana"/>
    <x v="1"/>
    <n v="1750"/>
  </r>
  <r>
    <s v="Signature Global Park"/>
    <x v="112"/>
    <n v="7200"/>
    <n v="2"/>
    <x v="2"/>
    <x v="3"/>
    <s v=" Sohna"/>
    <n v="0"/>
    <n v="0"/>
    <n v="2"/>
    <n v="4"/>
    <n v="2"/>
    <x v="0"/>
    <n v="4"/>
    <n v="0"/>
    <n v="0"/>
    <n v="0"/>
    <n v="0"/>
    <n v="7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5400000"/>
    <n v="7.1999999999999995E-2"/>
    <x v="1"/>
    <s v="Todo bien"/>
    <x v="0"/>
    <x v="5"/>
    <n v="326.70018817499999"/>
    <x v="0"/>
    <x v="0"/>
    <s v="Pequeña"/>
    <x v="0"/>
    <n v="750"/>
  </r>
  <r>
    <s v="Chintels Paradiso"/>
    <x v="6"/>
    <n v="7604"/>
    <n v="4"/>
    <x v="1"/>
    <x v="0"/>
    <s v=" Sector 109 Gurgaon"/>
    <n v="0"/>
    <n v="0"/>
    <n v="4"/>
    <n v="11"/>
    <n v="2"/>
    <x v="2"/>
    <n v="18"/>
    <n v="1"/>
    <n v="0"/>
    <n v="1"/>
    <n v="0"/>
    <n v="2630.1946344029461"/>
    <m/>
    <n v="2630"/>
    <n v="1"/>
    <n v="0"/>
    <n v="1"/>
    <n v="1"/>
    <n v="0"/>
    <n v="0"/>
    <n v="1"/>
    <n v="1"/>
    <n v="1"/>
    <n v="0"/>
    <n v="1"/>
    <n v="0"/>
    <n v="1"/>
    <n v="1"/>
    <n v="0"/>
    <n v="1"/>
    <n v="1"/>
    <n v="33"/>
    <x v="0"/>
    <x v="0"/>
    <x v="1"/>
    <x v="1"/>
    <x v="1"/>
    <x v="0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301946344029398E-2"/>
    <n v="20000000"/>
    <n v="7.6039999999999996E-2"/>
    <x v="3"/>
    <s v="Todo bien"/>
    <x v="1"/>
    <x v="3"/>
    <n v="1145.7134426617545"/>
    <x v="1"/>
    <x v="3"/>
    <s v="Pequeña"/>
    <x v="2"/>
    <n v="2630.1946344029461"/>
  </r>
  <r>
    <s v="Ambience Creacions"/>
    <x v="34"/>
    <n v="11500"/>
    <n v="3"/>
    <x v="2"/>
    <x v="2"/>
    <s v=" Sector 22 Gurgaon"/>
    <n v="0"/>
    <n v="0"/>
    <n v="4"/>
    <n v="2"/>
    <n v="3"/>
    <x v="1"/>
    <n v="20"/>
    <n v="0"/>
    <n v="0"/>
    <n v="0"/>
    <n v="0"/>
    <n v="2782.608695652174"/>
    <m/>
    <n v="2781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26086956521699E-2"/>
    <n v="32000000"/>
    <n v="0.115"/>
    <x v="5"/>
    <s v="Todo bien"/>
    <x v="0"/>
    <x v="1"/>
    <n v="1212.105045982607"/>
    <x v="1"/>
    <x v="3"/>
    <s v="Pequeña"/>
    <x v="2"/>
    <n v="2782.608695652174"/>
  </r>
  <r>
    <s v="Supertech Hues"/>
    <x v="50"/>
    <n v="8474"/>
    <n v="2"/>
    <x v="1"/>
    <x v="2"/>
    <s v=" Sector 68 Gurgaon"/>
    <n v="0"/>
    <n v="0"/>
    <n v="2"/>
    <n v="12"/>
    <n v="2"/>
    <x v="0"/>
    <n v="17"/>
    <n v="0"/>
    <n v="0"/>
    <n v="0"/>
    <n v="0"/>
    <n v="1180"/>
    <m/>
    <m/>
    <n v="0"/>
    <n v="0"/>
    <n v="1"/>
    <n v="1"/>
    <n v="0"/>
    <n v="0"/>
    <n v="0"/>
    <n v="1"/>
    <n v="0"/>
    <n v="0"/>
    <n v="1"/>
    <n v="1"/>
    <n v="1"/>
    <n v="0"/>
    <n v="1"/>
    <n v="0"/>
    <n v="0"/>
    <n v="31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x v="1"/>
    <s v="Todo bien"/>
    <x v="0"/>
    <x v="3"/>
    <n v="514.04325100306778"/>
    <x v="1"/>
    <x v="0"/>
    <s v="Pequeña"/>
    <x v="0"/>
    <n v="1180.080245456691"/>
  </r>
  <r>
    <s v="Conscient Heritage Max"/>
    <x v="101"/>
    <n v="10489"/>
    <n v="4"/>
    <x v="4"/>
    <x v="0"/>
    <s v=" Sector 102 Gurgaon"/>
    <n v="0"/>
    <n v="0"/>
    <n v="4"/>
    <n v="7"/>
    <n v="3"/>
    <x v="2"/>
    <n v="26"/>
    <n v="0"/>
    <n v="0"/>
    <n v="0"/>
    <n v="0"/>
    <n v="286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6"/>
    <n v="1"/>
    <n v="6"/>
    <n v="1"/>
    <n v="0"/>
    <n v="0"/>
    <n v="0"/>
    <n v="1"/>
    <n v="0"/>
    <n v="0"/>
    <n v="1"/>
    <n v="0"/>
    <n v="0"/>
    <n v="1"/>
    <n v="4"/>
    <n v="1"/>
    <n v="1"/>
    <n v="0"/>
    <n v="0"/>
    <n v="0"/>
    <n v="0"/>
    <n v="0"/>
    <n v="1"/>
    <n v="2.8601391934407399E-2"/>
    <n v="30000000"/>
    <n v="0.10489"/>
    <x v="5"/>
    <s v="Todo bien"/>
    <x v="2"/>
    <x v="3"/>
    <n v="1245.8773502717099"/>
    <x v="1"/>
    <x v="3"/>
    <s v="Pequeña"/>
    <x v="0"/>
    <n v="2860.1391934407475"/>
  </r>
  <r>
    <s v="MVN Athens"/>
    <x v="240"/>
    <n v="4666"/>
    <n v="1"/>
    <x v="1"/>
    <x v="2"/>
    <s v=" Sohna"/>
    <n v="0"/>
    <n v="0"/>
    <n v="1"/>
    <n v="11"/>
    <n v="1"/>
    <x v="3"/>
    <n v="14"/>
    <n v="0"/>
    <n v="0"/>
    <n v="0"/>
    <n v="0"/>
    <n v="450"/>
    <m/>
    <m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6429489927004E-3"/>
    <n v="2100000"/>
    <n v="4.666E-2"/>
    <x v="0"/>
    <s v="Todo bien"/>
    <x v="0"/>
    <x v="2"/>
    <n v="196.04811977925362"/>
    <x v="0"/>
    <x v="1"/>
    <s v="Pequeña"/>
    <x v="0"/>
    <n v="450.06429489927132"/>
  </r>
  <r>
    <s v="AWHO Shanti Vihar"/>
    <x v="30"/>
    <n v="9879"/>
    <n v="2"/>
    <x v="4"/>
    <x v="2"/>
    <s v=" Sector 95 Gurgaon"/>
    <n v="0"/>
    <n v="0"/>
    <n v="2"/>
    <n v="13"/>
    <n v="3"/>
    <x v="0"/>
    <n v="19"/>
    <n v="0"/>
    <n v="1"/>
    <n v="0"/>
    <n v="0"/>
    <n v="830"/>
    <m/>
    <n v="1400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4352667274007E-3"/>
    <n v="8200000"/>
    <n v="9.8790000000000003E-2"/>
    <x v="1"/>
    <s v="Todo bien"/>
    <x v="0"/>
    <x v="5"/>
    <n v="361.56716847656645"/>
    <x v="0"/>
    <x v="0"/>
    <s v="Pequeña"/>
    <x v="1"/>
    <n v="830.04352667274009"/>
  </r>
  <r>
    <s v="Sare Homes"/>
    <x v="13"/>
    <n v="4250"/>
    <n v="4"/>
    <x v="4"/>
    <x v="2"/>
    <s v=" Sector 92 Gurgaon"/>
    <n v="0"/>
    <n v="0"/>
    <n v="3"/>
    <n v="16"/>
    <n v="2"/>
    <x v="2"/>
    <n v="19"/>
    <n v="0"/>
    <n v="0"/>
    <n v="0"/>
    <n v="0"/>
    <n v="1900"/>
    <n v="1983"/>
    <n v="200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2352941176470499E-2"/>
    <n v="9500000"/>
    <n v="4.2500000000000003E-2"/>
    <x v="1"/>
    <s v="Todo bien"/>
    <x v="0"/>
    <x v="5"/>
    <n v="973.6946784823491"/>
    <x v="1"/>
    <x v="2"/>
    <s v="Grande"/>
    <x v="1"/>
    <n v="2235.2941176470586"/>
  </r>
  <r>
    <s v="Pareena Mi Casa"/>
    <x v="119"/>
    <n v="7389"/>
    <n v="2"/>
    <x v="0"/>
    <x v="3"/>
    <s v=" Sector 68 Gurgaon"/>
    <n v="0"/>
    <n v="0"/>
    <n v="2"/>
    <n v="5"/>
    <n v="3"/>
    <x v="0"/>
    <n v="36"/>
    <n v="0"/>
    <n v="0"/>
    <n v="0"/>
    <n v="0"/>
    <n v="1245.0940587359589"/>
    <m/>
    <n v="1245"/>
    <n v="1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9405873595E-2"/>
    <n v="9200000"/>
    <n v="7.3889999999999997E-2"/>
    <x v="1"/>
    <s v="Todo bien"/>
    <x v="0"/>
    <x v="0"/>
    <n v="542.36328437947918"/>
    <x v="1"/>
    <x v="2"/>
    <s v="Pequeña"/>
    <x v="1"/>
    <n v="1245.0940587359589"/>
  </r>
  <r>
    <s v="Deepak Minda"/>
    <x v="43"/>
    <n v="4716"/>
    <n v="3"/>
    <x v="1"/>
    <x v="5"/>
    <s v=" Sector 1A IMT Manesar"/>
    <n v="0"/>
    <n v="0"/>
    <n v="3"/>
    <n v="6"/>
    <n v="3"/>
    <x v="1"/>
    <n v="10"/>
    <n v="1"/>
    <n v="0"/>
    <n v="0"/>
    <n v="0"/>
    <n v="26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05513146734501E-2"/>
    <n v="12500000"/>
    <n v="4.7160000000000001E-2"/>
    <x v="2"/>
    <s v="Todo bien"/>
    <x v="0"/>
    <x v="1"/>
    <n v="1154.5808176950798"/>
    <x v="1"/>
    <x v="3"/>
    <s v="Pequeña"/>
    <x v="0"/>
    <n v="2650.551314673452"/>
  </r>
  <r>
    <s v="Ansal Heights "/>
    <x v="32"/>
    <n v="5735"/>
    <n v="2"/>
    <x v="5"/>
    <x v="2"/>
    <s v=" Sector 86 Gurgaon"/>
    <n v="0"/>
    <n v="0"/>
    <n v="2"/>
    <n v="8"/>
    <n v="2"/>
    <x v="0"/>
    <n v="14"/>
    <n v="0"/>
    <n v="0"/>
    <n v="0"/>
    <n v="0"/>
    <n v="1360.0697471665214"/>
    <n v="1360"/>
    <m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x v="1"/>
    <s v="Todo bien"/>
    <x v="0"/>
    <x v="3"/>
    <n v="592.4467231072357"/>
    <x v="1"/>
    <x v="2"/>
    <s v="Mediana"/>
    <x v="0"/>
    <n v="1360.0697471665214"/>
  </r>
  <r>
    <s v="Pivotal Riddhi Siddhi"/>
    <x v="1"/>
    <n v="8517"/>
    <n v="2"/>
    <x v="1"/>
    <x v="2"/>
    <s v=" Sector 99 Gurgaon"/>
    <n v="0"/>
    <n v="0"/>
    <n v="1"/>
    <n v="7"/>
    <n v="2"/>
    <x v="0"/>
    <n v="18"/>
    <n v="0"/>
    <n v="0"/>
    <n v="0"/>
    <n v="0"/>
    <n v="587"/>
    <m/>
    <m/>
    <n v="0"/>
    <n v="0"/>
    <n v="0"/>
    <n v="0"/>
    <n v="0"/>
    <n v="0"/>
    <n v="0"/>
    <n v="1"/>
    <n v="0"/>
    <n v="0"/>
    <n v="0"/>
    <n v="1"/>
    <n v="1"/>
    <n v="0"/>
    <n v="1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06117177409001E-3"/>
    <n v="5000000"/>
    <n v="8.5169999999999996E-2"/>
    <x v="1"/>
    <s v="Todo bien"/>
    <x v="0"/>
    <x v="2"/>
    <n v="255.72399371844162"/>
    <x v="0"/>
    <x v="1"/>
    <s v="Pequeña"/>
    <x v="0"/>
    <n v="587.06117177409885"/>
  </r>
  <r>
    <s v="Sare Homes"/>
    <x v="13"/>
    <n v="4871"/>
    <n v="4"/>
    <x v="1"/>
    <x v="2"/>
    <s v=" Sector 92 Gurgaon"/>
    <n v="0"/>
    <n v="0"/>
    <n v="3"/>
    <n v="13"/>
    <n v="3"/>
    <x v="2"/>
    <n v="25"/>
    <n v="0"/>
    <n v="0"/>
    <n v="0"/>
    <n v="0"/>
    <n v="1950.3182098131799"/>
    <m/>
    <n v="195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3182098131799E-2"/>
    <n v="9500000"/>
    <n v="4.8710000000000003E-2"/>
    <x v="1"/>
    <s v="Todo bien"/>
    <x v="0"/>
    <x v="2"/>
    <n v="849.55910152946001"/>
    <x v="1"/>
    <x v="2"/>
    <s v="Pequeña"/>
    <x v="1"/>
    <n v="1950.3182098131799"/>
  </r>
  <r>
    <s v="Central Park Flower Valley Aqua Front Towers"/>
    <x v="6"/>
    <n v="11179"/>
    <n v="3"/>
    <x v="2"/>
    <x v="2"/>
    <s v=" Sector-33 Sohna"/>
    <n v="0"/>
    <n v="0"/>
    <n v="3"/>
    <n v="8"/>
    <n v="3"/>
    <x v="1"/>
    <n v="11"/>
    <n v="0"/>
    <n v="0"/>
    <n v="0"/>
    <n v="0"/>
    <n v="1789.0687896949637"/>
    <m/>
    <n v="1789"/>
    <n v="0"/>
    <n v="0"/>
    <n v="0"/>
    <n v="0"/>
    <n v="0"/>
    <n v="0"/>
    <n v="0"/>
    <n v="1"/>
    <n v="1"/>
    <n v="0"/>
    <n v="0"/>
    <n v="1"/>
    <n v="0"/>
    <n v="0"/>
    <n v="0"/>
    <n v="1"/>
    <n v="1"/>
    <n v="16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878969496E-2"/>
    <n v="20000000"/>
    <n v="0.11179"/>
    <x v="3"/>
    <s v="Todo bien"/>
    <x v="0"/>
    <x v="0"/>
    <n v="779.31881366848393"/>
    <x v="1"/>
    <x v="2"/>
    <s v="Pequeña"/>
    <x v="1"/>
    <n v="1789.0687896949637"/>
  </r>
  <r>
    <s v="Shyam Apartment"/>
    <x v="79"/>
    <n v="3714"/>
    <n v="2"/>
    <x v="1"/>
    <x v="0"/>
    <s v=" Ashok Vihar"/>
    <n v="0"/>
    <n v="0"/>
    <n v="1"/>
    <n v="2"/>
    <n v="2"/>
    <x v="0"/>
    <n v="4"/>
    <n v="0"/>
    <n v="0"/>
    <n v="0"/>
    <n v="0"/>
    <n v="530"/>
    <m/>
    <n v="7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385029616998E-3"/>
    <n v="2600000"/>
    <n v="3.7139999999999999E-2"/>
    <x v="0"/>
    <s v="Todo bien"/>
    <x v="0"/>
    <x v="2"/>
    <n v="304.94363283252272"/>
    <x v="0"/>
    <x v="1"/>
    <s v="Pequeña"/>
    <x v="0"/>
    <n v="700.05385029617662"/>
  </r>
  <r>
    <s v="City Shri Ram Apartments "/>
    <x v="88"/>
    <n v="3666"/>
    <n v="2"/>
    <x v="1"/>
    <x v="0"/>
    <s v=" Sector 110 Gurgaon"/>
    <n v="0"/>
    <n v="0"/>
    <n v="1"/>
    <n v="1"/>
    <n v="1"/>
    <x v="0"/>
    <n v="4"/>
    <n v="0"/>
    <n v="0"/>
    <n v="0"/>
    <n v="0"/>
    <n v="600.10911074740864"/>
    <m/>
    <n v="600"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10911074740002E-3"/>
    <n v="2200000"/>
    <n v="3.6659999999999998E-2"/>
    <x v="0"/>
    <s v="Todo bien"/>
    <x v="0"/>
    <x v="2"/>
    <n v="261.40767920894336"/>
    <x v="0"/>
    <x v="0"/>
    <s v="Pequeña"/>
    <x v="0"/>
    <n v="600.10911074740864"/>
  </r>
  <r>
    <s v="Maruti Kunj"/>
    <x v="42"/>
    <n v="5161"/>
    <n v="3"/>
    <x v="1"/>
    <x v="1"/>
    <s v=" Bhondsi"/>
    <n v="0"/>
    <n v="0"/>
    <n v="2"/>
    <n v="0"/>
    <n v="0"/>
    <x v="1"/>
    <n v="1"/>
    <n v="0"/>
    <n v="0"/>
    <n v="0"/>
    <n v="0"/>
    <n v="1550.0871924045728"/>
    <m/>
    <n v="155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8719240457E-2"/>
    <n v="8000000"/>
    <n v="5.1610000000000003E-2"/>
    <x v="1"/>
    <s v="Todo bien"/>
    <x v="0"/>
    <x v="2"/>
    <n v="675.21836992830731"/>
    <x v="1"/>
    <x v="2"/>
    <s v="Pequeña"/>
    <x v="1"/>
    <n v="1550.0871924045728"/>
  </r>
  <r>
    <s v="Godrej Summit"/>
    <x v="8"/>
    <n v="8669"/>
    <n v="2"/>
    <x v="4"/>
    <x v="3"/>
    <s v=" Sector 104 Gurgaon"/>
    <n v="0"/>
    <n v="0"/>
    <n v="2"/>
    <n v="16"/>
    <n v="3"/>
    <x v="0"/>
    <n v="19"/>
    <n v="0"/>
    <n v="0"/>
    <n v="0"/>
    <n v="0"/>
    <n v="1268.8891452301302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888914523013E-2"/>
    <n v="11000000"/>
    <n v="8.6690000000000003E-2"/>
    <x v="2"/>
    <s v="Todo bien"/>
    <x v="0"/>
    <x v="4"/>
    <n v="552.72843002653121"/>
    <x v="1"/>
    <x v="2"/>
    <s v="Pequeña"/>
    <x v="1"/>
    <n v="1268.8891452301302"/>
  </r>
  <r>
    <s v="Palam Vihar Extension West Zone RWA"/>
    <x v="328"/>
    <n v="4000"/>
    <n v="1"/>
    <x v="1"/>
    <x v="5"/>
    <s v=" Palam Vihar Extension"/>
    <n v="0"/>
    <n v="0"/>
    <n v="1"/>
    <n v="1"/>
    <n v="1"/>
    <x v="3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0000000000000001E-3"/>
    <n v="2000000"/>
    <n v="0.04"/>
    <x v="0"/>
    <s v="Todo bien"/>
    <x v="0"/>
    <x v="2"/>
    <n v="217.80012545000002"/>
    <x v="0"/>
    <x v="1"/>
    <s v="Pequeña"/>
    <x v="0"/>
    <n v="500"/>
  </r>
  <r>
    <s v="Sare Crescent Parc"/>
    <x v="15"/>
    <n v="4278"/>
    <n v="4"/>
    <x v="2"/>
    <x v="0"/>
    <s v=" Sector 92 Gurgaon"/>
    <n v="0"/>
    <n v="0"/>
    <n v="5"/>
    <n v="14"/>
    <n v="3"/>
    <x v="2"/>
    <n v="15"/>
    <n v="1"/>
    <n v="0"/>
    <n v="0"/>
    <n v="0"/>
    <n v="2103.7868162692848"/>
    <m/>
    <n v="1870"/>
    <n v="0"/>
    <n v="0"/>
    <n v="0"/>
    <n v="0"/>
    <n v="0"/>
    <n v="0"/>
    <n v="0"/>
    <n v="1"/>
    <n v="0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37868162692801E-2"/>
    <n v="9000000"/>
    <n v="4.2779999999999999E-2"/>
    <x v="1"/>
    <s v="Todo bien"/>
    <x v="0"/>
    <x v="1"/>
    <n v="916.41006500701064"/>
    <x v="1"/>
    <x v="2"/>
    <s v="Pequeña"/>
    <x v="1"/>
    <n v="2103.7868162692848"/>
  </r>
  <r>
    <s v="GLS Arawali Homes"/>
    <x v="45"/>
    <n v="5291"/>
    <n v="2"/>
    <x v="1"/>
    <x v="0"/>
    <s v=" Sohna"/>
    <n v="0"/>
    <n v="0"/>
    <n v="2"/>
    <n v="10"/>
    <n v="2"/>
    <x v="0"/>
    <n v="13"/>
    <n v="0"/>
    <n v="0"/>
    <n v="0"/>
    <n v="0"/>
    <n v="467"/>
    <m/>
    <n v="567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6700056700056001E-3"/>
    <n v="3000000"/>
    <n v="5.2909999999999999E-2"/>
    <x v="0"/>
    <s v="Todo bien"/>
    <x v="0"/>
    <x v="0"/>
    <n v="246.98558924588622"/>
    <x v="0"/>
    <x v="1"/>
    <s v="Pequeña"/>
    <x v="0"/>
    <n v="567.000567000567"/>
  </r>
  <r>
    <s v="Ambience Creacions"/>
    <x v="106"/>
    <n v="15000"/>
    <n v="3"/>
    <x v="4"/>
    <x v="2"/>
    <s v=" Sector 22 Gurgaon"/>
    <n v="0"/>
    <n v="0"/>
    <n v="3"/>
    <n v="13"/>
    <n v="3"/>
    <x v="1"/>
    <n v="20"/>
    <n v="0"/>
    <n v="0"/>
    <n v="0"/>
    <n v="0"/>
    <n v="1300"/>
    <m/>
    <n v="18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3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1.8599999999999998E-2"/>
    <n v="27900000"/>
    <n v="0.15"/>
    <x v="5"/>
    <s v="Todo bien"/>
    <x v="2"/>
    <x v="5"/>
    <n v="810.216466674"/>
    <x v="1"/>
    <x v="2"/>
    <s v="Pequeña"/>
    <x v="1"/>
    <n v="1860"/>
  </r>
  <r>
    <s v="Breez Global Heights"/>
    <x v="95"/>
    <n v="4105"/>
    <n v="2"/>
    <x v="1"/>
    <x v="0"/>
    <s v=" Sohna"/>
    <n v="0"/>
    <n v="0"/>
    <n v="2"/>
    <n v="3"/>
    <n v="2"/>
    <x v="0"/>
    <n v="10"/>
    <n v="0"/>
    <n v="0"/>
    <n v="0"/>
    <n v="0"/>
    <n v="610"/>
    <n v="720"/>
    <n v="95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x v="0"/>
    <s v="Todo bien"/>
    <x v="0"/>
    <x v="2"/>
    <n v="413.84676699390576"/>
    <x v="0"/>
    <x v="0"/>
    <s v="Pequeña"/>
    <x v="0"/>
    <n v="950.06090133982946"/>
  </r>
  <r>
    <s v="Sare Homes"/>
    <x v="13"/>
    <n v="4750"/>
    <n v="4"/>
    <x v="4"/>
    <x v="2"/>
    <s v=" Sector 92 Gurgaon"/>
    <n v="0"/>
    <n v="0"/>
    <n v="3"/>
    <n v="17"/>
    <n v="2"/>
    <x v="2"/>
    <n v="20"/>
    <n v="0"/>
    <n v="0"/>
    <n v="0"/>
    <n v="0"/>
    <n v="1900"/>
    <n v="1983"/>
    <n v="2000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.02"/>
    <n v="9500000"/>
    <n v="4.7500000000000001E-2"/>
    <x v="1"/>
    <s v="Todo bien"/>
    <x v="0"/>
    <x v="2"/>
    <n v="871.2005018000001"/>
    <x v="1"/>
    <x v="2"/>
    <s v="Grande"/>
    <x v="1"/>
    <n v="2000"/>
  </r>
  <r>
    <s v="Godrej Air"/>
    <x v="12"/>
    <n v="13632"/>
    <n v="2"/>
    <x v="1"/>
    <x v="3"/>
    <s v=" Sector 85 Gurgaon"/>
    <n v="0"/>
    <n v="0"/>
    <n v="2"/>
    <n v="19"/>
    <n v="3"/>
    <x v="0"/>
    <n v="32"/>
    <n v="0"/>
    <n v="0"/>
    <n v="0"/>
    <n v="0"/>
    <n v="9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31690140845008E-3"/>
    <n v="13500000"/>
    <n v="0.13632"/>
    <x v="2"/>
    <s v="Todo bien"/>
    <x v="0"/>
    <x v="1"/>
    <n v="431.38229072403146"/>
    <x v="0"/>
    <x v="1"/>
    <s v="Pequeña"/>
    <x v="0"/>
    <n v="990.31690140845069"/>
  </r>
  <r>
    <s v="Vidya Apartment"/>
    <x v="88"/>
    <n v="4210"/>
    <n v="2"/>
    <x v="7"/>
    <x v="0"/>
    <s v=" Ashok Vihar Phase 3 Extension"/>
    <n v="0"/>
    <n v="0"/>
    <n v="2"/>
    <n v="1"/>
    <n v="1"/>
    <x v="0"/>
    <n v="5"/>
    <n v="0"/>
    <n v="0"/>
    <n v="0"/>
    <n v="0"/>
    <n v="550"/>
    <n v="570"/>
    <m/>
    <n v="0"/>
    <n v="1"/>
    <n v="0"/>
    <n v="0"/>
    <n v="0"/>
    <n v="0"/>
    <n v="0"/>
    <n v="1"/>
    <n v="0"/>
    <n v="1"/>
    <n v="1"/>
    <n v="1"/>
    <n v="1"/>
    <n v="0"/>
    <n v="1"/>
    <n v="0"/>
    <n v="0"/>
    <n v="26"/>
    <x v="0"/>
    <x v="0"/>
    <x v="0"/>
    <x v="1"/>
    <x v="0"/>
    <x v="0"/>
    <x v="0"/>
    <x v="0"/>
    <x v="0"/>
    <n v="0"/>
    <n v="1"/>
    <n v="1"/>
    <n v="1"/>
    <n v="1"/>
    <n v="0"/>
    <n v="0"/>
    <n v="1"/>
    <n v="0"/>
    <n v="1"/>
    <n v="1"/>
    <n v="1"/>
    <n v="1"/>
    <n v="1"/>
    <n v="1"/>
    <n v="1"/>
    <n v="1"/>
    <n v="0"/>
    <n v="0"/>
    <n v="0"/>
    <n v="0"/>
    <n v="0"/>
    <n v="0"/>
    <n v="1"/>
    <n v="5.2256532066508E-3"/>
    <n v="2200000"/>
    <n v="4.2099999999999999E-2"/>
    <x v="0"/>
    <s v="Todo bien"/>
    <x v="2"/>
    <x v="1"/>
    <n v="227.62958479334782"/>
    <x v="0"/>
    <x v="1"/>
    <s v="Pequeña"/>
    <x v="0"/>
    <n v="522.56532066508316"/>
  </r>
  <r>
    <s v="Supertech Hill Town"/>
    <x v="78"/>
    <n v="8720"/>
    <n v="3"/>
    <x v="4"/>
    <x v="3"/>
    <s v=" Sector-2 Sohna"/>
    <n v="0"/>
    <n v="0"/>
    <n v="3"/>
    <n v="3"/>
    <n v="3"/>
    <x v="1"/>
    <n v="4"/>
    <n v="0"/>
    <n v="0"/>
    <n v="0"/>
    <n v="0"/>
    <n v="1720"/>
    <m/>
    <m/>
    <n v="0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01834862385301E-2"/>
    <n v="15000000"/>
    <n v="8.72E-2"/>
    <x v="2"/>
    <s v="Todo bien"/>
    <x v="0"/>
    <x v="1"/>
    <n v="749.31235819954043"/>
    <x v="1"/>
    <x v="2"/>
    <s v="Pequeña"/>
    <x v="0"/>
    <n v="1720.1834862385322"/>
  </r>
  <r>
    <s v="takshila heights sector  c"/>
    <x v="346"/>
    <n v="5583"/>
    <n v="2"/>
    <x v="1"/>
    <x v="0"/>
    <s v=" New Gurgaon"/>
    <n v="0"/>
    <n v="0"/>
    <n v="2"/>
    <n v="3"/>
    <n v="2"/>
    <x v="0"/>
    <n v="12"/>
    <n v="0"/>
    <n v="0"/>
    <n v="0"/>
    <n v="0"/>
    <n v="1200.0716460684221"/>
    <m/>
    <n v="120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16460684201E-2"/>
    <n v="6700000"/>
    <n v="5.5829999999999998E-2"/>
    <x v="1"/>
    <s v="Todo bien"/>
    <x v="0"/>
    <x v="0"/>
    <n v="522.75151012537981"/>
    <x v="1"/>
    <x v="2"/>
    <s v="Pequeña"/>
    <x v="1"/>
    <n v="1200.0716460684221"/>
  </r>
  <r>
    <s v="saroop garden"/>
    <x v="13"/>
    <n v="2638"/>
    <n v="2"/>
    <x v="1"/>
    <x v="2"/>
    <s v=" saroop garden rajendra park"/>
    <n v="0"/>
    <n v="0"/>
    <n v="2"/>
    <n v="1"/>
    <n v="1"/>
    <x v="0"/>
    <n v="3"/>
    <n v="0"/>
    <n v="0"/>
    <n v="0"/>
    <n v="0"/>
    <n v="36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6012130401819498E-2"/>
    <n v="9500000"/>
    <n v="2.6380000000000001E-2"/>
    <x v="1"/>
    <s v="Todo bien"/>
    <x v="0"/>
    <x v="2"/>
    <n v="1568.6893038476092"/>
    <x v="3"/>
    <x v="3"/>
    <s v="Pequeña"/>
    <x v="0"/>
    <n v="3601.2130401819559"/>
  </r>
  <r>
    <s v="MM Skycity"/>
    <x v="6"/>
    <n v="15267"/>
    <n v="2"/>
    <x v="4"/>
    <x v="2"/>
    <s v=" Sector 65 Gurgaon"/>
    <n v="0"/>
    <n v="0"/>
    <n v="2"/>
    <n v="16"/>
    <n v="2"/>
    <x v="0"/>
    <n v="45"/>
    <n v="0"/>
    <n v="0"/>
    <n v="0"/>
    <n v="0"/>
    <n v="1310.0150651732495"/>
    <m/>
    <n v="13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1001506517324E-2"/>
    <n v="20000000"/>
    <n v="0.15267"/>
    <x v="3"/>
    <s v="Todo bien"/>
    <x v="1"/>
    <x v="5"/>
    <n v="570.64289107224329"/>
    <x v="1"/>
    <x v="2"/>
    <s v="Pequeña"/>
    <x v="1"/>
    <n v="1310.0150651732495"/>
  </r>
  <r>
    <s v="CHD Avenue "/>
    <x v="81"/>
    <n v="6526"/>
    <n v="3"/>
    <x v="4"/>
    <x v="5"/>
    <s v=" Sector 71 Gurgaon"/>
    <n v="0"/>
    <n v="0"/>
    <n v="3"/>
    <n v="15"/>
    <n v="2"/>
    <x v="1"/>
    <n v="15"/>
    <n v="1"/>
    <n v="0"/>
    <n v="0"/>
    <n v="0"/>
    <n v="1339"/>
    <m/>
    <n v="1762"/>
    <n v="0"/>
    <n v="0"/>
    <n v="0"/>
    <n v="1"/>
    <n v="0"/>
    <n v="0"/>
    <n v="0"/>
    <n v="1"/>
    <n v="0"/>
    <n v="1"/>
    <n v="1"/>
    <n v="0"/>
    <n v="1"/>
    <n v="1"/>
    <n v="1"/>
    <n v="1"/>
    <n v="1"/>
    <n v="30"/>
    <x v="0"/>
    <x v="0"/>
    <x v="1"/>
    <x v="1"/>
    <x v="0"/>
    <x v="1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621820410664998E-2"/>
    <n v="11500000"/>
    <n v="6.5259999999999999E-2"/>
    <x v="2"/>
    <s v="Todo bien"/>
    <x v="1"/>
    <x v="1"/>
    <n v="767.60693922004145"/>
    <x v="1"/>
    <x v="2"/>
    <s v="Pequeña"/>
    <x v="1"/>
    <n v="1762.1820410665032"/>
  </r>
  <r>
    <s v="Bestech Park View Residency"/>
    <x v="52"/>
    <n v="8461"/>
    <n v="1"/>
    <x v="5"/>
    <x v="5"/>
    <s v=" Palam Vihar"/>
    <n v="0"/>
    <n v="0"/>
    <n v="1"/>
    <n v="7"/>
    <n v="2"/>
    <x v="3"/>
    <n v="14"/>
    <n v="0"/>
    <n v="0"/>
    <n v="0"/>
    <n v="0"/>
    <n v="650.04136626876254"/>
    <m/>
    <n v="65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4136626876001E-3"/>
    <n v="5500000"/>
    <n v="8.4610000000000005E-2"/>
    <x v="1"/>
    <s v="Todo bien"/>
    <x v="0"/>
    <x v="0"/>
    <n v="283.15818224205066"/>
    <x v="0"/>
    <x v="0"/>
    <s v="Pequeña"/>
    <x v="0"/>
    <n v="650.04136626876254"/>
  </r>
  <r>
    <s v="Smart World Orchard"/>
    <x v="78"/>
    <n v="12500"/>
    <n v="2"/>
    <x v="5"/>
    <x v="3"/>
    <s v=" Sector 61 Gurgaon"/>
    <n v="0"/>
    <n v="0"/>
    <n v="2"/>
    <n v="2"/>
    <n v="2"/>
    <x v="0"/>
    <n v="4"/>
    <n v="0"/>
    <n v="1"/>
    <n v="0"/>
    <n v="0"/>
    <n v="12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1"/>
    <n v="522.72030108000001"/>
    <x v="1"/>
    <x v="0"/>
    <s v="Pequeña"/>
    <x v="0"/>
    <n v="1200"/>
  </r>
  <r>
    <s v="MM The Tree Of Life"/>
    <x v="168"/>
    <n v="14551"/>
    <n v="3"/>
    <x v="1"/>
    <x v="3"/>
    <s v=" Sector 111 Gurgaon"/>
    <n v="0"/>
    <n v="0"/>
    <n v="3"/>
    <n v="5"/>
    <n v="3"/>
    <x v="1"/>
    <n v="30"/>
    <n v="0"/>
    <n v="0"/>
    <n v="0"/>
    <n v="0"/>
    <n v="1615.0092777128721"/>
    <n v="1615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500927771287E-2"/>
    <n v="23500000"/>
    <n v="0.14551"/>
    <x v="3"/>
    <s v="Todo bien"/>
    <x v="0"/>
    <x v="2"/>
    <n v="703.49844657755398"/>
    <x v="1"/>
    <x v="2"/>
    <s v="Mediana"/>
    <x v="0"/>
    <n v="1615.0092777128721"/>
  </r>
  <r>
    <s v="bajrang apartments"/>
    <x v="94"/>
    <n v="4470"/>
    <n v="2"/>
    <x v="1"/>
    <x v="5"/>
    <s v=" Dayanand Colony"/>
    <n v="0"/>
    <n v="0"/>
    <n v="2"/>
    <n v="1"/>
    <n v="2"/>
    <x v="0"/>
    <n v="2"/>
    <n v="0"/>
    <n v="0"/>
    <n v="0"/>
    <n v="0"/>
    <n v="85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11185682326001E-3"/>
    <n v="3800000"/>
    <n v="4.4699999999999997E-2"/>
    <x v="0"/>
    <s v="Todo bien"/>
    <x v="0"/>
    <x v="2"/>
    <n v="370.30893812527694"/>
    <x v="0"/>
    <x v="0"/>
    <s v="Pequeña"/>
    <x v="0"/>
    <n v="850.11185682326629"/>
  </r>
  <r>
    <s v="Vipul Lavanya"/>
    <x v="50"/>
    <n v="8000"/>
    <n v="2"/>
    <x v="1"/>
    <x v="0"/>
    <s v=" Sector 81 Gurgaon"/>
    <n v="0"/>
    <n v="0"/>
    <n v="2"/>
    <n v="7"/>
    <n v="2"/>
    <x v="0"/>
    <n v="12"/>
    <n v="0"/>
    <n v="0"/>
    <n v="0"/>
    <n v="0"/>
    <n v="1250"/>
    <m/>
    <n v="1250"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00000000000001E-2"/>
    <n v="10000000"/>
    <n v="0.08"/>
    <x v="1"/>
    <s v="Todo bien"/>
    <x v="0"/>
    <x v="2"/>
    <n v="544.5003136250001"/>
    <x v="1"/>
    <x v="2"/>
    <s v="Pequeña"/>
    <x v="1"/>
    <n v="1250"/>
  </r>
  <r>
    <s v="Ramprastha Primera"/>
    <x v="257"/>
    <n v="6000"/>
    <n v="3"/>
    <x v="1"/>
    <x v="3"/>
    <s v=" Sector 37D Gurgaon"/>
    <n v="0"/>
    <n v="0"/>
    <n v="2"/>
    <n v="22"/>
    <n v="3"/>
    <x v="1"/>
    <n v="23"/>
    <n v="0"/>
    <n v="0"/>
    <n v="0"/>
    <n v="0"/>
    <n v="1700"/>
    <m/>
    <n v="170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000000000001E-2"/>
    <n v="10200000"/>
    <n v="0.06"/>
    <x v="2"/>
    <s v="Todo bien"/>
    <x v="0"/>
    <x v="1"/>
    <n v="740.52042653000012"/>
    <x v="1"/>
    <x v="2"/>
    <s v="Pequeña"/>
    <x v="1"/>
    <n v="1700"/>
  </r>
  <r>
    <s v="Signature Global Park "/>
    <x v="108"/>
    <n v="6428"/>
    <n v="3"/>
    <x v="1"/>
    <x v="3"/>
    <s v=" Sector 36 Sohna"/>
    <n v="0"/>
    <n v="0"/>
    <n v="2"/>
    <n v="2"/>
    <n v="3"/>
    <x v="1"/>
    <n v="4"/>
    <n v="0"/>
    <n v="0"/>
    <n v="0"/>
    <n v="0"/>
    <n v="112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7200000"/>
    <n v="6.4280000000000004E-2"/>
    <x v="1"/>
    <s v="Todo bien"/>
    <x v="0"/>
    <x v="2"/>
    <n v="487.91565128811237"/>
    <x v="0"/>
    <x v="0"/>
    <s v="Pequeña"/>
    <x v="0"/>
    <n v="1120.0995644057248"/>
  </r>
  <r>
    <s v="Elan Mercado"/>
    <x v="28"/>
    <n v="12408"/>
    <n v="1"/>
    <x v="1"/>
    <x v="0"/>
    <s v=" Sector 80 Gurgaon"/>
    <n v="0"/>
    <n v="0"/>
    <n v="1"/>
    <n v="15"/>
    <n v="1"/>
    <x v="3"/>
    <n v="25"/>
    <n v="0"/>
    <n v="0"/>
    <n v="0"/>
    <n v="0"/>
    <n v="685"/>
    <m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504190844616E-3"/>
    <n v="8500000"/>
    <n v="0.12408"/>
    <x v="1"/>
    <s v="Todo bien"/>
    <x v="0"/>
    <x v="1"/>
    <n v="298.40442719616215"/>
    <x v="0"/>
    <x v="0"/>
    <s v="Pequeña"/>
    <x v="0"/>
    <n v="685.0419084461638"/>
  </r>
  <r>
    <s v="Sanskriti Apartment"/>
    <x v="8"/>
    <n v="6666"/>
    <n v="3"/>
    <x v="1"/>
    <x v="5"/>
    <s v=" Sector 10A Gurgaon"/>
    <n v="0"/>
    <n v="0"/>
    <n v="3"/>
    <n v="2"/>
    <n v="3"/>
    <x v="1"/>
    <n v="4"/>
    <n v="0"/>
    <n v="0"/>
    <n v="0"/>
    <n v="0"/>
    <n v="1650"/>
    <m/>
    <m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65016501650165E-2"/>
    <n v="11000000"/>
    <n v="6.6659999999999997E-2"/>
    <x v="2"/>
    <s v="Todo bien"/>
    <x v="0"/>
    <x v="0"/>
    <n v="718.81229521452144"/>
    <x v="1"/>
    <x v="2"/>
    <s v="Pequeña"/>
    <x v="0"/>
    <n v="1650.1650165016501"/>
  </r>
  <r>
    <s v="Shapoorji Pallonji Joyville Gurugram"/>
    <x v="12"/>
    <n v="14754"/>
    <n v="2"/>
    <x v="1"/>
    <x v="3"/>
    <s v=" Sector 102 Gurgaon"/>
    <n v="0"/>
    <n v="0"/>
    <n v="2"/>
    <n v="10"/>
    <n v="2"/>
    <x v="0"/>
    <n v="14"/>
    <n v="0"/>
    <n v="0"/>
    <n v="0"/>
    <n v="0"/>
    <n v="915.00610004066687"/>
    <m/>
    <n v="915"/>
    <n v="0"/>
    <n v="0"/>
    <n v="0"/>
    <n v="1"/>
    <n v="0"/>
    <n v="0"/>
    <n v="0"/>
    <n v="1"/>
    <n v="0"/>
    <n v="0"/>
    <n v="0"/>
    <n v="1"/>
    <n v="1"/>
    <n v="0"/>
    <n v="0"/>
    <n v="0"/>
    <n v="0"/>
    <n v="15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610004065994E-3"/>
    <n v="13500000"/>
    <n v="0.14754"/>
    <x v="2"/>
    <s v="Todo bien"/>
    <x v="0"/>
    <x v="0"/>
    <n v="398.57688675274198"/>
    <x v="0"/>
    <x v="0"/>
    <s v="Pequeña"/>
    <x v="0"/>
    <n v="915.00610004066687"/>
  </r>
  <r>
    <s v="AVL  Gurgaon"/>
    <x v="319"/>
    <n v="8990"/>
    <n v="1"/>
    <x v="0"/>
    <x v="0"/>
    <s v=" Sector 36A Gurgaon"/>
    <n v="0"/>
    <n v="0"/>
    <n v="1"/>
    <n v="7"/>
    <n v="1"/>
    <x v="3"/>
    <n v="10"/>
    <n v="0"/>
    <n v="0"/>
    <n v="0"/>
    <n v="0"/>
    <n v="402"/>
    <m/>
    <n v="406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0600667408231001E-3"/>
    <n v="3650000"/>
    <n v="8.9899999999999994E-2"/>
    <x v="0"/>
    <s v="Todo bien"/>
    <x v="0"/>
    <x v="5"/>
    <n v="176.85660909732877"/>
    <x v="0"/>
    <x v="1"/>
    <s v="Pequeña"/>
    <x v="0"/>
    <n v="406.00667408231374"/>
  </r>
  <r>
    <s v="Vatika INXT Floors"/>
    <x v="43"/>
    <n v="8333"/>
    <n v="3"/>
    <x v="5"/>
    <x v="0"/>
    <s v=" Sector 82A Gurgaon"/>
    <n v="0"/>
    <n v="0"/>
    <n v="2"/>
    <n v="2"/>
    <n v="3"/>
    <x v="1"/>
    <n v="2"/>
    <n v="0"/>
    <n v="1"/>
    <n v="1"/>
    <n v="0"/>
    <n v="1500"/>
    <m/>
    <m/>
    <n v="1"/>
    <n v="0"/>
    <n v="1"/>
    <n v="1"/>
    <n v="0"/>
    <n v="0"/>
    <n v="0"/>
    <n v="1"/>
    <n v="1"/>
    <n v="1"/>
    <n v="0"/>
    <n v="1"/>
    <n v="0"/>
    <n v="0"/>
    <n v="1"/>
    <n v="1"/>
    <n v="1"/>
    <n v="41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0006000240009E-2"/>
    <n v="12500000"/>
    <n v="8.3330000000000001E-2"/>
    <x v="2"/>
    <s v="Todo bien"/>
    <x v="1"/>
    <x v="4"/>
    <n v="653.42651341053386"/>
    <x v="1"/>
    <x v="2"/>
    <s v="Pequeña"/>
    <x v="0"/>
    <n v="1500.060002400096"/>
  </r>
  <r>
    <s v="BPTP Pedestal"/>
    <x v="49"/>
    <n v="9500"/>
    <n v="4"/>
    <x v="4"/>
    <x v="2"/>
    <s v=" Sector 70A Gurgaon"/>
    <n v="0"/>
    <n v="0"/>
    <n v="3"/>
    <n v="2"/>
    <n v="3"/>
    <x v="2"/>
    <n v="3"/>
    <n v="0"/>
    <n v="0"/>
    <n v="0"/>
    <n v="1"/>
    <n v="190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0"/>
    <x v="0"/>
    <x v="1"/>
    <x v="1"/>
    <x v="0"/>
    <x v="0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.02"/>
    <n v="19000000"/>
    <n v="9.5000000000000001E-2"/>
    <x v="3"/>
    <s v="Todo bien"/>
    <x v="1"/>
    <x v="5"/>
    <n v="871.2005018000001"/>
    <x v="1"/>
    <x v="2"/>
    <s v="Pequeña"/>
    <x v="0"/>
    <n v="2000"/>
  </r>
  <r>
    <s v="Vipul Lavanya"/>
    <x v="428"/>
    <n v="5261"/>
    <n v="2"/>
    <x v="4"/>
    <x v="0"/>
    <s v=" Sector 81 Gurgaon"/>
    <n v="0"/>
    <n v="0"/>
    <n v="2"/>
    <n v="12"/>
    <n v="3"/>
    <x v="0"/>
    <n v="14"/>
    <n v="0"/>
    <n v="0"/>
    <n v="0"/>
    <n v="0"/>
    <n v="1225"/>
    <m/>
    <m/>
    <n v="0"/>
    <n v="0"/>
    <n v="1"/>
    <n v="0"/>
    <n v="0"/>
    <n v="0"/>
    <n v="1"/>
    <n v="0"/>
    <n v="1"/>
    <n v="0"/>
    <n v="0"/>
    <n v="0"/>
    <n v="0"/>
    <n v="0"/>
    <n v="1"/>
    <n v="1"/>
    <n v="1"/>
    <n v="19"/>
    <x v="0"/>
    <x v="0"/>
    <x v="1"/>
    <x v="1"/>
    <x v="1"/>
    <x v="1"/>
    <x v="1"/>
    <x v="0"/>
    <x v="0"/>
    <n v="0"/>
    <n v="0"/>
    <n v="0"/>
    <n v="3"/>
    <n v="1"/>
    <n v="0"/>
    <n v="0"/>
    <n v="1"/>
    <n v="0"/>
    <n v="0"/>
    <n v="0"/>
    <n v="0"/>
    <n v="0"/>
    <n v="0"/>
    <n v="1"/>
    <n v="3"/>
    <n v="1"/>
    <n v="0"/>
    <n v="0"/>
    <n v="0"/>
    <n v="0"/>
    <n v="0"/>
    <n v="0"/>
    <n v="2"/>
    <n v="1.22505227143128E-2"/>
    <n v="6445000"/>
    <n v="5.2609999999999997E-2"/>
    <x v="1"/>
    <s v="Todo bien"/>
    <x v="1"/>
    <x v="0"/>
    <n v="533.63307680108051"/>
    <x v="1"/>
    <x v="2"/>
    <s v="Pequeña"/>
    <x v="0"/>
    <n v="1225.052271431287"/>
  </r>
  <r>
    <s v="SS The Leaf"/>
    <x v="58"/>
    <n v="7754"/>
    <n v="4"/>
    <x v="1"/>
    <x v="2"/>
    <s v=" Sector 85 Gurgaon"/>
    <n v="0"/>
    <n v="0"/>
    <n v="4"/>
    <n v="23"/>
    <n v="3"/>
    <x v="2"/>
    <n v="26"/>
    <n v="0"/>
    <n v="0"/>
    <n v="0"/>
    <n v="0"/>
    <n v="3482.0737683776115"/>
    <m/>
    <n v="348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820737683776103E-2"/>
    <n v="27000000"/>
    <n v="7.7539999999999998E-2"/>
    <x v="5"/>
    <s v="Todo bien"/>
    <x v="0"/>
    <x v="0"/>
    <n v="1516.7922071575956"/>
    <x v="3"/>
    <x v="3"/>
    <s v="Pequeña"/>
    <x v="3"/>
    <n v="3482.0737683776115"/>
  </r>
  <r>
    <s v="Sobha City"/>
    <x v="69"/>
    <n v="13975"/>
    <n v="2"/>
    <x v="1"/>
    <x v="3"/>
    <s v=" Sector 108 Gurgaon"/>
    <n v="0"/>
    <n v="0"/>
    <n v="2"/>
    <n v="3"/>
    <n v="2"/>
    <x v="0"/>
    <n v="18"/>
    <n v="0"/>
    <n v="0"/>
    <n v="0"/>
    <n v="0"/>
    <n v="1502.6833631484792"/>
    <m/>
    <n v="1381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26833631484699E-2"/>
    <n v="21000000"/>
    <n v="0.13975000000000001"/>
    <x v="3"/>
    <s v="Todo bien"/>
    <x v="0"/>
    <x v="4"/>
    <n v="654.56925001072932"/>
    <x v="1"/>
    <x v="2"/>
    <s v="Pequeña"/>
    <x v="1"/>
    <n v="1502.6833631484792"/>
  </r>
  <r>
    <s v="Suposhaa Smartworld Orchard"/>
    <x v="355"/>
    <n v="14000"/>
    <n v="3"/>
    <x v="1"/>
    <x v="3"/>
    <s v=" Sector 61 Gurgaon"/>
    <n v="0"/>
    <n v="0"/>
    <n v="3"/>
    <n v="1"/>
    <n v="3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E-2"/>
    <n v="21700000"/>
    <n v="0.14000000000000001"/>
    <x v="3"/>
    <s v="Todo bien"/>
    <x v="0"/>
    <x v="2"/>
    <n v="675.18038889500008"/>
    <x v="1"/>
    <x v="2"/>
    <s v="Pequeña"/>
    <x v="0"/>
    <n v="1549.9999999999998"/>
  </r>
  <r>
    <s v="Smart World Orchard"/>
    <x v="74"/>
    <n v="15178"/>
    <n v="2"/>
    <x v="4"/>
    <x v="3"/>
    <s v=" Sector 61 Gurgaon"/>
    <n v="0"/>
    <n v="0"/>
    <n v="2"/>
    <n v="4"/>
    <n v="2"/>
    <x v="0"/>
    <n v="4"/>
    <n v="0"/>
    <n v="1"/>
    <n v="0"/>
    <n v="0"/>
    <n v="112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00421662933099E-2"/>
    <n v="17000000"/>
    <n v="0.15178"/>
    <x v="3"/>
    <s v="Todo bien"/>
    <x v="1"/>
    <x v="5"/>
    <n v="487.89064865594537"/>
    <x v="0"/>
    <x v="0"/>
    <s v="Pequeña"/>
    <x v="0"/>
    <n v="1120.0421662933193"/>
  </r>
  <r>
    <s v="smart world one"/>
    <x v="71"/>
    <n v="5933"/>
    <n v="3"/>
    <x v="1"/>
    <x v="3"/>
    <s v=" Dwarka Expressway Gurgaon"/>
    <n v="0"/>
    <n v="0"/>
    <n v="4"/>
    <n v="6"/>
    <n v="3"/>
    <x v="1"/>
    <n v="29"/>
    <n v="0"/>
    <n v="0"/>
    <n v="0"/>
    <n v="0"/>
    <n v="2785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10551154559202E-2"/>
    <n v="16500000"/>
    <n v="5.9330000000000001E-2"/>
    <x v="3"/>
    <s v="Todo bien"/>
    <x v="0"/>
    <x v="2"/>
    <n v="1211.4283060593273"/>
    <x v="1"/>
    <x v="3"/>
    <s v="Pequeña"/>
    <x v="0"/>
    <n v="2781.0551154559244"/>
  </r>
  <r>
    <s v="ramshanti cooperative society"/>
    <x v="184"/>
    <n v="7242"/>
    <n v="4"/>
    <x v="1"/>
    <x v="2"/>
    <s v=" Sector 52 Gurgaon"/>
    <n v="0"/>
    <n v="0"/>
    <n v="4"/>
    <n v="12"/>
    <n v="3"/>
    <x v="2"/>
    <n v="12"/>
    <n v="0"/>
    <n v="0"/>
    <n v="0"/>
    <n v="0"/>
    <n v="2430.2678818006075"/>
    <m/>
    <n v="243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302678818006001E-2"/>
    <n v="17600000"/>
    <n v="7.2419999999999998E-2"/>
    <x v="3"/>
    <s v="Todo bien"/>
    <x v="0"/>
    <x v="2"/>
    <n v="1058.625299066553"/>
    <x v="1"/>
    <x v="2"/>
    <s v="Pequeña"/>
    <x v="2"/>
    <n v="2430.2678818006075"/>
  </r>
  <r>
    <s v="SS Radiance Residency"/>
    <x v="91"/>
    <n v="5660"/>
    <n v="3"/>
    <x v="2"/>
    <x v="0"/>
    <s v=" Adarsh Nagar"/>
    <n v="0"/>
    <n v="0"/>
    <n v="3"/>
    <n v="3"/>
    <n v="2"/>
    <x v="1"/>
    <n v="3"/>
    <n v="0"/>
    <n v="0"/>
    <n v="0"/>
    <n v="0"/>
    <n v="10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007067137809E-2"/>
    <n v="6000000"/>
    <n v="5.6599999999999998E-2"/>
    <x v="1"/>
    <s v="Todo bien"/>
    <x v="0"/>
    <x v="1"/>
    <n v="461.7670504240275"/>
    <x v="0"/>
    <x v="0"/>
    <s v="Pequeña"/>
    <x v="0"/>
    <n v="1060.0706713780919"/>
  </r>
  <r>
    <s v="Apna Enclave"/>
    <x v="91"/>
    <n v="6667"/>
    <n v="2"/>
    <x v="2"/>
    <x v="4"/>
    <s v=" Sector 4 Urban Estate"/>
    <n v="0"/>
    <n v="0"/>
    <n v="2"/>
    <n v="1"/>
    <n v="1"/>
    <x v="0"/>
    <n v="4"/>
    <n v="0"/>
    <n v="0"/>
    <n v="0"/>
    <n v="0"/>
    <n v="700"/>
    <n v="9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00224988E-3"/>
    <n v="6000000"/>
    <n v="6.6669999999999993E-2"/>
    <x v="1"/>
    <s v="Todo bien"/>
    <x v="0"/>
    <x v="2"/>
    <n v="392.02062477875779"/>
    <x v="0"/>
    <x v="0"/>
    <s v="Mediana"/>
    <x v="0"/>
    <n v="899.95500224988757"/>
  </r>
  <r>
    <s v="BPTP Amstoria"/>
    <x v="39"/>
    <n v="8653"/>
    <n v="3"/>
    <x v="1"/>
    <x v="5"/>
    <s v=" BPTP"/>
    <n v="0"/>
    <n v="0"/>
    <n v="3"/>
    <n v="7"/>
    <n v="3"/>
    <x v="1"/>
    <n v="19"/>
    <n v="0"/>
    <n v="0"/>
    <n v="0"/>
    <n v="0"/>
    <n v="2600.2542470819371"/>
    <m/>
    <n v="26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5424708193E-2"/>
    <n v="22500000"/>
    <n v="8.6529999999999996E-2"/>
    <x v="3"/>
    <s v="Todo bien"/>
    <x v="0"/>
    <x v="2"/>
    <n v="1132.6714024326793"/>
    <x v="1"/>
    <x v="3"/>
    <s v="Pequeña"/>
    <x v="2"/>
    <n v="2600.2542470819371"/>
  </r>
  <r>
    <s v="Silverglades The Melia"/>
    <x v="122"/>
    <n v="6800"/>
    <n v="2"/>
    <x v="1"/>
    <x v="2"/>
    <s v=" Sohna"/>
    <n v="0"/>
    <n v="0"/>
    <n v="2"/>
    <n v="1"/>
    <n v="3"/>
    <x v="0"/>
    <n v="14"/>
    <n v="0"/>
    <n v="1"/>
    <n v="0"/>
    <n v="0"/>
    <n v="1338.2352941176471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82352941176401E-2"/>
    <n v="9100000"/>
    <n v="6.8000000000000005E-2"/>
    <x v="1"/>
    <s v="Todo bien"/>
    <x v="0"/>
    <x v="3"/>
    <n v="582.93562988087933"/>
    <x v="1"/>
    <x v="2"/>
    <s v="Pequeña"/>
    <x v="1"/>
    <n v="1338.2352941176471"/>
  </r>
  <r>
    <s v="Zara Aavaas"/>
    <x v="214"/>
    <n v="6577"/>
    <n v="3"/>
    <x v="1"/>
    <x v="3"/>
    <s v=" Sector 104 Gurgaon"/>
    <n v="0"/>
    <n v="0"/>
    <n v="2"/>
    <n v="7"/>
    <n v="2"/>
    <x v="1"/>
    <n v="8"/>
    <n v="0"/>
    <n v="0"/>
    <n v="0"/>
    <n v="0"/>
    <n v="645"/>
    <m/>
    <n v="745"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502052607570996E-3"/>
    <n v="4900000"/>
    <n v="6.5769999999999995E-2"/>
    <x v="0"/>
    <s v="Todo bien"/>
    <x v="0"/>
    <x v="4"/>
    <n v="324.53112808422929"/>
    <x v="0"/>
    <x v="0"/>
    <s v="Pequeña"/>
    <x v="0"/>
    <n v="745.02052607571852"/>
  </r>
  <r>
    <s v="rk tower"/>
    <x v="13"/>
    <n v="9595"/>
    <n v="2"/>
    <x v="3"/>
    <x v="0"/>
    <s v=" Palam Vihar"/>
    <n v="0"/>
    <n v="0"/>
    <n v="2"/>
    <n v="1"/>
    <n v="1"/>
    <x v="0"/>
    <n v="4"/>
    <n v="0"/>
    <n v="0"/>
    <n v="0"/>
    <n v="0"/>
    <n v="99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9500000"/>
    <n v="9.5949999999999994E-2"/>
    <x v="1"/>
    <s v="Todo bien"/>
    <x v="0"/>
    <x v="1"/>
    <n v="431.28737712871282"/>
    <x v="0"/>
    <x v="0"/>
    <s v="Pequeña"/>
    <x v="0"/>
    <n v="990.09900990099015"/>
  </r>
  <r>
    <s v="Breez Global Hill View"/>
    <x v="45"/>
    <n v="5124"/>
    <n v="2"/>
    <x v="5"/>
    <x v="2"/>
    <s v=" Sohna"/>
    <n v="0"/>
    <n v="0"/>
    <n v="2"/>
    <n v="11"/>
    <n v="1"/>
    <x v="0"/>
    <n v="19"/>
    <n v="0"/>
    <n v="0"/>
    <n v="0"/>
    <n v="0"/>
    <n v="585.41"/>
    <m/>
    <m/>
    <n v="0"/>
    <n v="1"/>
    <n v="1"/>
    <n v="0"/>
    <n v="0"/>
    <n v="1"/>
    <n v="1"/>
    <n v="1"/>
    <n v="0"/>
    <n v="1"/>
    <n v="0"/>
    <n v="0"/>
    <n v="1"/>
    <n v="1"/>
    <n v="1"/>
    <n v="0"/>
    <n v="0"/>
    <n v="32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8009367681E-3"/>
    <n v="3000000"/>
    <n v="5.1240000000000001E-2"/>
    <x v="0"/>
    <s v="Todo bien"/>
    <x v="0"/>
    <x v="3"/>
    <n v="255.03527570257395"/>
    <x v="0"/>
    <x v="1"/>
    <s v="Pequeña"/>
    <x v="0"/>
    <n v="585.48009367681493"/>
  </r>
  <r>
    <s v="AVL  Gurgaon"/>
    <x v="429"/>
    <n v="10539"/>
    <n v="1"/>
    <x v="5"/>
    <x v="0"/>
    <s v=" Sector 36A Gurgaon"/>
    <n v="0"/>
    <n v="0"/>
    <n v="1"/>
    <n v="3"/>
    <n v="1"/>
    <x v="3"/>
    <n v="10"/>
    <n v="0"/>
    <n v="0"/>
    <n v="0"/>
    <n v="0"/>
    <n v="352.02580890027519"/>
    <m/>
    <n v="3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3.5202580890026998E-3"/>
    <n v="3710000"/>
    <n v="0.10539"/>
    <x v="0"/>
    <s v="Todo bien"/>
    <x v="1"/>
    <x v="4"/>
    <n v="153.34253068023307"/>
    <x v="0"/>
    <x v="1"/>
    <s v="Pequeña"/>
    <x v="0"/>
    <n v="352.02580890027519"/>
  </r>
  <r>
    <s v="Corona Gracieux"/>
    <x v="29"/>
    <n v="5660"/>
    <n v="2"/>
    <x v="1"/>
    <x v="0"/>
    <s v=" Sector 76 Gurgaon"/>
    <n v="0"/>
    <n v="0"/>
    <n v="2"/>
    <n v="13"/>
    <n v="3"/>
    <x v="0"/>
    <n v="14"/>
    <n v="0"/>
    <n v="0"/>
    <n v="0"/>
    <n v="0"/>
    <n v="1325.0883392226149"/>
    <m/>
    <n v="132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32508833922261E-2"/>
    <n v="7500000"/>
    <n v="5.6599999999999998E-2"/>
    <x v="1"/>
    <s v="Todo bien"/>
    <x v="0"/>
    <x v="2"/>
    <n v="577.2088130300333"/>
    <x v="1"/>
    <x v="2"/>
    <s v="Pequeña"/>
    <x v="1"/>
    <n v="1325.0883392226149"/>
  </r>
  <r>
    <s v="Emaar Mgf Emerald Floors"/>
    <x v="153"/>
    <n v="15758"/>
    <n v="3"/>
    <x v="4"/>
    <x v="4"/>
    <s v=" Sector 65 Gurgaon"/>
    <n v="0"/>
    <n v="0"/>
    <n v="3"/>
    <n v="3"/>
    <n v="3"/>
    <x v="1"/>
    <n v="5"/>
    <n v="0"/>
    <n v="0"/>
    <n v="0"/>
    <n v="0"/>
    <n v="165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995557811905E-2"/>
    <n v="26000000"/>
    <n v="0.15758"/>
    <x v="5"/>
    <s v="Todo bien"/>
    <x v="0"/>
    <x v="2"/>
    <n v="718.72106380251284"/>
    <x v="1"/>
    <x v="2"/>
    <s v="Pequeña"/>
    <x v="0"/>
    <n v="1649.9555781190506"/>
  </r>
  <r>
    <s v="Umang Monsoon Breeze"/>
    <x v="8"/>
    <n v="5055"/>
    <n v="3"/>
    <x v="1"/>
    <x v="1"/>
    <s v=" Sector 78 Gurgaon"/>
    <n v="0"/>
    <n v="0"/>
    <n v="3"/>
    <n v="9"/>
    <n v="3"/>
    <x v="1"/>
    <n v="18"/>
    <n v="1"/>
    <n v="0"/>
    <n v="0"/>
    <n v="0"/>
    <n v="2176.0633036597428"/>
    <n v="2176"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06330365974E-2"/>
    <n v="11000000"/>
    <n v="5.0549999999999998E-2"/>
    <x v="2"/>
    <s v="Todo bien"/>
    <x v="0"/>
    <x v="3"/>
    <n v="947.89372104846575"/>
    <x v="1"/>
    <x v="2"/>
    <s v="Grande"/>
    <x v="0"/>
    <n v="2176.0633036597428"/>
  </r>
  <r>
    <s v="Puri Emerald Bay"/>
    <x v="78"/>
    <n v="9678"/>
    <n v="2"/>
    <x v="1"/>
    <x v="3"/>
    <s v=" Sector 104 Gurgaon"/>
    <n v="0"/>
    <n v="0"/>
    <n v="2"/>
    <n v="7"/>
    <n v="2"/>
    <x v="0"/>
    <n v="28"/>
    <n v="0"/>
    <n v="0"/>
    <n v="0"/>
    <n v="0"/>
    <n v="1549.9070055796651"/>
    <m/>
    <n v="1550"/>
    <n v="0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0700557966E-2"/>
    <n v="15000000"/>
    <n v="9.6780000000000005E-2"/>
    <x v="2"/>
    <s v="Todo bien"/>
    <x v="0"/>
    <x v="0"/>
    <n v="675.13988050216767"/>
    <x v="1"/>
    <x v="2"/>
    <s v="Pequeña"/>
    <x v="1"/>
    <n v="1549.9070055796651"/>
  </r>
  <r>
    <s v="Smart World Orchard"/>
    <x v="232"/>
    <n v="14460"/>
    <n v="3"/>
    <x v="1"/>
    <x v="2"/>
    <s v=" Sector 61 Gurgaon"/>
    <n v="0"/>
    <n v="0"/>
    <n v="3"/>
    <n v="3"/>
    <n v="2"/>
    <x v="1"/>
    <n v="4"/>
    <n v="0"/>
    <n v="0"/>
    <n v="0"/>
    <n v="0"/>
    <n v="1549.1009681881053"/>
    <m/>
    <n v="154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1009681881E-2"/>
    <n v="22400000.000000004"/>
    <n v="0.14460000000000001"/>
    <x v="3"/>
    <s v="Todo bien"/>
    <x v="0"/>
    <x v="2"/>
    <n v="674.78877041216936"/>
    <x v="1"/>
    <x v="2"/>
    <s v="Pequeña"/>
    <x v="1"/>
    <n v="1549.1009681881053"/>
  </r>
  <r>
    <s v="Smart World Orchard"/>
    <x v="275"/>
    <n v="13652"/>
    <n v="2"/>
    <x v="1"/>
    <x v="2"/>
    <s v=" Sector 61 Gurgaon"/>
    <n v="0"/>
    <n v="0"/>
    <n v="2"/>
    <n v="3"/>
    <n v="2"/>
    <x v="0"/>
    <n v="4"/>
    <n v="0"/>
    <n v="1"/>
    <n v="0"/>
    <n v="0"/>
    <n v="1150.0146498681511"/>
    <n v="1150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464986815E-2"/>
    <n v="15700000"/>
    <n v="0.13652"/>
    <x v="3"/>
    <s v="Todo bien"/>
    <x v="0"/>
    <x v="1"/>
    <n v="500.9466700212418"/>
    <x v="1"/>
    <x v="0"/>
    <s v="Mediana"/>
    <x v="0"/>
    <n v="1150.0146498681511"/>
  </r>
  <r>
    <s v="Signature Global Solera"/>
    <x v="17"/>
    <m/>
    <m/>
    <x v="1"/>
    <x v="4"/>
    <s v=" Sector 107 Gurgaon"/>
    <n v="0"/>
    <n v="0"/>
    <m/>
    <m/>
    <m/>
    <x v="0"/>
    <m/>
    <n v="0"/>
    <n v="0"/>
    <n v="0"/>
    <n v="0"/>
    <e v="#DIV/0!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x v="0"/>
    <s v="Todo bien"/>
    <x v="0"/>
    <x v="2"/>
    <m/>
    <x v="0"/>
    <x v="4"/>
    <s v="Pequeña"/>
    <x v="0"/>
    <e v="#DIV/0!"/>
  </r>
  <r>
    <s v="Tulip Monsella"/>
    <x v="17"/>
    <n v="33198"/>
    <m/>
    <x v="1"/>
    <x v="4"/>
    <s v=" Sector 53 Gurgaon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33198"/>
    <x v="0"/>
    <s v="Todo bien"/>
    <x v="0"/>
    <x v="2"/>
    <m/>
    <x v="0"/>
    <x v="1"/>
    <s v="Pequeña"/>
    <x v="0"/>
    <n v="0"/>
  </r>
  <r>
    <s v="My Home"/>
    <x v="17"/>
    <n v="4400"/>
    <m/>
    <x v="1"/>
    <x v="4"/>
    <s v=" New Palam Vihar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3999999999999997E-2"/>
    <x v="0"/>
    <s v="Todo bien"/>
    <x v="0"/>
    <x v="2"/>
    <m/>
    <x v="0"/>
    <x v="1"/>
    <s v="Pequeña"/>
    <x v="0"/>
    <n v="0"/>
  </r>
  <r>
    <s v="Breez Global Hill View"/>
    <x v="17"/>
    <n v="5470"/>
    <m/>
    <x v="1"/>
    <x v="4"/>
    <s v=" Sohna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4699999999999999E-2"/>
    <x v="0"/>
    <s v="Todo bien"/>
    <x v="0"/>
    <x v="2"/>
    <m/>
    <x v="0"/>
    <x v="1"/>
    <s v="Pequeña"/>
    <x v="0"/>
    <n v="0"/>
  </r>
  <r>
    <s v="Tulip Monsella"/>
    <x v="430"/>
    <n v="33198"/>
    <n v="4"/>
    <x v="1"/>
    <x v="3"/>
    <s v=" Sector 53 Gurgaon"/>
    <n v="0"/>
    <n v="0"/>
    <n v="4"/>
    <n v="21"/>
    <n v="3"/>
    <x v="2"/>
    <n v="36"/>
    <n v="0"/>
    <n v="0"/>
    <n v="0"/>
    <n v="0"/>
    <n v="2229"/>
    <m/>
    <m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290499427676299E-2"/>
    <n v="74000000"/>
    <n v="0.33198"/>
    <x v="6"/>
    <s v="Todo bien"/>
    <x v="0"/>
    <x v="0"/>
    <n v="970.97471433821033"/>
    <x v="1"/>
    <x v="2"/>
    <s v="Pequeña"/>
    <x v="0"/>
    <n v="2229.0499427676368"/>
  </r>
  <r>
    <s v="My Home"/>
    <x v="88"/>
    <n v="4400"/>
    <n v="2"/>
    <x v="1"/>
    <x v="2"/>
    <s v=" New Palam Vihar"/>
    <n v="0"/>
    <n v="0"/>
    <n v="2"/>
    <n v="1"/>
    <n v="1"/>
    <x v="0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0000000000000001E-3"/>
    <n v="2200000"/>
    <n v="4.3999999999999997E-2"/>
    <x v="0"/>
    <s v="Todo bien"/>
    <x v="0"/>
    <x v="2"/>
    <n v="217.80012545000002"/>
    <x v="0"/>
    <x v="1"/>
    <s v="Pequeña"/>
    <x v="0"/>
    <n v="500.00000000000006"/>
  </r>
  <r>
    <s v="Breez Global Hill View"/>
    <x v="75"/>
    <n v="5470"/>
    <n v="2"/>
    <x v="1"/>
    <x v="2"/>
    <s v=" Sohna"/>
    <n v="0"/>
    <n v="0"/>
    <n v="2"/>
    <n v="17"/>
    <n v="1"/>
    <x v="0"/>
    <n v="19"/>
    <n v="0"/>
    <n v="0"/>
    <n v="0"/>
    <n v="0"/>
    <n v="585"/>
    <n v="10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00914076782002E-3"/>
    <n v="3200000"/>
    <n v="5.4699999999999999E-2"/>
    <x v="0"/>
    <s v="Todo bien"/>
    <x v="0"/>
    <x v="1"/>
    <n v="254.83012849725583"/>
    <x v="0"/>
    <x v="1"/>
    <s v="Mediana"/>
    <x v="0"/>
    <n v="585.00914076782453"/>
  </r>
  <r>
    <s v="Ansal Heights "/>
    <x v="33"/>
    <n v="5441"/>
    <n v="2"/>
    <x v="1"/>
    <x v="3"/>
    <s v=" Sector 86 Gurgaon"/>
    <n v="0"/>
    <n v="0"/>
    <n v="2"/>
    <n v="11"/>
    <n v="1"/>
    <x v="0"/>
    <n v="14"/>
    <n v="0"/>
    <n v="0"/>
    <n v="0"/>
    <n v="0"/>
    <n v="1360.0441095386877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4410953868E-2"/>
    <n v="7400000"/>
    <n v="5.441E-2"/>
    <x v="1"/>
    <s v="Todo bien"/>
    <x v="0"/>
    <x v="1"/>
    <n v="592.43555535011615"/>
    <x v="1"/>
    <x v="2"/>
    <s v="Pequeña"/>
    <x v="1"/>
    <n v="1360.0441095386877"/>
  </r>
  <r>
    <s v="MM Heights"/>
    <x v="82"/>
    <n v="16000"/>
    <n v="2"/>
    <x v="1"/>
    <x v="3"/>
    <s v=" Sector 65 Gurgaon"/>
    <n v="0"/>
    <n v="0"/>
    <n v="2"/>
    <n v="16"/>
    <n v="3"/>
    <x v="0"/>
    <n v="36"/>
    <n v="0"/>
    <n v="0"/>
    <n v="0"/>
    <n v="0"/>
    <n v="1218.75"/>
    <m/>
    <n v="126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875E-2"/>
    <n v="19500000"/>
    <n v="0.16"/>
    <x v="3"/>
    <s v="Todo bien"/>
    <x v="0"/>
    <x v="1"/>
    <n v="530.88780578437502"/>
    <x v="1"/>
    <x v="2"/>
    <s v="Pequeña"/>
    <x v="1"/>
    <n v="1218.75"/>
  </r>
  <r>
    <s v="Smriti Apartment"/>
    <x v="91"/>
    <n v="10000"/>
    <n v="1"/>
    <x v="1"/>
    <x v="5"/>
    <s v=" Sector 56 Gurgaon"/>
    <n v="0"/>
    <n v="0"/>
    <n v="1"/>
    <n v="2"/>
    <n v="1"/>
    <x v="3"/>
    <n v="3"/>
    <n v="0"/>
    <n v="0"/>
    <n v="0"/>
    <n v="0"/>
    <n v="600"/>
    <m/>
    <n v="600"/>
    <n v="0"/>
    <n v="0"/>
    <n v="0"/>
    <n v="1"/>
    <n v="0"/>
    <n v="0"/>
    <n v="1"/>
    <n v="1"/>
    <n v="0"/>
    <n v="1"/>
    <n v="0"/>
    <n v="0"/>
    <n v="1"/>
    <n v="1"/>
    <n v="1"/>
    <n v="0"/>
    <n v="0"/>
    <n v="15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x v="1"/>
    <s v="Todo bien"/>
    <x v="0"/>
    <x v="0"/>
    <n v="261.36015054000001"/>
    <x v="0"/>
    <x v="1"/>
    <s v="Pequeña"/>
    <x v="0"/>
    <n v="600"/>
  </r>
  <r>
    <s v="Uphaar Homes"/>
    <x v="0"/>
    <n v="4736"/>
    <n v="3"/>
    <x v="1"/>
    <x v="0"/>
    <s v=" Sector 105 Gurgaon"/>
    <n v="0"/>
    <n v="0"/>
    <n v="2"/>
    <n v="1"/>
    <n v="1"/>
    <x v="1"/>
    <n v="4"/>
    <n v="0"/>
    <n v="0"/>
    <n v="0"/>
    <n v="0"/>
    <n v="950"/>
    <m/>
    <m/>
    <n v="0"/>
    <n v="0"/>
    <n v="0"/>
    <n v="0"/>
    <n v="1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9.5016891891891008E-3"/>
    <n v="4500000"/>
    <n v="4.7359999999999999E-2"/>
    <x v="0"/>
    <s v="Todo bien"/>
    <x v="0"/>
    <x v="0"/>
    <n v="413.89381947845902"/>
    <x v="0"/>
    <x v="0"/>
    <s v="Pequeña"/>
    <x v="0"/>
    <n v="950.16891891891896"/>
  </r>
  <r>
    <s v="Pareena Laxmi Apartments"/>
    <x v="45"/>
    <n v="5424"/>
    <n v="2"/>
    <x v="5"/>
    <x v="2"/>
    <s v=" Sector 99A Gurgaon"/>
    <n v="0"/>
    <n v="0"/>
    <n v="1"/>
    <n v="5"/>
    <n v="2"/>
    <x v="0"/>
    <n v="12"/>
    <n v="0"/>
    <n v="0"/>
    <n v="0"/>
    <n v="0"/>
    <n v="470"/>
    <m/>
    <n v="553"/>
    <n v="0"/>
    <n v="0"/>
    <n v="0"/>
    <n v="0"/>
    <n v="0"/>
    <n v="0"/>
    <n v="0"/>
    <n v="1"/>
    <n v="1"/>
    <n v="1"/>
    <n v="1"/>
    <n v="1"/>
    <n v="1"/>
    <n v="1"/>
    <n v="1"/>
    <n v="1"/>
    <n v="0"/>
    <n v="29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9734513273997E-3"/>
    <n v="3000000"/>
    <n v="5.4239999999999997E-2"/>
    <x v="0"/>
    <s v="Todo bien"/>
    <x v="0"/>
    <x v="1"/>
    <n v="240.92934231194545"/>
    <x v="0"/>
    <x v="1"/>
    <s v="Pequeña"/>
    <x v="0"/>
    <n v="553.09734513274338"/>
  </r>
  <r>
    <s v="Smart World Gems"/>
    <x v="35"/>
    <n v="9135"/>
    <n v="3"/>
    <x v="1"/>
    <x v="2"/>
    <s v=" Sector 89 Gurgaon"/>
    <n v="0"/>
    <n v="0"/>
    <n v="3"/>
    <n v="2"/>
    <n v="2"/>
    <x v="1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979748221099E-2"/>
    <n v="13000000"/>
    <n v="9.1350000000000001E-2"/>
    <x v="2"/>
    <s v="Todo bien"/>
    <x v="0"/>
    <x v="1"/>
    <n v="619.90183488779303"/>
    <x v="1"/>
    <x v="2"/>
    <s v="Pequeña"/>
    <x v="0"/>
    <n v="1423.0979748221127"/>
  </r>
  <r>
    <s v="Unitech The Palms"/>
    <x v="76"/>
    <n v="16768"/>
    <n v="3"/>
    <x v="1"/>
    <x v="1"/>
    <s v=" South City 1"/>
    <n v="0"/>
    <n v="0"/>
    <n v="3"/>
    <n v="14"/>
    <n v="2"/>
    <x v="1"/>
    <n v="17"/>
    <n v="0"/>
    <n v="0"/>
    <n v="0"/>
    <n v="0"/>
    <n v="1640.0286259541986"/>
    <m/>
    <n v="1640"/>
    <n v="0"/>
    <n v="0"/>
    <n v="0"/>
    <n v="0"/>
    <n v="0"/>
    <n v="1"/>
    <n v="0"/>
    <n v="0"/>
    <n v="1"/>
    <n v="0"/>
    <n v="0"/>
    <n v="0"/>
    <n v="0"/>
    <n v="0"/>
    <n v="1"/>
    <n v="1"/>
    <n v="1"/>
    <n v="18"/>
    <x v="0"/>
    <x v="0"/>
    <x v="1"/>
    <x v="0"/>
    <x v="0"/>
    <x v="0"/>
    <x v="1"/>
    <x v="1"/>
    <x v="0"/>
    <n v="1"/>
    <n v="0"/>
    <n v="0"/>
    <n v="3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6400286259541898E-2"/>
    <n v="27500000"/>
    <n v="0.16768"/>
    <x v="5"/>
    <s v="Todo bien"/>
    <x v="2"/>
    <x v="0"/>
    <n v="714.3968809488274"/>
    <x v="1"/>
    <x v="2"/>
    <s v="Pequeña"/>
    <x v="1"/>
    <n v="1640.0286259541986"/>
  </r>
  <r>
    <s v="Smart World Orchard"/>
    <x v="74"/>
    <n v="15000"/>
    <n v="2"/>
    <x v="1"/>
    <x v="3"/>
    <s v=" Sector 61 Gurgaon"/>
    <n v="0"/>
    <n v="0"/>
    <n v="2"/>
    <n v="4"/>
    <n v="2"/>
    <x v="0"/>
    <n v="4"/>
    <n v="0"/>
    <n v="0"/>
    <n v="0"/>
    <n v="0"/>
    <n v="1150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33333333333299E-2"/>
    <n v="17000000"/>
    <n v="0.15"/>
    <x v="3"/>
    <s v="Todo bien"/>
    <x v="0"/>
    <x v="2"/>
    <n v="493.6802843533319"/>
    <x v="0"/>
    <x v="0"/>
    <s v="Pequeña"/>
    <x v="0"/>
    <n v="1133.3333333333335"/>
  </r>
  <r>
    <s v="Godrej Icon"/>
    <x v="68"/>
    <n v="1384"/>
    <n v="3"/>
    <x v="1"/>
    <x v="2"/>
    <s v=" Sector 88A Gurgaon"/>
    <n v="0"/>
    <n v="0"/>
    <n v="3"/>
    <n v="6"/>
    <n v="3"/>
    <x v="1"/>
    <n v="10"/>
    <n v="0"/>
    <n v="0"/>
    <n v="0"/>
    <n v="0"/>
    <n v="1175.1099999999999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264450867052023"/>
    <n v="17500000"/>
    <n v="1.384E-2"/>
    <x v="3"/>
    <s v="Todo bien"/>
    <x v="0"/>
    <x v="2"/>
    <n v="5507.9511493858381"/>
    <x v="2"/>
    <x v="0"/>
    <s v="Pequeña"/>
    <x v="0"/>
    <n v="12644.508670520232"/>
  </r>
  <r>
    <s v="Vatika Independent Floors"/>
    <x v="346"/>
    <n v="5826"/>
    <n v="2"/>
    <x v="1"/>
    <x v="5"/>
    <s v=" Sector 82 Gurgaon"/>
    <n v="0"/>
    <n v="0"/>
    <n v="2"/>
    <n v="2"/>
    <n v="3"/>
    <x v="0"/>
    <n v="3"/>
    <n v="0"/>
    <n v="0"/>
    <n v="0"/>
    <n v="0"/>
    <n v="1150.0171644352902"/>
    <n v="1150"/>
    <m/>
    <n v="1"/>
    <n v="0"/>
    <n v="0"/>
    <n v="1"/>
    <n v="1"/>
    <n v="0"/>
    <n v="0"/>
    <n v="1"/>
    <n v="1"/>
    <n v="1"/>
    <n v="0"/>
    <n v="0"/>
    <n v="0"/>
    <n v="0"/>
    <n v="1"/>
    <n v="1"/>
    <n v="1"/>
    <n v="24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71644352899E-2"/>
    <n v="6700000"/>
    <n v="5.8259999999999999E-2"/>
    <x v="1"/>
    <s v="Todo bien"/>
    <x v="0"/>
    <x v="1"/>
    <n v="500.94776536731888"/>
    <x v="1"/>
    <x v="0"/>
    <s v="Mediana"/>
    <x v="0"/>
    <n v="1150.0171644352902"/>
  </r>
  <r>
    <s v="Corona Gracieux"/>
    <x v="85"/>
    <n v="5510"/>
    <n v="3"/>
    <x v="1"/>
    <x v="2"/>
    <s v=" Sector 76 Gurgaon"/>
    <n v="0"/>
    <n v="0"/>
    <n v="3"/>
    <n v="1"/>
    <n v="3"/>
    <x v="1"/>
    <n v="13"/>
    <n v="1"/>
    <n v="0"/>
    <n v="0"/>
    <n v="0"/>
    <n v="1960.0725952813066"/>
    <m/>
    <n v="196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725952813002E-2"/>
    <n v="10800000"/>
    <n v="5.5100000000000003E-2"/>
    <x v="2"/>
    <s v="Todo bien"/>
    <x v="0"/>
    <x v="1"/>
    <n v="853.80811428674861"/>
    <x v="1"/>
    <x v="2"/>
    <s v="Pequeña"/>
    <x v="1"/>
    <n v="1960.0725952813066"/>
  </r>
  <r>
    <s v="Lotus Elise"/>
    <x v="13"/>
    <n v="6551"/>
    <n v="2"/>
    <x v="1"/>
    <x v="0"/>
    <s v=" Sector 99 Gurgaon"/>
    <n v="0"/>
    <n v="0"/>
    <n v="3"/>
    <n v="7"/>
    <n v="3"/>
    <x v="0"/>
    <n v="14"/>
    <n v="1"/>
    <n v="0"/>
    <n v="0"/>
    <n v="0"/>
    <n v="145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16028087314E-2"/>
    <n v="9500000"/>
    <n v="6.5509999999999999E-2"/>
    <x v="1"/>
    <s v="Todo bien"/>
    <x v="0"/>
    <x v="2"/>
    <n v="631.69018219355428"/>
    <x v="1"/>
    <x v="2"/>
    <s v="Pequeña"/>
    <x v="0"/>
    <n v="1450.1602808731491"/>
  </r>
  <r>
    <s v="NUL"/>
    <x v="57"/>
    <n v="6054"/>
    <n v="2"/>
    <x v="1"/>
    <x v="1"/>
    <s v=" Valley View Estate"/>
    <n v="0"/>
    <n v="0"/>
    <n v="2"/>
    <n v="11"/>
    <n v="1"/>
    <x v="0"/>
    <n v="18"/>
    <n v="0"/>
    <n v="0"/>
    <n v="0"/>
    <n v="0"/>
    <n v="925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2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0825900230996E-3"/>
    <n v="5600000"/>
    <n v="6.0539999999999997E-2"/>
    <x v="1"/>
    <s v="Todo bien"/>
    <x v="0"/>
    <x v="2"/>
    <n v="402.93382970597844"/>
    <x v="0"/>
    <x v="0"/>
    <s v="Pequeña"/>
    <x v="0"/>
    <n v="925.00825900231257"/>
  </r>
  <r>
    <s v="Godrej Summit"/>
    <x v="28"/>
    <n v="6896"/>
    <n v="2"/>
    <x v="1"/>
    <x v="0"/>
    <s v=" Sector 104 Gurgaon"/>
    <n v="0"/>
    <n v="0"/>
    <n v="2"/>
    <n v="12"/>
    <n v="3"/>
    <x v="0"/>
    <n v="14"/>
    <n v="0"/>
    <n v="1"/>
    <n v="0"/>
    <n v="0"/>
    <n v="1450"/>
    <m/>
    <m/>
    <n v="1"/>
    <n v="1"/>
    <n v="1"/>
    <n v="1"/>
    <n v="0"/>
    <n v="0"/>
    <n v="1"/>
    <n v="1"/>
    <n v="1"/>
    <n v="0"/>
    <n v="0"/>
    <n v="0"/>
    <n v="1"/>
    <n v="0"/>
    <n v="1"/>
    <n v="1"/>
    <n v="1"/>
    <n v="3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25986078886301E-2"/>
    <n v="8500000"/>
    <n v="6.8959999999999994E-2"/>
    <x v="1"/>
    <s v="Todo bien"/>
    <x v="0"/>
    <x v="3"/>
    <n v="536.920262855278"/>
    <x v="1"/>
    <x v="2"/>
    <s v="Pequeña"/>
    <x v="0"/>
    <n v="1232.5986078886312"/>
  </r>
  <r>
    <s v="Godrej Habitat"/>
    <x v="43"/>
    <n v="8656"/>
    <n v="2"/>
    <x v="1"/>
    <x v="3"/>
    <s v=" Sector 3 Gurgaon"/>
    <n v="0"/>
    <n v="0"/>
    <n v="2"/>
    <n v="14"/>
    <n v="3"/>
    <x v="0"/>
    <n v="17"/>
    <n v="0"/>
    <n v="0"/>
    <n v="0"/>
    <n v="0"/>
    <n v="913"/>
    <m/>
    <n v="1444"/>
    <n v="1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8502772643E-2"/>
    <n v="12500000"/>
    <n v="8.6559999999999998E-2"/>
    <x v="2"/>
    <s v="Todo bien"/>
    <x v="0"/>
    <x v="0"/>
    <n v="629.04380039856642"/>
    <x v="1"/>
    <x v="0"/>
    <s v="Pequeña"/>
    <x v="1"/>
    <n v="1444.0850277264326"/>
  </r>
  <r>
    <s v="Ashiana Mulberry"/>
    <x v="16"/>
    <n v="5412"/>
    <n v="2"/>
    <x v="5"/>
    <x v="2"/>
    <s v=" Sohna"/>
    <n v="0"/>
    <n v="0"/>
    <n v="2"/>
    <n v="1"/>
    <n v="3"/>
    <x v="0"/>
    <n v="17"/>
    <n v="0"/>
    <n v="1"/>
    <n v="0"/>
    <n v="0"/>
    <n v="834.96"/>
    <n v="1175.97"/>
    <n v="19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330376940099E-2"/>
    <n v="10500000"/>
    <n v="5.4120000000000001E-2"/>
    <x v="2"/>
    <s v="Todo bien"/>
    <x v="0"/>
    <x v="1"/>
    <n v="845.12243799888995"/>
    <x v="1"/>
    <x v="0"/>
    <s v="Mediana"/>
    <x v="1"/>
    <n v="1940.1330376940132"/>
  </r>
  <r>
    <s v="Ansal Heights "/>
    <x v="32"/>
    <n v="5735"/>
    <n v="2"/>
    <x v="4"/>
    <x v="2"/>
    <s v=" Sector 86 Gurgaon"/>
    <n v="0"/>
    <n v="0"/>
    <n v="2"/>
    <n v="8"/>
    <n v="1"/>
    <x v="0"/>
    <n v="14"/>
    <n v="0"/>
    <n v="0"/>
    <n v="0"/>
    <n v="0"/>
    <n v="1360.0697471665214"/>
    <m/>
    <n v="1360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x v="1"/>
    <s v="Todo bien"/>
    <x v="0"/>
    <x v="4"/>
    <n v="592.4467231072357"/>
    <x v="1"/>
    <x v="2"/>
    <s v="Pequeña"/>
    <x v="1"/>
    <n v="1360.0697471665214"/>
  </r>
  <r>
    <s v="Signature Global Park"/>
    <x v="47"/>
    <n v="7308"/>
    <n v="3"/>
    <x v="1"/>
    <x v="3"/>
    <s v=" Sohna"/>
    <n v="0"/>
    <n v="0"/>
    <n v="2"/>
    <n v="4"/>
    <n v="3"/>
    <x v="1"/>
    <n v="4"/>
    <n v="0"/>
    <n v="0"/>
    <n v="0"/>
    <n v="0"/>
    <n v="1081.007115489874"/>
    <m/>
    <n v="1081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71154898701E-2"/>
    <n v="7900000"/>
    <n v="7.3080000000000006E-2"/>
    <x v="1"/>
    <s v="Todo bien"/>
    <x v="0"/>
    <x v="3"/>
    <n v="470.88697073207271"/>
    <x v="0"/>
    <x v="0"/>
    <s v="Pequeña"/>
    <x v="1"/>
    <n v="1081.007115489874"/>
  </r>
  <r>
    <s v="Pareena Laxmi Apartments"/>
    <x v="75"/>
    <n v="5786"/>
    <n v="2"/>
    <x v="1"/>
    <x v="2"/>
    <s v=" Sector 99A Gurgaon"/>
    <n v="0"/>
    <n v="0"/>
    <n v="2"/>
    <n v="11"/>
    <n v="2"/>
    <x v="0"/>
    <n v="12"/>
    <n v="0"/>
    <n v="0"/>
    <n v="0"/>
    <n v="0"/>
    <n v="453.5"/>
    <m/>
    <n v="553"/>
    <n v="0"/>
    <n v="0"/>
    <n v="0"/>
    <n v="1"/>
    <n v="0"/>
    <n v="0"/>
    <n v="0"/>
    <n v="1"/>
    <n v="1"/>
    <n v="1"/>
    <n v="1"/>
    <n v="0"/>
    <n v="1"/>
    <n v="1"/>
    <n v="1"/>
    <n v="1"/>
    <n v="0"/>
    <n v="3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5910819217997E-3"/>
    <n v="3200000"/>
    <n v="5.7860000000000002E-2"/>
    <x v="0"/>
    <s v="Todo bien"/>
    <x v="0"/>
    <x v="1"/>
    <n v="240.91268629104385"/>
    <x v="0"/>
    <x v="1"/>
    <s v="Pequeña"/>
    <x v="0"/>
    <n v="553.05910819218798"/>
  </r>
  <r>
    <s v="Conscient Elevate"/>
    <x v="431"/>
    <n v="16500"/>
    <n v="3"/>
    <x v="1"/>
    <x v="3"/>
    <s v=" Sector 59 Gurgaon"/>
    <n v="0"/>
    <n v="0"/>
    <n v="3"/>
    <n v="3"/>
    <n v="3"/>
    <x v="1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90909090909E-2"/>
    <n v="37800000"/>
    <n v="0.16500000000000001"/>
    <x v="5"/>
    <s v="Todo bien"/>
    <x v="0"/>
    <x v="0"/>
    <n v="997.92057478909055"/>
    <x v="1"/>
    <x v="2"/>
    <s v="Pequeña"/>
    <x v="0"/>
    <n v="2290.909090909091"/>
  </r>
  <r>
    <s v="Pyramid Elite"/>
    <x v="0"/>
    <n v="7846"/>
    <n v="2"/>
    <x v="1"/>
    <x v="3"/>
    <s v=" Sector 86 Gurgaon"/>
    <n v="0"/>
    <n v="0"/>
    <n v="2"/>
    <n v="12"/>
    <n v="1"/>
    <x v="0"/>
    <n v="14"/>
    <n v="0"/>
    <n v="0"/>
    <n v="0"/>
    <n v="0"/>
    <n v="573.54"/>
    <m/>
    <m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354065765995001E-3"/>
    <n v="4500000"/>
    <n v="7.8460000000000002E-2"/>
    <x v="0"/>
    <s v="Todo bien"/>
    <x v="0"/>
    <x v="0"/>
    <n v="249.83445437802524"/>
    <x v="0"/>
    <x v="1"/>
    <s v="Pequeña"/>
    <x v="0"/>
    <n v="573.54065765995415"/>
  </r>
  <r>
    <s v="Godrej Nature Plus"/>
    <x v="335"/>
    <n v="13974"/>
    <n v="3"/>
    <x v="5"/>
    <x v="2"/>
    <s v=" Sector-33 Sohna"/>
    <n v="0"/>
    <n v="0"/>
    <n v="4"/>
    <n v="3"/>
    <n v="3"/>
    <x v="1"/>
    <n v="22"/>
    <n v="1"/>
    <n v="0"/>
    <n v="0"/>
    <n v="0"/>
    <n v="107.7"/>
    <n v="129.41999999999999"/>
    <m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929583512237E-2"/>
    <n v="16200000"/>
    <n v="0.13974"/>
    <x v="3"/>
    <s v="Todo bien"/>
    <x v="0"/>
    <x v="4"/>
    <n v="504.98955664662941"/>
    <x v="1"/>
    <x v="1"/>
    <s v="Pequeña"/>
    <x v="0"/>
    <n v="1159.2958351223701"/>
  </r>
  <r>
    <s v="Shri Ram Apartments"/>
    <x v="89"/>
    <n v="3789"/>
    <n v="2"/>
    <x v="1"/>
    <x v="0"/>
    <s v=" Laxman Vihar"/>
    <n v="0"/>
    <n v="0"/>
    <n v="2"/>
    <n v="4"/>
    <n v="1"/>
    <x v="0"/>
    <n v="4"/>
    <n v="0"/>
    <n v="0"/>
    <n v="0"/>
    <n v="0"/>
    <n v="95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11876484560002E-3"/>
    <n v="3600000"/>
    <n v="3.789E-2"/>
    <x v="0"/>
    <s v="Todo bien"/>
    <x v="0"/>
    <x v="2"/>
    <n v="413.8719723515415"/>
    <x v="0"/>
    <x v="0"/>
    <s v="Pequeña"/>
    <x v="0"/>
    <n v="950.11876484560571"/>
  </r>
  <r>
    <s v="signature global rosellia"/>
    <x v="0"/>
    <n v="8754"/>
    <n v="2"/>
    <x v="1"/>
    <x v="2"/>
    <s v=" Sector 95A Gurgaon"/>
    <n v="0"/>
    <n v="0"/>
    <n v="2"/>
    <n v="14"/>
    <n v="2"/>
    <x v="0"/>
    <n v="14"/>
    <n v="0"/>
    <n v="0"/>
    <n v="0"/>
    <n v="0"/>
    <n v="514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405071967099997E-3"/>
    <n v="4500000"/>
    <n v="8.7540000000000007E-2"/>
    <x v="0"/>
    <s v="Todo bien"/>
    <x v="0"/>
    <x v="2"/>
    <n v="223.92062246401318"/>
    <x v="0"/>
    <x v="1"/>
    <s v="Pequeña"/>
    <x v="0"/>
    <n v="514.05071967100753"/>
  </r>
  <r>
    <s v="Raheja Revanta"/>
    <x v="432"/>
    <n v="6100"/>
    <n v="2"/>
    <x v="4"/>
    <x v="3"/>
    <s v=" Sector 78 Gurgaon"/>
    <n v="0"/>
    <n v="0"/>
    <n v="2"/>
    <n v="14"/>
    <n v="3"/>
    <x v="0"/>
    <n v="41"/>
    <n v="0"/>
    <n v="0"/>
    <n v="0"/>
    <n v="0"/>
    <n v="1620.983606557377"/>
    <m/>
    <n v="1621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9836065573701E-2"/>
    <n v="9888000"/>
    <n v="6.0999999999999999E-2"/>
    <x v="1"/>
    <s v="Todo bien"/>
    <x v="0"/>
    <x v="0"/>
    <n v="706.10086572117734"/>
    <x v="1"/>
    <x v="2"/>
    <s v="Pequeña"/>
    <x v="1"/>
    <n v="1620.983606557377"/>
  </r>
  <r>
    <s v="Sidhartha NCR One Phase "/>
    <x v="52"/>
    <n v="4867"/>
    <n v="2"/>
    <x v="1"/>
    <x v="2"/>
    <s v=" Sector 95 Gurgaon"/>
    <n v="0"/>
    <n v="0"/>
    <n v="2"/>
    <n v="14"/>
    <n v="2"/>
    <x v="0"/>
    <n v="19"/>
    <n v="0"/>
    <n v="1"/>
    <n v="0"/>
    <n v="0"/>
    <n v="1130"/>
    <m/>
    <m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595849599301E-2"/>
    <n v="5500000"/>
    <n v="4.8669999999999998E-2"/>
    <x v="1"/>
    <s v="Todo bien"/>
    <x v="0"/>
    <x v="4"/>
    <n v="492.25423874049545"/>
    <x v="0"/>
    <x v="0"/>
    <s v="Pequeña"/>
    <x v="0"/>
    <n v="1130.0595849599342"/>
  </r>
  <r>
    <s v="Divya Apartments"/>
    <x v="91"/>
    <n v="7594"/>
    <n v="2"/>
    <x v="6"/>
    <x v="0"/>
    <s v=" Dayanand Colony"/>
    <n v="0"/>
    <n v="0"/>
    <n v="2"/>
    <n v="2"/>
    <n v="0"/>
    <x v="0"/>
    <n v="4"/>
    <n v="0"/>
    <n v="0"/>
    <n v="0"/>
    <n v="0"/>
    <n v="750"/>
    <n v="790"/>
    <m/>
    <n v="0"/>
    <n v="0"/>
    <n v="0"/>
    <n v="0"/>
    <n v="0"/>
    <n v="0"/>
    <n v="0"/>
    <n v="0"/>
    <n v="0"/>
    <n v="1"/>
    <n v="0"/>
    <n v="0"/>
    <n v="1"/>
    <n v="0"/>
    <n v="1"/>
    <n v="0"/>
    <n v="0"/>
    <n v="7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7.9009744535159E-3"/>
    <n v="6000000"/>
    <n v="7.5939999999999994E-2"/>
    <x v="1"/>
    <s v="Todo bien"/>
    <x v="1"/>
    <x v="2"/>
    <n v="344.16664543060165"/>
    <x v="0"/>
    <x v="0"/>
    <s v="Pequeña"/>
    <x v="0"/>
    <n v="790.09744535159348"/>
  </r>
  <r>
    <s v="ROF Ananda"/>
    <x v="60"/>
    <n v="6318"/>
    <n v="2"/>
    <x v="7"/>
    <x v="2"/>
    <s v=" Sector 95 Gurgaon"/>
    <n v="0"/>
    <n v="0"/>
    <n v="2"/>
    <n v="11"/>
    <n v="2"/>
    <x v="0"/>
    <n v="14"/>
    <n v="0"/>
    <n v="1"/>
    <n v="0"/>
    <n v="0"/>
    <n v="728"/>
    <m/>
    <m/>
    <n v="0"/>
    <n v="1"/>
    <n v="1"/>
    <n v="0"/>
    <n v="0"/>
    <n v="0"/>
    <n v="0"/>
    <n v="1"/>
    <n v="1"/>
    <n v="1"/>
    <n v="0"/>
    <n v="1"/>
    <n v="1"/>
    <n v="1"/>
    <n v="1"/>
    <n v="0"/>
    <n v="1"/>
    <n v="3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807850585628001E-3"/>
    <n v="4600000"/>
    <n v="6.318E-2"/>
    <x v="0"/>
    <s v="Todo bien"/>
    <x v="0"/>
    <x v="1"/>
    <n v="317.15117982589271"/>
    <x v="0"/>
    <x v="0"/>
    <s v="Pequeña"/>
    <x v="0"/>
    <n v="728.07850585628364"/>
  </r>
  <r>
    <s v="Smart World Gems"/>
    <x v="281"/>
    <n v="8500"/>
    <n v="3"/>
    <x v="1"/>
    <x v="3"/>
    <s v=" Sector 89 Gurgaon"/>
    <n v="0"/>
    <n v="0"/>
    <n v="3"/>
    <n v="4"/>
    <n v="2"/>
    <x v="1"/>
    <n v="4"/>
    <n v="0"/>
    <n v="1"/>
    <n v="0"/>
    <n v="0"/>
    <n v="1326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941176470588E-2"/>
    <n v="11300000"/>
    <n v="8.5000000000000006E-2"/>
    <x v="2"/>
    <s v="Todo bien"/>
    <x v="0"/>
    <x v="4"/>
    <n v="579.09209825529308"/>
    <x v="1"/>
    <x v="2"/>
    <s v="Pequeña"/>
    <x v="0"/>
    <n v="1329.4117647058822"/>
  </r>
  <r>
    <s v="Emaar Palm Heights"/>
    <x v="69"/>
    <n v="10370"/>
    <n v="3"/>
    <x v="1"/>
    <x v="2"/>
    <s v=" Sector 77 Gurgaon"/>
    <n v="0"/>
    <n v="0"/>
    <n v="3"/>
    <n v="17"/>
    <n v="3"/>
    <x v="1"/>
    <n v="24"/>
    <n v="1"/>
    <n v="1"/>
    <n v="0"/>
    <n v="0"/>
    <n v="2025.0723240115719"/>
    <m/>
    <n v="2025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2507232401157E-2"/>
    <n v="21000000"/>
    <n v="0.1037"/>
    <x v="3"/>
    <s v="Todo bien"/>
    <x v="0"/>
    <x v="2"/>
    <n v="882.12201243008599"/>
    <x v="1"/>
    <x v="2"/>
    <s v="Pequeña"/>
    <x v="2"/>
    <n v="2025.0723240115719"/>
  </r>
  <r>
    <s v="ROF Ananda"/>
    <x v="94"/>
    <n v="6919"/>
    <n v="2"/>
    <x v="1"/>
    <x v="2"/>
    <s v=" Sector 95 Gurgaon"/>
    <n v="0"/>
    <n v="0"/>
    <n v="2"/>
    <n v="4"/>
    <n v="1"/>
    <x v="0"/>
    <n v="14"/>
    <n v="0"/>
    <n v="0"/>
    <n v="0"/>
    <n v="0"/>
    <n v="549.16999999999996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921231391819002E-3"/>
    <n v="3800000"/>
    <n v="6.9190000000000002E-2"/>
    <x v="0"/>
    <s v="Todo bien"/>
    <x v="0"/>
    <x v="2"/>
    <n v="239.23702174013314"/>
    <x v="0"/>
    <x v="1"/>
    <s v="Pequeña"/>
    <x v="0"/>
    <n v="549.21231391819629"/>
  </r>
  <r>
    <s v="The Center Court"/>
    <x v="69"/>
    <n v="12173"/>
    <n v="4"/>
    <x v="4"/>
    <x v="2"/>
    <s v=" Sector 88A Gurgaon"/>
    <n v="0"/>
    <n v="0"/>
    <n v="4"/>
    <n v="0"/>
    <n v="3"/>
    <x v="2"/>
    <n v="29"/>
    <n v="1"/>
    <n v="1"/>
    <n v="0"/>
    <n v="0"/>
    <n v="1725"/>
    <n v="1745"/>
    <n v="21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293847038499E-2"/>
    <n v="21000000"/>
    <n v="0.12173"/>
    <x v="3"/>
    <s v="Todo bien"/>
    <x v="0"/>
    <x v="5"/>
    <n v="751.46679281195975"/>
    <x v="1"/>
    <x v="2"/>
    <s v="Mediana"/>
    <x v="2"/>
    <n v="1725.1293847038528"/>
  </r>
  <r>
    <s v="Uphaar Residency "/>
    <x v="23"/>
    <n v="5600"/>
    <n v="3"/>
    <x v="4"/>
    <x v="5"/>
    <s v=" Sector 105 Gurgaon"/>
    <n v="0"/>
    <n v="0"/>
    <n v="2"/>
    <n v="0"/>
    <n v="1"/>
    <x v="1"/>
    <n v="4"/>
    <n v="0"/>
    <n v="0"/>
    <n v="0"/>
    <n v="0"/>
    <n v="7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x v="0"/>
    <s v="Todo bien"/>
    <x v="0"/>
    <x v="2"/>
    <n v="326.70018817499999"/>
    <x v="0"/>
    <x v="0"/>
    <s v="Pequeña"/>
    <x v="0"/>
    <n v="750"/>
  </r>
  <r>
    <s v="Wings Apartment"/>
    <x v="56"/>
    <n v="6666"/>
    <n v="4"/>
    <x v="3"/>
    <x v="5"/>
    <s v=" Sector 9 Gurgaon"/>
    <n v="0"/>
    <n v="0"/>
    <n v="3"/>
    <n v="4"/>
    <n v="2"/>
    <x v="2"/>
    <n v="9"/>
    <n v="0"/>
    <n v="0"/>
    <n v="0"/>
    <n v="0"/>
    <n v="1800"/>
    <m/>
    <m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8001800180017999E-2"/>
    <n v="12000000"/>
    <n v="6.6659999999999997E-2"/>
    <x v="2"/>
    <s v="Todo bien"/>
    <x v="1"/>
    <x v="2"/>
    <n v="784.15886750675065"/>
    <x v="1"/>
    <x v="2"/>
    <s v="Pequeña"/>
    <x v="0"/>
    <n v="1800.1800180018004"/>
  </r>
  <r>
    <s v="GLS Arawali Homes"/>
    <x v="63"/>
    <n v="4938"/>
    <n v="2"/>
    <x v="4"/>
    <x v="0"/>
    <s v=" Sohna"/>
    <n v="0"/>
    <n v="0"/>
    <n v="2"/>
    <n v="3"/>
    <n v="2"/>
    <x v="0"/>
    <n v="13"/>
    <n v="0"/>
    <n v="0"/>
    <n v="0"/>
    <n v="0"/>
    <n v="467"/>
    <n v="500"/>
    <n v="567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1"/>
    <x v="0"/>
    <x v="1"/>
    <x v="1"/>
    <x v="1"/>
    <x v="1"/>
    <x v="1"/>
    <x v="0"/>
    <x v="1"/>
    <n v="0"/>
    <n v="0"/>
    <n v="0"/>
    <n v="2"/>
    <n v="1"/>
    <n v="0"/>
    <n v="0"/>
    <n v="0"/>
    <n v="0"/>
    <n v="2"/>
    <n v="1"/>
    <n v="0"/>
    <n v="0"/>
    <n v="0"/>
    <n v="1"/>
    <n v="0"/>
    <n v="0"/>
    <n v="0"/>
    <n v="0"/>
    <n v="0"/>
    <n v="0"/>
    <n v="0"/>
    <n v="0"/>
    <n v="2"/>
    <n v="5.6703118671525997E-3"/>
    <n v="2800000"/>
    <n v="4.938E-2"/>
    <x v="0"/>
    <s v="Todo bien"/>
    <x v="1"/>
    <x v="1"/>
    <n v="246.99892720129199"/>
    <x v="0"/>
    <x v="1"/>
    <s v="Pequeña"/>
    <x v="0"/>
    <n v="567.03118671526931"/>
  </r>
  <r>
    <s v="Vatika The Seven Lamps"/>
    <x v="50"/>
    <n v="6969"/>
    <n v="2"/>
    <x v="1"/>
    <x v="0"/>
    <s v=" Sector 82 Gurgaon"/>
    <n v="0"/>
    <n v="0"/>
    <n v="2"/>
    <n v="14"/>
    <n v="2"/>
    <x v="0"/>
    <n v="16"/>
    <n v="0"/>
    <n v="1"/>
    <n v="0"/>
    <n v="0"/>
    <n v="1434.9261013057828"/>
    <m/>
    <n v="143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2610130578E-2"/>
    <n v="10000000"/>
    <n v="6.9690000000000002E-2"/>
    <x v="1"/>
    <s v="Todo bien"/>
    <x v="0"/>
    <x v="3"/>
    <n v="625.0541697517566"/>
    <x v="1"/>
    <x v="2"/>
    <s v="Pequeña"/>
    <x v="1"/>
    <n v="1434.9261013057828"/>
  </r>
  <r>
    <s v="Piedmont Taksila heights"/>
    <x v="16"/>
    <n v="4792"/>
    <n v="3"/>
    <x v="1"/>
    <x v="0"/>
    <s v=" Sector 37C Gurgaon"/>
    <n v="0"/>
    <n v="0"/>
    <n v="3"/>
    <n v="7"/>
    <n v="3"/>
    <x v="1"/>
    <n v="15"/>
    <n v="0"/>
    <n v="0"/>
    <n v="0"/>
    <n v="0"/>
    <n v="2191.1519198664441"/>
    <m/>
    <n v="1920"/>
    <n v="0"/>
    <n v="1"/>
    <n v="1"/>
    <n v="1"/>
    <n v="0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1"/>
    <x v="1"/>
    <x v="0"/>
    <x v="0"/>
    <n v="0"/>
    <n v="2"/>
    <n v="1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1911519198664402E-2"/>
    <n v="10500000"/>
    <n v="4.7919999999999997E-2"/>
    <x v="2"/>
    <s v="Todo bien"/>
    <x v="1"/>
    <x v="4"/>
    <n v="954.46632605383809"/>
    <x v="1"/>
    <x v="2"/>
    <s v="Pequeña"/>
    <x v="1"/>
    <n v="2191.1519198664441"/>
  </r>
  <r>
    <s v="Adani Aangan Arcade"/>
    <x v="0"/>
    <n v="7200"/>
    <n v="2"/>
    <x v="1"/>
    <x v="2"/>
    <s v=" Sector 88A Gurgaon"/>
    <n v="0"/>
    <n v="0"/>
    <n v="2"/>
    <n v="3"/>
    <n v="1"/>
    <x v="0"/>
    <n v="14"/>
    <n v="0"/>
    <n v="0"/>
    <n v="0"/>
    <n v="0"/>
    <n v="625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500000000000003E-3"/>
    <n v="4500000"/>
    <n v="7.1999999999999995E-2"/>
    <x v="0"/>
    <s v="Todo bien"/>
    <x v="0"/>
    <x v="2"/>
    <n v="272.25015681250005"/>
    <x v="0"/>
    <x v="0"/>
    <s v="Pequeña"/>
    <x v="0"/>
    <n v="625"/>
  </r>
  <r>
    <s v="Raheja Navodaya"/>
    <x v="28"/>
    <n v="5407"/>
    <n v="3"/>
    <x v="4"/>
    <x v="0"/>
    <s v=" Sector 92 Gurgaon"/>
    <n v="0"/>
    <n v="0"/>
    <n v="3"/>
    <n v="0"/>
    <n v="0"/>
    <x v="1"/>
    <n v="16"/>
    <n v="0"/>
    <n v="0"/>
    <n v="0"/>
    <n v="0"/>
    <n v="1572.0362493064547"/>
    <m/>
    <n v="1572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62493064501E-2"/>
    <n v="8500000"/>
    <n v="5.407E-2"/>
    <x v="1"/>
    <s v="Todo bien"/>
    <x v="0"/>
    <x v="3"/>
    <n v="684.77938462178463"/>
    <x v="1"/>
    <x v="2"/>
    <s v="Pequeña"/>
    <x v="1"/>
    <n v="1572.0362493064547"/>
  </r>
  <r>
    <s v="Godrej Summit"/>
    <x v="35"/>
    <n v="7893"/>
    <n v="3"/>
    <x v="1"/>
    <x v="2"/>
    <s v=" Sector 104 Gurgaon"/>
    <n v="0"/>
    <n v="0"/>
    <n v="3"/>
    <n v="8"/>
    <n v="3"/>
    <x v="1"/>
    <n v="19"/>
    <n v="0"/>
    <n v="0"/>
    <n v="0"/>
    <n v="0"/>
    <n v="1647.0290130495375"/>
    <m/>
    <n v="1647"/>
    <n v="0"/>
    <n v="0"/>
    <n v="0"/>
    <n v="1"/>
    <n v="0"/>
    <n v="0"/>
    <n v="1"/>
    <n v="1"/>
    <n v="0"/>
    <n v="1"/>
    <n v="1"/>
    <n v="0"/>
    <n v="1"/>
    <n v="1"/>
    <n v="1"/>
    <n v="0"/>
    <n v="0"/>
    <n v="2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290130495301E-2"/>
    <n v="13000000"/>
    <n v="7.893E-2"/>
    <x v="2"/>
    <s v="Todo bien"/>
    <x v="0"/>
    <x v="1"/>
    <n v="717.4462513239547"/>
    <x v="1"/>
    <x v="2"/>
    <s v="Pequeña"/>
    <x v="1"/>
    <n v="1647.0290130495375"/>
  </r>
  <r>
    <s v="Bhemerlei"/>
    <x v="433"/>
    <n v="5100"/>
    <n v="2"/>
    <x v="1"/>
    <x v="3"/>
    <s v=" Sohna Road"/>
    <n v="0"/>
    <n v="0"/>
    <n v="2"/>
    <n v="3"/>
    <n v="2"/>
    <x v="0"/>
    <n v="14"/>
    <n v="0"/>
    <n v="0"/>
    <n v="0"/>
    <n v="0"/>
    <n v="1350"/>
    <n v="13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999999999899E-2"/>
    <n v="6884999.9999999991"/>
    <n v="5.0999999999999997E-2"/>
    <x v="1"/>
    <s v="Todo bien"/>
    <x v="0"/>
    <x v="2"/>
    <n v="588.06033871499562"/>
    <x v="1"/>
    <x v="2"/>
    <s v="Mediana"/>
    <x v="0"/>
    <n v="1350"/>
  </r>
  <r>
    <s v="Valley View Estate"/>
    <x v="94"/>
    <n v="6089"/>
    <n v="1"/>
    <x v="1"/>
    <x v="5"/>
    <s v=" Valley View Estate"/>
    <n v="0"/>
    <n v="0"/>
    <n v="1"/>
    <n v="11"/>
    <n v="1"/>
    <x v="3"/>
    <n v="18"/>
    <n v="0"/>
    <n v="0"/>
    <n v="0"/>
    <n v="0"/>
    <n v="624.07620298899656"/>
    <m/>
    <n v="624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2407620298899E-3"/>
    <n v="3800000"/>
    <n v="6.089E-2"/>
    <x v="0"/>
    <s v="Todo bien"/>
    <x v="1"/>
    <x v="0"/>
    <n v="271.84775060272341"/>
    <x v="0"/>
    <x v="0"/>
    <s v="Pequeña"/>
    <x v="0"/>
    <n v="624.07620298899656"/>
  </r>
  <r>
    <s v="Godrej Oasis"/>
    <x v="59"/>
    <n v="8367"/>
    <n v="2"/>
    <x v="1"/>
    <x v="0"/>
    <s v=" Sector 88A Gurgaon"/>
    <n v="0"/>
    <n v="0"/>
    <n v="2"/>
    <n v="9"/>
    <n v="3"/>
    <x v="0"/>
    <n v="15"/>
    <n v="0"/>
    <n v="1"/>
    <n v="0"/>
    <n v="0"/>
    <n v="108.4"/>
    <m/>
    <n v="161"/>
    <n v="0"/>
    <n v="1"/>
    <n v="1"/>
    <n v="0"/>
    <n v="0"/>
    <n v="0"/>
    <n v="1"/>
    <n v="0"/>
    <n v="1"/>
    <n v="0"/>
    <n v="0"/>
    <n v="0"/>
    <n v="0"/>
    <n v="0"/>
    <n v="1"/>
    <n v="1"/>
    <n v="1"/>
    <n v="25"/>
    <x v="0"/>
    <x v="0"/>
    <x v="1"/>
    <x v="1"/>
    <x v="1"/>
    <x v="0"/>
    <x v="1"/>
    <x v="0"/>
    <x v="0"/>
    <n v="0"/>
    <n v="0"/>
    <n v="0"/>
    <n v="4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1.7329986853113401E-2"/>
    <n v="14500000"/>
    <n v="8.3669999999999994E-2"/>
    <x v="2"/>
    <s v="Todo bien"/>
    <x v="2"/>
    <x v="1"/>
    <n v="754.89466213099001"/>
    <x v="1"/>
    <x v="1"/>
    <s v="Pequeña"/>
    <x v="0"/>
    <n v="1732.9986853113423"/>
  </r>
  <r>
    <s v="Ramprastha Skyz"/>
    <x v="50"/>
    <n v="4942"/>
    <n v="3"/>
    <x v="1"/>
    <x v="3"/>
    <s v=" Sector 37D Gurgaon"/>
    <n v="0"/>
    <n v="0"/>
    <n v="5"/>
    <n v="11"/>
    <n v="3"/>
    <x v="1"/>
    <n v="19"/>
    <n v="1"/>
    <n v="0"/>
    <n v="0"/>
    <n v="0"/>
    <n v="2023.4722784297855"/>
    <m/>
    <n v="20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347227842978E-2"/>
    <n v="10000000"/>
    <n v="4.9419999999999999E-2"/>
    <x v="1"/>
    <s v="Todo bien"/>
    <x v="0"/>
    <x v="2"/>
    <n v="881.42503217320689"/>
    <x v="1"/>
    <x v="2"/>
    <s v="Pequeña"/>
    <x v="2"/>
    <n v="2023.4722784297855"/>
  </r>
  <r>
    <s v="Earth Copia"/>
    <x v="4"/>
    <n v="4673"/>
    <n v="2"/>
    <x v="4"/>
    <x v="0"/>
    <s v=" Sector 112 Gurgaon"/>
    <n v="0"/>
    <n v="0"/>
    <n v="2"/>
    <n v="4"/>
    <n v="2"/>
    <x v="0"/>
    <n v="15"/>
    <n v="0"/>
    <n v="0"/>
    <n v="0"/>
    <n v="0"/>
    <n v="1497.967044725016"/>
    <n v="1498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796704472501E-2"/>
    <n v="7000000"/>
    <n v="4.6730000000000001E-2"/>
    <x v="1"/>
    <s v="Todo bien"/>
    <x v="0"/>
    <x v="1"/>
    <n v="652.5148205221459"/>
    <x v="1"/>
    <x v="2"/>
    <s v="Mediana"/>
    <x v="0"/>
    <n v="1497.967044725016"/>
  </r>
  <r>
    <s v="ASS The Leafotech Blith"/>
    <x v="30"/>
    <n v="6007"/>
    <n v="2"/>
    <x v="1"/>
    <x v="4"/>
    <s v=" Sector 99 Gurgaon"/>
    <n v="0"/>
    <n v="0"/>
    <n v="2"/>
    <n v="0"/>
    <n v="3"/>
    <x v="0"/>
    <n v="1"/>
    <n v="0"/>
    <n v="0"/>
    <n v="0"/>
    <n v="0"/>
    <n v="1365.0740802397204"/>
    <n v="13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0740802397201E-2"/>
    <n v="8200000"/>
    <n v="6.0069999999999998E-2"/>
    <x v="1"/>
    <s v="Todo bien"/>
    <x v="0"/>
    <x v="2"/>
    <n v="594.62661184950878"/>
    <x v="1"/>
    <x v="2"/>
    <s v="Mediana"/>
    <x v="0"/>
    <n v="1365.0740802397204"/>
  </r>
  <r>
    <s v="Satya Element One"/>
    <x v="42"/>
    <n v="11111"/>
    <n v="1"/>
    <x v="1"/>
    <x v="4"/>
    <s v=" Sector 49 Gurgaon"/>
    <n v="0"/>
    <n v="0"/>
    <n v="1"/>
    <n v="0"/>
    <n v="1"/>
    <x v="3"/>
    <n v="1"/>
    <n v="0"/>
    <n v="0"/>
    <n v="0"/>
    <n v="0"/>
    <n v="720.00720007200073"/>
    <n v="72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0720007199997E-3"/>
    <n v="8000000"/>
    <n v="0.11111"/>
    <x v="1"/>
    <s v="Todo bien"/>
    <x v="0"/>
    <x v="2"/>
    <n v="313.63531700116971"/>
    <x v="0"/>
    <x v="0"/>
    <s v="Pequeña"/>
    <x v="0"/>
    <n v="720.00720007200073"/>
  </r>
  <r>
    <s v="Proxima Tower"/>
    <x v="91"/>
    <n v="4602"/>
    <n v="2"/>
    <x v="1"/>
    <x v="3"/>
    <s v=" Sector 37C Gurgaon"/>
    <n v="0"/>
    <n v="0"/>
    <n v="2"/>
    <n v="5"/>
    <n v="3"/>
    <x v="0"/>
    <n v="18"/>
    <n v="0"/>
    <n v="1"/>
    <n v="1"/>
    <n v="0"/>
    <n v="1303.7809647979141"/>
    <m/>
    <n v="1304"/>
    <n v="1"/>
    <n v="0"/>
    <n v="0"/>
    <n v="0"/>
    <n v="0"/>
    <n v="1"/>
    <n v="0"/>
    <n v="1"/>
    <n v="0"/>
    <n v="1"/>
    <n v="0"/>
    <n v="1"/>
    <n v="1"/>
    <n v="0"/>
    <n v="1"/>
    <n v="1"/>
    <n v="1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378096479791E-2"/>
    <n v="6000000"/>
    <n v="4.6019999999999998E-2"/>
    <x v="1"/>
    <s v="Todo bien"/>
    <x v="0"/>
    <x v="3"/>
    <n v="567.92731538461373"/>
    <x v="1"/>
    <x v="2"/>
    <s v="Pequeña"/>
    <x v="1"/>
    <n v="1303.7809647979141"/>
  </r>
  <r>
    <s v="HCBS Sports Ville"/>
    <x v="434"/>
    <n v="4345"/>
    <n v="2"/>
    <x v="1"/>
    <x v="0"/>
    <s v=" Sohna"/>
    <n v="0"/>
    <n v="0"/>
    <n v="2"/>
    <n v="10"/>
    <n v="2"/>
    <x v="0"/>
    <n v="13"/>
    <n v="0"/>
    <n v="0"/>
    <n v="0"/>
    <n v="0"/>
    <n v="619.10241657077097"/>
    <n v="619"/>
    <m/>
    <n v="0"/>
    <n v="0"/>
    <n v="1"/>
    <n v="1"/>
    <n v="0"/>
    <n v="0"/>
    <n v="0"/>
    <n v="1"/>
    <n v="0"/>
    <n v="1"/>
    <n v="0"/>
    <n v="0"/>
    <n v="1"/>
    <n v="0"/>
    <n v="0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910241657077E-3"/>
    <n v="2690000"/>
    <n v="4.3450000000000003E-2"/>
    <x v="0"/>
    <s v="Todo bien"/>
    <x v="0"/>
    <x v="3"/>
    <n v="269.68116799102376"/>
    <x v="0"/>
    <x v="0"/>
    <s v="Pequeña"/>
    <x v="0"/>
    <n v="619.10241657077097"/>
  </r>
  <r>
    <s v="Greenopolis"/>
    <x v="42"/>
    <n v="6168"/>
    <n v="2"/>
    <x v="8"/>
    <x v="3"/>
    <s v=" Sector 89 Gurgaon"/>
    <n v="0"/>
    <n v="0"/>
    <n v="2"/>
    <n v="6"/>
    <n v="2"/>
    <x v="0"/>
    <n v="11"/>
    <n v="0"/>
    <n v="0"/>
    <n v="0"/>
    <n v="0"/>
    <n v="129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701686121919E-2"/>
    <n v="8000000"/>
    <n v="6.1679999999999999E-2"/>
    <x v="1"/>
    <s v="Todo bien"/>
    <x v="0"/>
    <x v="1"/>
    <n v="564.98087016860973"/>
    <x v="1"/>
    <x v="2"/>
    <s v="Pequeña"/>
    <x v="0"/>
    <n v="1297.0168612191958"/>
  </r>
  <r>
    <s v="Vipul Belmonte"/>
    <x v="156"/>
    <n v="21922"/>
    <n v="3"/>
    <x v="1"/>
    <x v="1"/>
    <s v=" Sector 53 Gurgaon"/>
    <n v="0"/>
    <n v="0"/>
    <n v="4"/>
    <n v="0"/>
    <n v="3"/>
    <x v="1"/>
    <n v="13"/>
    <n v="0"/>
    <n v="1"/>
    <n v="0"/>
    <n v="0"/>
    <n v="2965.0579326703769"/>
    <m/>
    <n v="2965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1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650579326703699E-2"/>
    <n v="65000000"/>
    <n v="0.21922"/>
    <x v="6"/>
    <s v="Todo bien"/>
    <x v="0"/>
    <x v="3"/>
    <n v="1291.5799794042484"/>
    <x v="1"/>
    <x v="3"/>
    <s v="Pequeña"/>
    <x v="2"/>
    <n v="2965.0579326703769"/>
  </r>
  <r>
    <s v="Green Court"/>
    <x v="94"/>
    <n v="5507"/>
    <n v="2"/>
    <x v="1"/>
    <x v="3"/>
    <s v=" New Gurgaon"/>
    <n v="0"/>
    <n v="0"/>
    <n v="2"/>
    <n v="7"/>
    <n v="1"/>
    <x v="0"/>
    <n v="15"/>
    <n v="0"/>
    <n v="0"/>
    <n v="0"/>
    <n v="0"/>
    <n v="69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3086980207002E-3"/>
    <n v="3800000"/>
    <n v="5.5070000000000001E-2"/>
    <x v="0"/>
    <s v="Todo bien"/>
    <x v="0"/>
    <x v="1"/>
    <n v="300.57762001452693"/>
    <x v="0"/>
    <x v="0"/>
    <s v="Pequeña"/>
    <x v="0"/>
    <n v="690.03086980207013"/>
  </r>
  <r>
    <s v="Birla Navya"/>
    <x v="18"/>
    <n v="17488"/>
    <n v="2"/>
    <x v="1"/>
    <x v="3"/>
    <s v=" Sector 63A Gurgaon"/>
    <n v="0"/>
    <n v="0"/>
    <n v="3"/>
    <n v="4"/>
    <n v="3"/>
    <x v="0"/>
    <n v="4"/>
    <n v="0"/>
    <n v="0"/>
    <n v="0"/>
    <n v="0"/>
    <n v="770"/>
    <m/>
    <n v="1258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0054894784899E-2"/>
    <n v="22000000.000000004"/>
    <n v="0.17488000000000001"/>
    <x v="3"/>
    <s v="Todo bien"/>
    <x v="0"/>
    <x v="1"/>
    <n v="547.9875068504075"/>
    <x v="1"/>
    <x v="0"/>
    <s v="Pequeña"/>
    <x v="1"/>
    <n v="1258.0054894784996"/>
  </r>
  <r>
    <s v="Smart World Orchard"/>
    <x v="49"/>
    <n v="22700"/>
    <n v="3"/>
    <x v="1"/>
    <x v="2"/>
    <s v=" Sector 61 Gurgaon"/>
    <n v="0"/>
    <n v="0"/>
    <n v="3"/>
    <n v="1"/>
    <n v="3"/>
    <x v="1"/>
    <n v="4"/>
    <n v="0"/>
    <n v="0"/>
    <n v="0"/>
    <n v="0"/>
    <n v="837"/>
    <n v="1137"/>
    <n v="1398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3700440528633995E-3"/>
    <n v="19000000"/>
    <n v="0.22700000000000001"/>
    <x v="3"/>
    <s v="Todo bien"/>
    <x v="0"/>
    <x v="0"/>
    <n v="364.59932894713501"/>
    <x v="0"/>
    <x v="0"/>
    <s v="Mediana"/>
    <x v="1"/>
    <n v="837.00440528634363"/>
  </r>
  <r>
    <s v="Ganga Apartment"/>
    <x v="52"/>
    <n v="3352"/>
    <n v="2"/>
    <x v="2"/>
    <x v="5"/>
    <s v=" Shanti Nagar"/>
    <n v="0"/>
    <n v="0"/>
    <n v="2"/>
    <n v="3"/>
    <n v="1"/>
    <x v="0"/>
    <n v="3"/>
    <n v="0"/>
    <n v="0"/>
    <n v="0"/>
    <n v="0"/>
    <n v="800"/>
    <n v="1000"/>
    <n v="170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1"/>
    <x v="0"/>
    <x v="0"/>
    <n v="0"/>
    <n v="2"/>
    <n v="1"/>
    <n v="0"/>
    <n v="0"/>
    <n v="0"/>
    <n v="0"/>
    <n v="0"/>
    <n v="0"/>
    <n v="1"/>
    <n v="1"/>
    <n v="0"/>
    <n v="0"/>
    <n v="0"/>
    <n v="0"/>
    <n v="0"/>
    <n v="0"/>
    <n v="1"/>
    <n v="0"/>
    <n v="0"/>
    <n v="0"/>
    <n v="0"/>
    <n v="0"/>
    <n v="0"/>
    <n v="1.6408114558472499E-2"/>
    <n v="5500000"/>
    <n v="3.3520000000000001E-2"/>
    <x v="1"/>
    <s v="Todo bien"/>
    <x v="0"/>
    <x v="0"/>
    <n v="714.73788184665636"/>
    <x v="1"/>
    <x v="0"/>
    <s v="Mediana"/>
    <x v="1"/>
    <n v="1640.8114558472553"/>
  </r>
  <r>
    <s v="GLS Arawali Homes"/>
    <x v="435"/>
    <n v="4600"/>
    <n v="2"/>
    <x v="1"/>
    <x v="2"/>
    <s v=" Sohna"/>
    <n v="0"/>
    <n v="0"/>
    <n v="2"/>
    <n v="5"/>
    <n v="2"/>
    <x v="0"/>
    <n v="13"/>
    <n v="0"/>
    <n v="0"/>
    <n v="0"/>
    <n v="0"/>
    <n v="576.08695652173913"/>
    <m/>
    <n v="576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8695652173001E-3"/>
    <n v="2650000"/>
    <n v="4.5999999999999999E-2"/>
    <x v="0"/>
    <s v="Todo bien"/>
    <x v="0"/>
    <x v="0"/>
    <n v="250.943622801083"/>
    <x v="0"/>
    <x v="1"/>
    <s v="Pequeña"/>
    <x v="0"/>
    <n v="576.08695652173913"/>
  </r>
  <r>
    <s v="shree balaji appartment"/>
    <x v="2"/>
    <n v="5000"/>
    <n v="2"/>
    <x v="1"/>
    <x v="0"/>
    <s v=" Sector 33 Gurgaon"/>
    <n v="0"/>
    <n v="0"/>
    <n v="2"/>
    <n v="1"/>
    <n v="2"/>
    <x v="0"/>
    <n v="3"/>
    <n v="0"/>
    <n v="0"/>
    <n v="0"/>
    <n v="0"/>
    <n v="800"/>
    <m/>
    <n v="800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2"/>
    <n v="1"/>
    <n v="0"/>
    <n v="0"/>
    <n v="1"/>
    <n v="0"/>
    <n v="2"/>
    <n v="1"/>
    <n v="1"/>
    <n v="0"/>
    <n v="0"/>
    <n v="0"/>
    <n v="2"/>
    <n v="1"/>
    <n v="0"/>
    <n v="0"/>
    <n v="0"/>
    <n v="0"/>
    <n v="0"/>
    <n v="0"/>
    <n v="2"/>
    <n v="8.0000000000000002E-3"/>
    <n v="4000000"/>
    <n v="0.05"/>
    <x v="0"/>
    <s v="Todo bien"/>
    <x v="1"/>
    <x v="2"/>
    <n v="348.48020072000003"/>
    <x v="0"/>
    <x v="0"/>
    <s v="Pequeña"/>
    <x v="0"/>
    <n v="800"/>
  </r>
  <r>
    <s v="ROF Ananda"/>
    <x v="79"/>
    <n v="6842"/>
    <n v="1"/>
    <x v="5"/>
    <x v="2"/>
    <s v=" Sector 95 Gurgaon"/>
    <n v="0"/>
    <n v="0"/>
    <n v="1"/>
    <n v="8"/>
    <n v="1"/>
    <x v="3"/>
    <n v="14"/>
    <n v="0"/>
    <n v="0"/>
    <n v="0"/>
    <n v="0"/>
    <n v="3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0584624378001E-3"/>
    <n v="2600000"/>
    <n v="6.8419999999999995E-2"/>
    <x v="0"/>
    <s v="Todo bien"/>
    <x v="0"/>
    <x v="1"/>
    <n v="165.5306419672574"/>
    <x v="0"/>
    <x v="1"/>
    <s v="Pequeña"/>
    <x v="0"/>
    <n v="380.00584624378837"/>
  </r>
  <r>
    <s v="Ramprastha The Atrium"/>
    <x v="50"/>
    <n v="7782"/>
    <n v="3"/>
    <x v="1"/>
    <x v="0"/>
    <s v=" Sector 37D Gurgaon"/>
    <n v="0"/>
    <n v="0"/>
    <n v="3"/>
    <n v="4"/>
    <n v="2"/>
    <x v="1"/>
    <n v="13"/>
    <n v="0"/>
    <n v="0"/>
    <n v="0"/>
    <n v="0"/>
    <n v="1285.0167052171678"/>
    <m/>
    <n v="1285"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8501670521716E-2"/>
    <n v="10000000"/>
    <n v="7.782E-2"/>
    <x v="1"/>
    <s v="Todo bien"/>
    <x v="0"/>
    <x v="2"/>
    <n v="559.75359920328629"/>
    <x v="1"/>
    <x v="2"/>
    <s v="Pequeña"/>
    <x v="1"/>
    <n v="1285.0167052171678"/>
  </r>
  <r>
    <s v="Tulsiani Easy in Homes"/>
    <x v="2"/>
    <n v="7920"/>
    <n v="2"/>
    <x v="1"/>
    <x v="3"/>
    <s v=" Sohna"/>
    <n v="0"/>
    <n v="0"/>
    <n v="2"/>
    <n v="9"/>
    <n v="3"/>
    <x v="0"/>
    <n v="14"/>
    <n v="0"/>
    <n v="0"/>
    <n v="0"/>
    <n v="0"/>
    <n v="505"/>
    <m/>
    <m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505050505049998E-3"/>
    <n v="4000000"/>
    <n v="7.9200000000000007E-2"/>
    <x v="0"/>
    <s v="Todo bien"/>
    <x v="0"/>
    <x v="0"/>
    <n v="220.00012671716951"/>
    <x v="0"/>
    <x v="1"/>
    <s v="Pequeña"/>
    <x v="0"/>
    <n v="505.05050505050502"/>
  </r>
  <r>
    <s v="Eldeco Accolade"/>
    <x v="13"/>
    <n v="6178"/>
    <n v="2"/>
    <x v="8"/>
    <x v="3"/>
    <s v=" Sohna"/>
    <n v="0"/>
    <n v="0"/>
    <n v="2"/>
    <n v="8"/>
    <n v="3"/>
    <x v="0"/>
    <n v="19"/>
    <n v="0"/>
    <n v="1"/>
    <n v="0"/>
    <n v="0"/>
    <n v="849"/>
    <n v="1050"/>
    <n v="1457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7144707024899E-2"/>
    <n v="9500000"/>
    <n v="6.1780000000000002E-2"/>
    <x v="1"/>
    <s v="Todo bien"/>
    <x v="0"/>
    <x v="3"/>
    <n v="669.82880925056531"/>
    <x v="1"/>
    <x v="0"/>
    <s v="Mediana"/>
    <x v="1"/>
    <n v="1537.7144707024927"/>
  </r>
  <r>
    <s v="Ansal Harmony Homes"/>
    <x v="210"/>
    <n v="10666"/>
    <n v="2"/>
    <x v="1"/>
    <x v="1"/>
    <s v=" Sushant Lok Phase 3"/>
    <n v="0"/>
    <n v="0"/>
    <n v="2"/>
    <n v="0"/>
    <n v="1"/>
    <x v="0"/>
    <n v="3"/>
    <n v="0"/>
    <n v="0"/>
    <n v="0"/>
    <n v="0"/>
    <n v="1050.0656291018188"/>
    <m/>
    <n v="1050"/>
    <n v="0"/>
    <n v="0"/>
    <n v="0"/>
    <n v="1"/>
    <n v="1"/>
    <n v="0"/>
    <n v="1"/>
    <n v="1"/>
    <n v="1"/>
    <n v="1"/>
    <n v="1"/>
    <n v="0"/>
    <n v="0"/>
    <n v="1"/>
    <n v="1"/>
    <n v="1"/>
    <n v="1"/>
    <n v="30"/>
    <x v="0"/>
    <x v="0"/>
    <x v="0"/>
    <x v="0"/>
    <x v="0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00656291018101E-2"/>
    <n v="11200000"/>
    <n v="0.10666"/>
    <x v="2"/>
    <s v="Todo bien"/>
    <x v="1"/>
    <x v="1"/>
    <n v="457.40885149821486"/>
    <x v="0"/>
    <x v="0"/>
    <s v="Pequeña"/>
    <x v="1"/>
    <n v="1050.0656291018188"/>
  </r>
  <r>
    <s v="Mittal Cosmos Executive Apartments"/>
    <x v="29"/>
    <n v="6550"/>
    <n v="2"/>
    <x v="1"/>
    <x v="1"/>
    <s v=" Sector 2 Gurgaon"/>
    <n v="0"/>
    <n v="0"/>
    <n v="2"/>
    <n v="15"/>
    <n v="2"/>
    <x v="0"/>
    <n v="18"/>
    <n v="0"/>
    <n v="0"/>
    <n v="0"/>
    <n v="0"/>
    <n v="1145.0381679389313"/>
    <n v="1100"/>
    <n v="1145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0"/>
    <n v="1.1450381679389301E-2"/>
    <n v="7500000"/>
    <n v="6.5500000000000003E-2"/>
    <x v="1"/>
    <s v="Todo bien"/>
    <x v="0"/>
    <x v="0"/>
    <n v="498.77891324427429"/>
    <x v="0"/>
    <x v="0"/>
    <s v="Mediana"/>
    <x v="1"/>
    <n v="1145.0381679389313"/>
  </r>
  <r>
    <s v="GLS Arawali Homes"/>
    <x v="290"/>
    <n v="6076"/>
    <n v="2"/>
    <x v="1"/>
    <x v="0"/>
    <s v=" Sohna"/>
    <n v="0"/>
    <n v="0"/>
    <n v="2"/>
    <n v="11"/>
    <n v="2"/>
    <x v="0"/>
    <n v="13"/>
    <n v="0"/>
    <n v="0"/>
    <n v="0"/>
    <n v="0"/>
    <n v="480.53"/>
    <m/>
    <n v="576"/>
    <n v="0"/>
    <n v="0"/>
    <n v="1"/>
    <n v="1"/>
    <n v="1"/>
    <n v="0"/>
    <n v="0"/>
    <n v="1"/>
    <n v="1"/>
    <n v="1"/>
    <n v="0"/>
    <n v="0"/>
    <n v="1"/>
    <n v="1"/>
    <n v="0"/>
    <n v="0"/>
    <n v="1"/>
    <n v="25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x v="0"/>
    <s v="Todo bien"/>
    <x v="0"/>
    <x v="1"/>
    <n v="250.92180351382186"/>
    <x v="0"/>
    <x v="1"/>
    <s v="Pequeña"/>
    <x v="0"/>
    <n v="576.036866359447"/>
  </r>
  <r>
    <s v="Ireo The Corridors"/>
    <x v="165"/>
    <n v="12044"/>
    <n v="3"/>
    <x v="1"/>
    <x v="3"/>
    <s v=" Sector 67A Gurgaon"/>
    <n v="0"/>
    <n v="0"/>
    <n v="3"/>
    <n v="6"/>
    <n v="2"/>
    <x v="1"/>
    <n v="19"/>
    <n v="0"/>
    <n v="0"/>
    <n v="0"/>
    <n v="0"/>
    <n v="1727.0009963467287"/>
    <m/>
    <n v="1727"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70009963467201E-2"/>
    <n v="20800000"/>
    <n v="0.12044000000000001"/>
    <x v="3"/>
    <s v="Todo bien"/>
    <x v="0"/>
    <x v="2"/>
    <n v="752.2820673131813"/>
    <x v="1"/>
    <x v="2"/>
    <s v="Pequeña"/>
    <x v="1"/>
    <n v="1727.0009963467287"/>
  </r>
  <r>
    <s v="Umang Monsoon Breeze"/>
    <x v="13"/>
    <n v="5491"/>
    <n v="3"/>
    <x v="4"/>
    <x v="0"/>
    <s v=" Sector 78 Gurgaon"/>
    <n v="0"/>
    <n v="0"/>
    <n v="3"/>
    <n v="9"/>
    <n v="2"/>
    <x v="1"/>
    <n v="18"/>
    <n v="0"/>
    <n v="0"/>
    <n v="0"/>
    <n v="0"/>
    <n v="1730.1038062283737"/>
    <n v="1730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3010380622837E-2"/>
    <n v="9500000"/>
    <n v="5.491E-2"/>
    <x v="1"/>
    <s v="Todo bien"/>
    <x v="1"/>
    <x v="1"/>
    <n v="753.63365207612298"/>
    <x v="1"/>
    <x v="2"/>
    <s v="Mediana"/>
    <x v="0"/>
    <n v="1730.1038062283737"/>
  </r>
  <r>
    <s v="Pareena Coban Residences"/>
    <x v="17"/>
    <n v="5759"/>
    <m/>
    <x v="1"/>
    <x v="4"/>
    <s v=" Sector 99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7590000000000002E-2"/>
    <x v="0"/>
    <s v="Todo bien"/>
    <x v="0"/>
    <x v="2"/>
    <m/>
    <x v="0"/>
    <x v="1"/>
    <s v="Pequeña"/>
    <x v="0"/>
    <n v="0"/>
  </r>
  <r>
    <s v="ikon tower baani city centre"/>
    <x v="17"/>
    <n v="12437"/>
    <m/>
    <x v="1"/>
    <x v="4"/>
    <s v=" Golf Course Ext Road"/>
    <n v="0"/>
    <n v="0"/>
    <m/>
    <m/>
    <m/>
    <x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2436999999999999"/>
    <x v="0"/>
    <s v="Todo bien"/>
    <x v="0"/>
    <x v="2"/>
    <m/>
    <x v="0"/>
    <x v="1"/>
    <s v="Pequeña"/>
    <x v="0"/>
    <n v="0"/>
  </r>
  <r>
    <s v="Greenopolis"/>
    <x v="17"/>
    <n v="4820"/>
    <m/>
    <x v="1"/>
    <x v="4"/>
    <s v=" Sector 8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2E-2"/>
    <x v="0"/>
    <s v="Todo bien"/>
    <x v="0"/>
    <x v="2"/>
    <m/>
    <x v="0"/>
    <x v="1"/>
    <s v="Pequeña"/>
    <x v="0"/>
    <n v="0"/>
  </r>
  <r>
    <s v="ROF Ananda"/>
    <x v="79"/>
    <n v="6032"/>
    <n v="1"/>
    <x v="5"/>
    <x v="2"/>
    <s v=" Sector 95 Gurgaon"/>
    <n v="0"/>
    <n v="0"/>
    <n v="1"/>
    <n v="8"/>
    <n v="1"/>
    <x v="3"/>
    <n v="14"/>
    <n v="0"/>
    <n v="0"/>
    <n v="0"/>
    <n v="0"/>
    <n v="380.44"/>
    <m/>
    <n v="43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103448275861999E-3"/>
    <n v="2600000"/>
    <n v="6.0319999999999999E-2"/>
    <x v="0"/>
    <s v="Todo bien"/>
    <x v="0"/>
    <x v="1"/>
    <n v="187.75872883620661"/>
    <x v="0"/>
    <x v="1"/>
    <s v="Pequeña"/>
    <x v="0"/>
    <n v="431.0344827586207"/>
  </r>
  <r>
    <s v="Maple Heights"/>
    <x v="17"/>
    <n v="8888"/>
    <m/>
    <x v="1"/>
    <x v="4"/>
    <s v=" C Block Sushant Lok Phase 1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8880000000000001E-2"/>
    <x v="0"/>
    <s v="Todo bien"/>
    <x v="0"/>
    <x v="2"/>
    <m/>
    <x v="0"/>
    <x v="1"/>
    <s v="Pequeña"/>
    <x v="0"/>
    <n v="0"/>
  </r>
  <r>
    <s v="ASS The Leafotech Blith"/>
    <x v="17"/>
    <n v="6593"/>
    <m/>
    <x v="1"/>
    <x v="4"/>
    <s v=" Sector 9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5930000000000002E-2"/>
    <x v="0"/>
    <s v="Todo bien"/>
    <x v="0"/>
    <x v="2"/>
    <m/>
    <x v="0"/>
    <x v="1"/>
    <s v="Pequeña"/>
    <x v="0"/>
    <n v="0"/>
  </r>
  <r>
    <s v="Apna Enclave"/>
    <x v="42"/>
    <n v="6153"/>
    <n v="3"/>
    <x v="1"/>
    <x v="1"/>
    <s v=" Ashok Vihar"/>
    <n v="0"/>
    <n v="0"/>
    <n v="3"/>
    <n v="0"/>
    <n v="1"/>
    <x v="1"/>
    <n v="4"/>
    <n v="0"/>
    <n v="0"/>
    <n v="0"/>
    <n v="0"/>
    <n v="1300.178774581505"/>
    <n v="1000"/>
    <n v="1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787745815001E-2"/>
    <n v="8000000"/>
    <n v="6.1530000000000001E-2"/>
    <x v="1"/>
    <s v="Todo bien"/>
    <x v="0"/>
    <x v="2"/>
    <n v="566.35820042255602"/>
    <x v="1"/>
    <x v="2"/>
    <s v="Mediana"/>
    <x v="1"/>
    <n v="1300.178774581505"/>
  </r>
  <r>
    <s v="Unitech Sunbreeze"/>
    <x v="436"/>
    <n v="5500"/>
    <n v="3"/>
    <x v="1"/>
    <x v="3"/>
    <s v=" Sector 69 Gurgaon"/>
    <n v="0"/>
    <n v="0"/>
    <n v="3"/>
    <n v="10"/>
    <n v="1"/>
    <x v="1"/>
    <n v="14"/>
    <n v="1"/>
    <n v="0"/>
    <n v="0"/>
    <n v="0"/>
    <n v="1336.909090909091"/>
    <m/>
    <n v="1337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690909090909E-2"/>
    <n v="7353000"/>
    <n v="5.5E-2"/>
    <x v="1"/>
    <s v="Todo bien"/>
    <x v="0"/>
    <x v="1"/>
    <n v="582.35793543049056"/>
    <x v="1"/>
    <x v="2"/>
    <s v="Pequeña"/>
    <x v="1"/>
    <n v="1336.909090909091"/>
  </r>
  <r>
    <s v="HCBS Sports Ville"/>
    <x v="88"/>
    <n v="4603"/>
    <n v="1"/>
    <x v="4"/>
    <x v="0"/>
    <s v=" Sohna"/>
    <n v="0"/>
    <n v="0"/>
    <n v="1"/>
    <n v="9"/>
    <n v="1"/>
    <x v="3"/>
    <n v="9"/>
    <n v="0"/>
    <n v="0"/>
    <n v="0"/>
    <n v="0"/>
    <n v="321.60000000000002"/>
    <n v="477.8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8"/>
    <n v="1"/>
    <n v="1"/>
    <n v="0"/>
    <n v="0"/>
    <n v="1"/>
    <n v="1"/>
    <n v="1"/>
    <n v="0"/>
    <n v="0"/>
    <n v="0"/>
    <n v="0"/>
    <n v="0"/>
    <n v="0"/>
    <n v="1"/>
    <n v="4.7794916358896E-3"/>
    <n v="2200000"/>
    <n v="4.6030000000000001E-2"/>
    <x v="0"/>
    <s v="Todo bien"/>
    <x v="2"/>
    <x v="1"/>
    <n v="208.19477557679613"/>
    <x v="0"/>
    <x v="1"/>
    <s v="Pequeña"/>
    <x v="0"/>
    <n v="477.9491635889637"/>
  </r>
  <r>
    <s v="Godrej Nature Plus"/>
    <x v="78"/>
    <n v="9677"/>
    <n v="3"/>
    <x v="4"/>
    <x v="3"/>
    <s v=" Sector-33 Sohna"/>
    <n v="0"/>
    <n v="0"/>
    <n v="3"/>
    <n v="6"/>
    <n v="3"/>
    <x v="1"/>
    <n v="22"/>
    <n v="0"/>
    <n v="1"/>
    <n v="0"/>
    <n v="0"/>
    <n v="1550.0671695773485"/>
    <m/>
    <n v="15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55006716957734E-2"/>
    <n v="15000000"/>
    <n v="9.6769999999999995E-2"/>
    <x v="2"/>
    <s v="Todo bien"/>
    <x v="1"/>
    <x v="4"/>
    <n v="675.20964797974216"/>
    <x v="1"/>
    <x v="2"/>
    <s v="Pequeña"/>
    <x v="1"/>
    <n v="1550.0671695773485"/>
  </r>
  <r>
    <s v="Sare Crescent Parc"/>
    <x v="50"/>
    <n v="5128"/>
    <n v="4"/>
    <x v="4"/>
    <x v="0"/>
    <s v=" Sector 92 Gurgaon"/>
    <n v="0"/>
    <n v="0"/>
    <n v="3"/>
    <n v="1"/>
    <n v="2"/>
    <x v="2"/>
    <n v="20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x v="1"/>
    <s v="Todo bien"/>
    <x v="0"/>
    <x v="1"/>
    <n v="849.4544674336953"/>
    <x v="1"/>
    <x v="2"/>
    <s v="Pequeña"/>
    <x v="0"/>
    <n v="1950.0780031201248"/>
  </r>
  <r>
    <s v="Ireo The Corridors"/>
    <x v="6"/>
    <n v="11580"/>
    <n v="3"/>
    <x v="1"/>
    <x v="3"/>
    <s v=" Sector 67A Gurgaon"/>
    <n v="0"/>
    <n v="0"/>
    <n v="3"/>
    <n v="6"/>
    <n v="2"/>
    <x v="1"/>
    <n v="19"/>
    <n v="0"/>
    <n v="0"/>
    <n v="0"/>
    <n v="0"/>
    <n v="1017"/>
    <m/>
    <n v="1727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2711571675302E-2"/>
    <n v="20000000"/>
    <n v="0.1158"/>
    <x v="3"/>
    <s v="Todo bien"/>
    <x v="0"/>
    <x v="2"/>
    <n v="752.33203955094893"/>
    <x v="1"/>
    <x v="0"/>
    <s v="Pequeña"/>
    <x v="1"/>
    <n v="1727.1157167530225"/>
  </r>
  <r>
    <s v="Mittal Surya Vihar"/>
    <x v="42"/>
    <n v="7079"/>
    <n v="2"/>
    <x v="1"/>
    <x v="1"/>
    <s v=" Sector 21 Gurgaon"/>
    <n v="0"/>
    <n v="0"/>
    <n v="2"/>
    <n v="6"/>
    <n v="2"/>
    <x v="0"/>
    <n v="11"/>
    <n v="0"/>
    <n v="0"/>
    <n v="0"/>
    <n v="0"/>
    <n v="113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1301031219098701E-2"/>
    <n v="8000000"/>
    <n v="7.0790000000000006E-2"/>
    <x v="1"/>
    <s v="Todo bien"/>
    <x v="0"/>
    <x v="2"/>
    <n v="492.27320344681272"/>
    <x v="0"/>
    <x v="0"/>
    <s v="Pequeña"/>
    <x v="0"/>
    <n v="1130.1031219098743"/>
  </r>
  <r>
    <s v="Godrej Frontier"/>
    <x v="26"/>
    <n v="7000"/>
    <n v="3"/>
    <x v="1"/>
    <x v="5"/>
    <s v=" Sector 80 Gurgaon"/>
    <n v="0"/>
    <n v="0"/>
    <n v="3"/>
    <n v="5"/>
    <n v="3"/>
    <x v="1"/>
    <n v="18"/>
    <n v="1"/>
    <n v="0"/>
    <n v="0"/>
    <n v="0"/>
    <n v="2285.7142857142853"/>
    <m/>
    <n v="2262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57142857142802E-2"/>
    <n v="16000000"/>
    <n v="7.0000000000000007E-2"/>
    <x v="3"/>
    <s v="Todo bien"/>
    <x v="0"/>
    <x v="1"/>
    <n v="995.65771634285477"/>
    <x v="1"/>
    <x v="2"/>
    <s v="Pequeña"/>
    <x v="2"/>
    <n v="2285.7142857142853"/>
  </r>
  <r>
    <s v="Breez Global Heights"/>
    <x v="67"/>
    <n v="7142"/>
    <n v="1"/>
    <x v="1"/>
    <x v="2"/>
    <s v=" Sohna"/>
    <n v="0"/>
    <n v="0"/>
    <n v="1"/>
    <n v="4"/>
    <n v="1"/>
    <x v="3"/>
    <n v="10"/>
    <n v="0"/>
    <n v="0"/>
    <n v="0"/>
    <n v="0"/>
    <n v="399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3.9904788574628E-3"/>
    <n v="2850000"/>
    <n v="7.1419999999999997E-2"/>
    <x v="0"/>
    <s v="Todo bien"/>
    <x v="2"/>
    <x v="0"/>
    <n v="173.82535915219412"/>
    <x v="0"/>
    <x v="1"/>
    <s v="Pequeña"/>
    <x v="0"/>
    <n v="399.04788574628958"/>
  </r>
  <r>
    <s v="MVN Athens"/>
    <x v="36"/>
    <n v="5189"/>
    <n v="2"/>
    <x v="4"/>
    <x v="0"/>
    <s v=" Sohna"/>
    <n v="0"/>
    <n v="0"/>
    <n v="2"/>
    <n v="3"/>
    <n v="1"/>
    <x v="0"/>
    <n v="14"/>
    <n v="0"/>
    <n v="0"/>
    <n v="0"/>
    <n v="0"/>
    <n v="481.73"/>
    <m/>
    <m/>
    <n v="0"/>
    <n v="0"/>
    <n v="1"/>
    <n v="0"/>
    <n v="1"/>
    <n v="0"/>
    <n v="0"/>
    <n v="1"/>
    <n v="0"/>
    <n v="1"/>
    <n v="1"/>
    <n v="0"/>
    <n v="1"/>
    <n v="0"/>
    <n v="0"/>
    <n v="1"/>
    <n v="1"/>
    <n v="32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178839853536002E-3"/>
    <n v="2500000"/>
    <n v="5.1889999999999999E-2"/>
    <x v="0"/>
    <s v="Todo bien"/>
    <x v="0"/>
    <x v="3"/>
    <n v="209.86714728271204"/>
    <x v="0"/>
    <x v="1"/>
    <s v="Pequeña"/>
    <x v="0"/>
    <n v="481.78839853536329"/>
  </r>
  <r>
    <s v="Prime Habitat"/>
    <x v="75"/>
    <n v="4657"/>
    <n v="2"/>
    <x v="1"/>
    <x v="0"/>
    <s v=" Sector 99A Gurgaon"/>
    <n v="0"/>
    <n v="0"/>
    <n v="2"/>
    <n v="7"/>
    <n v="1"/>
    <x v="0"/>
    <n v="12"/>
    <n v="0"/>
    <n v="0"/>
    <n v="0"/>
    <n v="0"/>
    <n v="448"/>
    <n v="601"/>
    <n v="687"/>
    <n v="0"/>
    <n v="0"/>
    <n v="1"/>
    <n v="0"/>
    <n v="0"/>
    <n v="0"/>
    <n v="0"/>
    <n v="1"/>
    <n v="0"/>
    <n v="1"/>
    <n v="1"/>
    <n v="1"/>
    <n v="1"/>
    <n v="0"/>
    <n v="1"/>
    <n v="0"/>
    <n v="0"/>
    <n v="3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713764225895998E-3"/>
    <n v="3200000"/>
    <n v="4.657E-2"/>
    <x v="0"/>
    <s v="Todo bien"/>
    <x v="0"/>
    <x v="1"/>
    <n v="299.31732937083746"/>
    <x v="0"/>
    <x v="1"/>
    <s v="Pequeña"/>
    <x v="0"/>
    <n v="687.137642258965"/>
  </r>
  <r>
    <s v="Sidhartha NCR Greens"/>
    <x v="91"/>
    <n v="5576"/>
    <n v="2"/>
    <x v="1"/>
    <x v="0"/>
    <s v=" Sector 95 Gurgaon"/>
    <n v="0"/>
    <n v="0"/>
    <n v="2"/>
    <n v="14"/>
    <n v="2"/>
    <x v="0"/>
    <n v="21"/>
    <n v="0"/>
    <n v="1"/>
    <n v="0"/>
    <n v="0"/>
    <n v="1076.0401721664275"/>
    <m/>
    <n v="1076"/>
    <n v="1"/>
    <n v="0"/>
    <n v="1"/>
    <n v="0"/>
    <n v="0"/>
    <n v="0"/>
    <n v="1"/>
    <n v="1"/>
    <n v="1"/>
    <n v="0"/>
    <n v="0"/>
    <n v="0"/>
    <n v="1"/>
    <n v="0"/>
    <n v="1"/>
    <n v="0"/>
    <n v="0"/>
    <n v="1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7604017216642E-2"/>
    <n v="6000000"/>
    <n v="5.5759999999999997E-2"/>
    <x v="1"/>
    <s v="Todo bien"/>
    <x v="0"/>
    <x v="2"/>
    <n v="468.72336897417176"/>
    <x v="0"/>
    <x v="0"/>
    <s v="Pequeña"/>
    <x v="1"/>
    <n v="1076.0401721664275"/>
  </r>
  <r>
    <s v="Hero Homes"/>
    <x v="56"/>
    <n v="17548"/>
    <n v="2"/>
    <x v="1"/>
    <x v="3"/>
    <s v=" Sector 104 Gurgaon"/>
    <n v="0"/>
    <n v="0"/>
    <n v="2"/>
    <n v="22"/>
    <n v="2"/>
    <x v="0"/>
    <n v="26"/>
    <n v="0"/>
    <n v="0"/>
    <n v="0"/>
    <n v="0"/>
    <n v="683.83"/>
    <m/>
    <n v="1099"/>
    <n v="0"/>
    <n v="0"/>
    <n v="0"/>
    <n v="1"/>
    <n v="0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83861408706998E-3"/>
    <n v="12000000"/>
    <n v="0.17548"/>
    <x v="2"/>
    <s v="Todo bien"/>
    <x v="0"/>
    <x v="0"/>
    <n v="297.88027187143598"/>
    <x v="0"/>
    <x v="0"/>
    <s v="Pequeña"/>
    <x v="1"/>
    <n v="683.83861408707548"/>
  </r>
  <r>
    <s v="Jammu and Kashmir Bank Employees CGHS"/>
    <x v="394"/>
    <n v="6064"/>
    <n v="3"/>
    <x v="4"/>
    <x v="5"/>
    <s v=" Sector 9A Gurgaon"/>
    <n v="0"/>
    <n v="0"/>
    <n v="3"/>
    <n v="5"/>
    <n v="2"/>
    <x v="1"/>
    <n v="5"/>
    <n v="0"/>
    <n v="0"/>
    <n v="0"/>
    <n v="0"/>
    <n v="1550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3"/>
    <n v="1"/>
    <n v="0"/>
    <n v="0"/>
    <n v="0"/>
    <n v="1"/>
    <n v="1"/>
    <n v="1"/>
    <n v="0"/>
    <n v="0"/>
    <n v="0"/>
    <n v="1"/>
    <n v="0"/>
    <n v="0"/>
    <n v="1"/>
    <n v="0"/>
    <n v="0"/>
    <n v="0"/>
    <n v="0"/>
    <n v="0"/>
    <n v="2"/>
    <n v="1.5501319261213699E-2"/>
    <n v="9400000"/>
    <n v="6.0639999999999999E-2"/>
    <x v="1"/>
    <s v="Todo bien"/>
    <x v="1"/>
    <x v="0"/>
    <n v="675.23785594656908"/>
    <x v="1"/>
    <x v="2"/>
    <s v="Pequeña"/>
    <x v="0"/>
    <n v="1550.1319261213721"/>
  </r>
  <r>
    <s v="Ramprasta AWHO"/>
    <x v="119"/>
    <n v="5257"/>
    <n v="3"/>
    <x v="2"/>
    <x v="4"/>
    <s v=" Sector 95 Gurgaon"/>
    <n v="0"/>
    <n v="0"/>
    <n v="3"/>
    <n v="13"/>
    <n v="3"/>
    <x v="1"/>
    <n v="26"/>
    <n v="0"/>
    <n v="0"/>
    <n v="0"/>
    <n v="0"/>
    <n v="1600"/>
    <n v="17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475556400899E-2"/>
    <n v="9200000"/>
    <n v="5.2569999999999999E-2"/>
    <x v="1"/>
    <s v="Todo bien"/>
    <x v="0"/>
    <x v="2"/>
    <n v="762.32115432375497"/>
    <x v="1"/>
    <x v="2"/>
    <s v="Mediana"/>
    <x v="0"/>
    <n v="1750.0475556400991"/>
  </r>
  <r>
    <s v="Ambience Creacions"/>
    <x v="68"/>
    <n v="12700"/>
    <n v="2"/>
    <x v="1"/>
    <x v="3"/>
    <s v=" Sector 22 Gurgaon"/>
    <n v="0"/>
    <n v="0"/>
    <n v="2"/>
    <n v="11"/>
    <n v="2"/>
    <x v="0"/>
    <n v="20"/>
    <n v="0"/>
    <n v="0"/>
    <n v="0"/>
    <n v="0"/>
    <n v="1377.9527559055118"/>
    <m/>
    <n v="1380"/>
    <n v="1"/>
    <n v="0"/>
    <n v="1"/>
    <n v="1"/>
    <n v="0"/>
    <n v="0"/>
    <n v="1"/>
    <n v="1"/>
    <n v="1"/>
    <n v="0"/>
    <n v="0"/>
    <n v="0"/>
    <n v="1"/>
    <n v="1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779527559055101E-2"/>
    <n v="17500000"/>
    <n v="0.127"/>
    <x v="3"/>
    <s v="Todo bien"/>
    <x v="1"/>
    <x v="1"/>
    <n v="600.23656620078668"/>
    <x v="1"/>
    <x v="2"/>
    <s v="Pequeña"/>
    <x v="1"/>
    <n v="1377.9527559055118"/>
  </r>
  <r>
    <s v="Greenopolis"/>
    <x v="437"/>
    <n v="4700"/>
    <n v="3"/>
    <x v="1"/>
    <x v="3"/>
    <s v=" Sector 89 Gurgaon"/>
    <n v="0"/>
    <n v="0"/>
    <n v="3"/>
    <n v="14"/>
    <n v="0"/>
    <x v="1"/>
    <n v="25"/>
    <n v="0"/>
    <n v="0"/>
    <n v="0"/>
    <n v="0"/>
    <n v="1910"/>
    <n v="1910"/>
    <m/>
    <n v="0"/>
    <n v="0"/>
    <n v="1"/>
    <n v="1"/>
    <n v="0"/>
    <n v="0"/>
    <n v="0"/>
    <n v="1"/>
    <n v="1"/>
    <n v="1"/>
    <n v="1"/>
    <n v="0"/>
    <n v="1"/>
    <n v="0"/>
    <n v="1"/>
    <n v="1"/>
    <n v="1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99999999999999E-2"/>
    <n v="8977000"/>
    <n v="4.7E-2"/>
    <x v="1"/>
    <s v="Todo bien"/>
    <x v="0"/>
    <x v="3"/>
    <n v="831.99647921899998"/>
    <x v="1"/>
    <x v="2"/>
    <s v="Grande"/>
    <x v="0"/>
    <n v="1910"/>
  </r>
  <r>
    <s v="Pareena Coban Residences"/>
    <x v="12"/>
    <n v="6761"/>
    <n v="3"/>
    <x v="1"/>
    <x v="2"/>
    <s v=" Sector 99A Gurgaon"/>
    <n v="0"/>
    <n v="0"/>
    <n v="5"/>
    <n v="6"/>
    <n v="3"/>
    <x v="1"/>
    <n v="20"/>
    <n v="1"/>
    <n v="0"/>
    <n v="0"/>
    <n v="0"/>
    <n v="1996.7460434846914"/>
    <m/>
    <n v="1997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7460434846901E-2"/>
    <n v="13500000"/>
    <n v="6.7610000000000003E-2"/>
    <x v="2"/>
    <s v="Todo bien"/>
    <x v="0"/>
    <x v="3"/>
    <n v="869.78307752551336"/>
    <x v="1"/>
    <x v="2"/>
    <s v="Pequeña"/>
    <x v="1"/>
    <n v="1996.7460434846914"/>
  </r>
  <r>
    <s v="DLF ExpreSS The Leaf Greens"/>
    <x v="56"/>
    <n v="6505"/>
    <n v="3"/>
    <x v="4"/>
    <x v="0"/>
    <s v=" Sector 1A IMT Manesar"/>
    <n v="0"/>
    <n v="0"/>
    <n v="4"/>
    <n v="5"/>
    <n v="2"/>
    <x v="1"/>
    <n v="20"/>
    <n v="1"/>
    <n v="0"/>
    <n v="0"/>
    <n v="0"/>
    <n v="1844.7348193697158"/>
    <m/>
    <n v="1845"/>
    <n v="1"/>
    <n v="0"/>
    <n v="1"/>
    <n v="0"/>
    <n v="0"/>
    <n v="0"/>
    <n v="0"/>
    <n v="1"/>
    <n v="1"/>
    <n v="0"/>
    <n v="0"/>
    <n v="0"/>
    <n v="1"/>
    <n v="1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7348193697099E-2"/>
    <n v="12000000"/>
    <n v="6.5049999999999997E-2"/>
    <x v="2"/>
    <s v="Todo bien"/>
    <x v="0"/>
    <x v="0"/>
    <n v="803.56695016141191"/>
    <x v="1"/>
    <x v="2"/>
    <s v="Pequeña"/>
    <x v="1"/>
    <n v="1844.7348193697158"/>
  </r>
  <r>
    <s v="Imperia The Esfera"/>
    <x v="4"/>
    <n v="4879"/>
    <n v="2"/>
    <x v="5"/>
    <x v="3"/>
    <s v=" Sector 37C Gurgaon"/>
    <n v="0"/>
    <n v="0"/>
    <n v="3"/>
    <n v="12"/>
    <n v="3"/>
    <x v="0"/>
    <n v="24"/>
    <n v="0"/>
    <n v="1"/>
    <n v="0"/>
    <n v="0"/>
    <n v="1434.7202295552368"/>
    <m/>
    <n v="143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72022955523E-2"/>
    <n v="7000000"/>
    <n v="4.879E-2"/>
    <x v="1"/>
    <s v="Todo bien"/>
    <x v="0"/>
    <x v="1"/>
    <n v="624.96449196556375"/>
    <x v="1"/>
    <x v="2"/>
    <s v="Pequeña"/>
    <x v="1"/>
    <n v="1434.7202295552368"/>
  </r>
  <r>
    <s v="Aditya Apartment"/>
    <x v="50"/>
    <n v="4033"/>
    <n v="3"/>
    <x v="1"/>
    <x v="2"/>
    <s v=" IMT Manesar"/>
    <n v="0"/>
    <n v="0"/>
    <n v="4"/>
    <n v="3"/>
    <n v="0"/>
    <x v="1"/>
    <n v="7"/>
    <n v="0"/>
    <n v="0"/>
    <n v="0"/>
    <n v="0"/>
    <n v="2479.5437639474339"/>
    <n v="24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954376394743E-2"/>
    <n v="10000000"/>
    <n v="4.0329999999999998E-2"/>
    <x v="1"/>
    <s v="Todo bien"/>
    <x v="0"/>
    <x v="2"/>
    <n v="1080.089885693031"/>
    <x v="1"/>
    <x v="2"/>
    <s v="Grande"/>
    <x v="0"/>
    <n v="2479.5437639474339"/>
  </r>
  <r>
    <s v="Paras Dews"/>
    <x v="100"/>
    <n v="6000"/>
    <n v="3"/>
    <x v="1"/>
    <x v="3"/>
    <s v=" Sector 106 Gurgaon"/>
    <n v="0"/>
    <n v="0"/>
    <n v="4"/>
    <n v="12"/>
    <n v="3"/>
    <x v="1"/>
    <n v="24"/>
    <n v="1"/>
    <n v="1"/>
    <n v="0"/>
    <n v="0"/>
    <n v="2333.3333333333335"/>
    <m/>
    <n v="1760"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333333333333E-2"/>
    <n v="14000000"/>
    <n v="0.06"/>
    <x v="2"/>
    <s v="Todo bien"/>
    <x v="0"/>
    <x v="2"/>
    <n v="1016.4005854333319"/>
    <x v="1"/>
    <x v="2"/>
    <s v="Pequeña"/>
    <x v="1"/>
    <n v="2333.3333333333335"/>
  </r>
  <r>
    <s v="Sare Crescent Parc"/>
    <x v="53"/>
    <n v="4596"/>
    <n v="3"/>
    <x v="1"/>
    <x v="5"/>
    <s v=" Sector 92 Gurgaon"/>
    <n v="0"/>
    <n v="0"/>
    <n v="3"/>
    <n v="3"/>
    <n v="3"/>
    <x v="1"/>
    <n v="4"/>
    <n v="0"/>
    <n v="0"/>
    <n v="0"/>
    <n v="0"/>
    <n v="1414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42732811140099E-2"/>
    <n v="6500000"/>
    <n v="4.5960000000000001E-2"/>
    <x v="1"/>
    <s v="Todo bien"/>
    <x v="0"/>
    <x v="1"/>
    <n v="616.05779609442902"/>
    <x v="1"/>
    <x v="2"/>
    <s v="Pequeña"/>
    <x v="0"/>
    <n v="1414.2732811140122"/>
  </r>
  <r>
    <s v="Ansal Heights "/>
    <x v="147"/>
    <n v="5367"/>
    <n v="2"/>
    <x v="2"/>
    <x v="2"/>
    <s v=" Sector 86 Gurgaon"/>
    <n v="0"/>
    <n v="0"/>
    <n v="2"/>
    <n v="12"/>
    <n v="1"/>
    <x v="0"/>
    <n v="13"/>
    <n v="0"/>
    <n v="0"/>
    <n v="0"/>
    <n v="0"/>
    <n v="1621.0173281162661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210173281162601E-2"/>
    <n v="8700000"/>
    <n v="5.3670000000000002E-2"/>
    <x v="1"/>
    <s v="Todo bien"/>
    <x v="1"/>
    <x v="1"/>
    <n v="706.11555484069061"/>
    <x v="1"/>
    <x v="2"/>
    <s v="Pequeña"/>
    <x v="1"/>
    <n v="1621.0173281162661"/>
  </r>
  <r>
    <s v="LIG Flat"/>
    <x v="78"/>
    <n v="50000"/>
    <n v="1"/>
    <x v="1"/>
    <x v="4"/>
    <s v=" Sector 40 Gurgaon"/>
    <n v="0"/>
    <n v="0"/>
    <n v="1"/>
    <n v="0"/>
    <n v="0"/>
    <x v="3"/>
    <n v="1"/>
    <n v="0"/>
    <n v="0"/>
    <n v="0"/>
    <n v="0"/>
    <n v="300"/>
    <n v="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00000000000001E-3"/>
    <n v="15000000"/>
    <n v="0.5"/>
    <x v="2"/>
    <s v="Todo bien"/>
    <x v="0"/>
    <x v="2"/>
    <n v="130.68007527"/>
    <x v="0"/>
    <x v="1"/>
    <s v="Pequeña"/>
    <x v="0"/>
    <n v="300"/>
  </r>
  <r>
    <s v="Apna Enclave"/>
    <x v="52"/>
    <n v="5789"/>
    <n v="2"/>
    <x v="2"/>
    <x v="1"/>
    <s v=" Sector 3 Gurgaon"/>
    <n v="0"/>
    <n v="0"/>
    <n v="2"/>
    <n v="2"/>
    <n v="2"/>
    <x v="0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7773363275008E-3"/>
    <n v="5500000"/>
    <n v="5.7889999999999997E-2"/>
    <x v="1"/>
    <s v="Todo bien"/>
    <x v="0"/>
    <x v="3"/>
    <n v="413.85409914492931"/>
    <x v="0"/>
    <x v="0"/>
    <s v="Mediana"/>
    <x v="0"/>
    <n v="950.0777336327518"/>
  </r>
  <r>
    <s v="Raheja Vedaanta"/>
    <x v="43"/>
    <n v="5681"/>
    <n v="3"/>
    <x v="1"/>
    <x v="0"/>
    <s v=" Sector 108 Gurgaon"/>
    <n v="0"/>
    <n v="0"/>
    <n v="2"/>
    <n v="0"/>
    <n v="0"/>
    <x v="1"/>
    <n v="22"/>
    <n v="0"/>
    <n v="0"/>
    <n v="0"/>
    <n v="0"/>
    <n v="2200.3168456257699"/>
    <m/>
    <n v="2200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3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003168456257698E-2"/>
    <n v="12500000"/>
    <n v="5.6809999999999999E-2"/>
    <x v="2"/>
    <s v="Todo bien"/>
    <x v="1"/>
    <x v="3"/>
    <n v="958.45857001408194"/>
    <x v="1"/>
    <x v="2"/>
    <s v="Pequeña"/>
    <x v="2"/>
    <n v="2200.3168456257699"/>
  </r>
  <r>
    <s v="Shri Balaji Apartment"/>
    <x v="290"/>
    <n v="4037"/>
    <n v="2"/>
    <x v="5"/>
    <x v="5"/>
    <s v=" Dharam Colony"/>
    <n v="0"/>
    <n v="0"/>
    <n v="2"/>
    <n v="1"/>
    <n v="1"/>
    <x v="0"/>
    <n v="4"/>
    <n v="0"/>
    <n v="0"/>
    <n v="0"/>
    <n v="0"/>
    <n v="650"/>
    <n v="737"/>
    <n v="867"/>
    <n v="0"/>
    <n v="1"/>
    <n v="0"/>
    <n v="0"/>
    <n v="0"/>
    <n v="0"/>
    <n v="0"/>
    <n v="0"/>
    <n v="0"/>
    <n v="0"/>
    <n v="1"/>
    <n v="0"/>
    <n v="0"/>
    <n v="0"/>
    <n v="1"/>
    <n v="0"/>
    <n v="0"/>
    <n v="12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698043101311999E-3"/>
    <n v="3500000"/>
    <n v="4.0370000000000003E-2"/>
    <x v="0"/>
    <s v="Todo bien"/>
    <x v="0"/>
    <x v="0"/>
    <n v="377.65689327470523"/>
    <x v="0"/>
    <x v="0"/>
    <s v="Pequeña"/>
    <x v="0"/>
    <n v="866.98043101312851"/>
  </r>
  <r>
    <s v="Krrish Florence Estate"/>
    <x v="35"/>
    <n v="5600"/>
    <n v="3"/>
    <x v="1"/>
    <x v="3"/>
    <s v=" Sector 70 Gurgaon"/>
    <n v="0"/>
    <n v="0"/>
    <n v="3"/>
    <n v="17"/>
    <n v="3"/>
    <x v="1"/>
    <n v="25"/>
    <n v="0"/>
    <n v="0"/>
    <n v="0"/>
    <n v="0"/>
    <n v="2321.4285714285716"/>
    <n v="18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214285714285701E-2"/>
    <n v="13000000"/>
    <n v="5.6000000000000001E-2"/>
    <x v="2"/>
    <s v="Todo bien"/>
    <x v="1"/>
    <x v="2"/>
    <n v="1011.2148681607138"/>
    <x v="1"/>
    <x v="2"/>
    <s v="Grande"/>
    <x v="0"/>
    <n v="2321.4285714285716"/>
  </r>
  <r>
    <s v="Ansal Housing Highland Park"/>
    <x v="6"/>
    <n v="7490"/>
    <n v="4"/>
    <x v="1"/>
    <x v="2"/>
    <s v=" Sector 103 Gurgaon"/>
    <n v="0"/>
    <n v="0"/>
    <n v="5"/>
    <n v="14"/>
    <n v="3"/>
    <x v="2"/>
    <n v="19"/>
    <n v="1"/>
    <n v="0"/>
    <n v="0"/>
    <n v="0"/>
    <n v="2670.2269692923901"/>
    <m/>
    <n v="267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7022696929239E-2"/>
    <n v="20000000"/>
    <n v="7.4899999999999994E-2"/>
    <x v="3"/>
    <s v="Todo bien"/>
    <x v="0"/>
    <x v="1"/>
    <n v="1163.1515377837118"/>
    <x v="1"/>
    <x v="3"/>
    <s v="Pequeña"/>
    <x v="2"/>
    <n v="2670.2269692923901"/>
  </r>
  <r>
    <s v="DLF ExpreSS The Leaf Greens"/>
    <x v="78"/>
    <n v="6358"/>
    <n v="4"/>
    <x v="4"/>
    <x v="2"/>
    <s v=" Sector 1A IMT Manesar"/>
    <n v="0"/>
    <n v="0"/>
    <n v="5"/>
    <n v="10"/>
    <n v="3"/>
    <x v="2"/>
    <n v="20"/>
    <n v="1"/>
    <n v="0"/>
    <n v="0"/>
    <n v="0"/>
    <n v="2359.2324630386915"/>
    <m/>
    <n v="235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923246303869E-2"/>
    <n v="15000000"/>
    <n v="6.3579999999999998E-2"/>
    <x v="2"/>
    <s v="Todo bien"/>
    <x v="0"/>
    <x v="2"/>
    <n v="1027.6822528310784"/>
    <x v="1"/>
    <x v="2"/>
    <s v="Pequeña"/>
    <x v="2"/>
    <n v="2359.2324630386915"/>
  </r>
  <r>
    <s v="Pareena Mi Casa"/>
    <x v="49"/>
    <n v="9227"/>
    <n v="3"/>
    <x v="1"/>
    <x v="3"/>
    <s v=" Sector 68 Gurgaon"/>
    <n v="0"/>
    <n v="0"/>
    <n v="3"/>
    <n v="1"/>
    <n v="3"/>
    <x v="1"/>
    <n v="35"/>
    <n v="1"/>
    <n v="0"/>
    <n v="0"/>
    <n v="0"/>
    <n v="20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91741627831301E-2"/>
    <n v="19000000"/>
    <n v="9.2270000000000005E-2"/>
    <x v="3"/>
    <s v="Todo bien"/>
    <x v="0"/>
    <x v="1"/>
    <n v="896.97678195512901"/>
    <x v="1"/>
    <x v="2"/>
    <s v="Pequeña"/>
    <x v="0"/>
    <n v="2059.1741627831361"/>
  </r>
  <r>
    <s v="Ramsons Kshitij"/>
    <x v="88"/>
    <n v="6470"/>
    <n v="1"/>
    <x v="1"/>
    <x v="2"/>
    <s v=" Sector 95 Gurgaon"/>
    <n v="0"/>
    <n v="0"/>
    <n v="1"/>
    <n v="2"/>
    <n v="1"/>
    <x v="3"/>
    <n v="15"/>
    <n v="0"/>
    <n v="0"/>
    <n v="0"/>
    <n v="0"/>
    <n v="340.03091190108194"/>
    <m/>
    <n v="3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3091190108001E-3"/>
    <n v="2200000"/>
    <n v="6.4699999999999994E-2"/>
    <x v="0"/>
    <s v="Todo bien"/>
    <x v="0"/>
    <x v="2"/>
    <n v="148.11755053786626"/>
    <x v="0"/>
    <x v="1"/>
    <s v="Pequeña"/>
    <x v="0"/>
    <n v="340.03091190108194"/>
  </r>
  <r>
    <s v="ANSALS DUPLEX FLAT"/>
    <x v="13"/>
    <n v="7307"/>
    <n v="2"/>
    <x v="2"/>
    <x v="1"/>
    <s v=" Palam Vihar"/>
    <n v="0"/>
    <n v="0"/>
    <n v="3"/>
    <n v="1"/>
    <n v="2"/>
    <x v="0"/>
    <n v="2"/>
    <n v="0"/>
    <n v="1"/>
    <n v="0"/>
    <n v="0"/>
    <n v="1300"/>
    <m/>
    <m/>
    <n v="0"/>
    <n v="0"/>
    <n v="0"/>
    <n v="0"/>
    <n v="0"/>
    <n v="0"/>
    <n v="0"/>
    <n v="1"/>
    <n v="0"/>
    <n v="0"/>
    <n v="1"/>
    <n v="0"/>
    <n v="0"/>
    <n v="1"/>
    <n v="0"/>
    <n v="0"/>
    <n v="0"/>
    <n v="6"/>
    <x v="0"/>
    <x v="0"/>
    <x v="0"/>
    <x v="1"/>
    <x v="0"/>
    <x v="0"/>
    <x v="0"/>
    <x v="0"/>
    <x v="0"/>
    <n v="0"/>
    <n v="0"/>
    <n v="0"/>
    <n v="4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2"/>
    <n v="1.30012316956343E-2"/>
    <n v="9500000"/>
    <n v="7.3069999999999996E-2"/>
    <x v="1"/>
    <s v="Todo bien"/>
    <x v="1"/>
    <x v="2"/>
    <n v="566.33397886273337"/>
    <x v="1"/>
    <x v="2"/>
    <s v="Pequeña"/>
    <x v="0"/>
    <n v="1300.1231695634324"/>
  </r>
  <r>
    <s v="Green Court"/>
    <x v="2"/>
    <n v="6389"/>
    <n v="2"/>
    <x v="8"/>
    <x v="2"/>
    <s v=" Sector 90 Gurgaon"/>
    <n v="0"/>
    <n v="0"/>
    <n v="2"/>
    <n v="8"/>
    <n v="1"/>
    <x v="0"/>
    <n v="14"/>
    <n v="0"/>
    <n v="0"/>
    <n v="0"/>
    <n v="0"/>
    <n v="526"/>
    <m/>
    <n v="626"/>
    <n v="0"/>
    <n v="0"/>
    <n v="1"/>
    <n v="0"/>
    <n v="0"/>
    <n v="0"/>
    <n v="0"/>
    <n v="1"/>
    <n v="0"/>
    <n v="0"/>
    <n v="0"/>
    <n v="0"/>
    <n v="1"/>
    <n v="1"/>
    <n v="0"/>
    <n v="0"/>
    <n v="0"/>
    <n v="1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607606824229001E-3"/>
    <n v="4000000"/>
    <n v="6.3890000000000002E-2"/>
    <x v="0"/>
    <s v="Todo bien"/>
    <x v="0"/>
    <x v="2"/>
    <n v="272.71889240882706"/>
    <x v="0"/>
    <x v="1"/>
    <s v="Pequeña"/>
    <x v="0"/>
    <n v="626.0760682422914"/>
  </r>
  <r>
    <s v="HCBS Sports Ville"/>
    <x v="75"/>
    <n v="6165"/>
    <n v="2"/>
    <x v="1"/>
    <x v="2"/>
    <s v=" Sohna"/>
    <n v="0"/>
    <n v="0"/>
    <n v="2"/>
    <n v="2"/>
    <n v="2"/>
    <x v="0"/>
    <n v="13"/>
    <n v="0"/>
    <n v="0"/>
    <n v="0"/>
    <n v="0"/>
    <n v="519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5920519058997E-3"/>
    <n v="3200000"/>
    <n v="6.1650000000000003E-2"/>
    <x v="0"/>
    <s v="Todo bien"/>
    <x v="0"/>
    <x v="1"/>
    <n v="226.10232001297558"/>
    <x v="0"/>
    <x v="1"/>
    <s v="Pequeña"/>
    <x v="0"/>
    <n v="519.05920519059202"/>
  </r>
  <r>
    <s v="Smriti Apartment"/>
    <x v="0"/>
    <n v="7500"/>
    <n v="1"/>
    <x v="1"/>
    <x v="1"/>
    <s v=" Sector 56 Gurgaon"/>
    <n v="0"/>
    <n v="0"/>
    <n v="1"/>
    <n v="3"/>
    <n v="2"/>
    <x v="3"/>
    <n v="5"/>
    <n v="0"/>
    <n v="0"/>
    <n v="0"/>
    <n v="0"/>
    <n v="600"/>
    <m/>
    <n v="600"/>
    <n v="0"/>
    <n v="0"/>
    <n v="0"/>
    <n v="0"/>
    <n v="1"/>
    <n v="0"/>
    <n v="1"/>
    <n v="1"/>
    <n v="0"/>
    <n v="1"/>
    <n v="1"/>
    <n v="0"/>
    <n v="0"/>
    <n v="1"/>
    <n v="1"/>
    <n v="0"/>
    <n v="0"/>
    <n v="1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4500000"/>
    <n v="7.4999999999999997E-2"/>
    <x v="0"/>
    <s v="Todo bien"/>
    <x v="0"/>
    <x v="0"/>
    <n v="261.36015054000001"/>
    <x v="0"/>
    <x v="1"/>
    <s v="Pequeña"/>
    <x v="0"/>
    <n v="600"/>
  </r>
  <r>
    <s v="Pareena Mi Casa"/>
    <x v="20"/>
    <n v="9310"/>
    <n v="3"/>
    <x v="1"/>
    <x v="3"/>
    <s v=" Sector 68 Gurgaon"/>
    <n v="0"/>
    <n v="0"/>
    <n v="3"/>
    <n v="13"/>
    <n v="3"/>
    <x v="1"/>
    <n v="34"/>
    <n v="0"/>
    <n v="0"/>
    <n v="0"/>
    <n v="0"/>
    <n v="1987.1106337271751"/>
    <m/>
    <n v="1987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711063372717E-2"/>
    <n v="18500000"/>
    <n v="9.3100000000000002E-2"/>
    <x v="3"/>
    <s v="Todo bien"/>
    <x v="0"/>
    <x v="2"/>
    <n v="865.58589061761325"/>
    <x v="1"/>
    <x v="2"/>
    <s v="Pequeña"/>
    <x v="1"/>
    <n v="1987.1106337271751"/>
  </r>
  <r>
    <s v="Sidhartha NCR Greens"/>
    <x v="10"/>
    <n v="6201"/>
    <n v="3"/>
    <x v="1"/>
    <x v="2"/>
    <s v=" Sector 95 Gurgaon"/>
    <n v="0"/>
    <n v="0"/>
    <n v="3"/>
    <n v="8"/>
    <n v="3"/>
    <x v="1"/>
    <n v="21"/>
    <n v="0"/>
    <n v="0"/>
    <n v="1"/>
    <n v="1"/>
    <n v="1548"/>
    <m/>
    <m/>
    <n v="1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8137397194E-2"/>
    <n v="9600000"/>
    <n v="6.2010000000000003E-2"/>
    <x v="1"/>
    <s v="Todo bien"/>
    <x v="0"/>
    <x v="2"/>
    <n v="674.36903864537942"/>
    <x v="1"/>
    <x v="2"/>
    <s v="Pequeña"/>
    <x v="0"/>
    <n v="1548.1373971940009"/>
  </r>
  <r>
    <s v="Ansals API Esencia"/>
    <x v="92"/>
    <n v="8000"/>
    <n v="4"/>
    <x v="4"/>
    <x v="2"/>
    <s v=" Golf Course Ext Road"/>
    <n v="0"/>
    <n v="0"/>
    <n v="4"/>
    <n v="1"/>
    <n v="3"/>
    <x v="2"/>
    <n v="3"/>
    <n v="0"/>
    <n v="0"/>
    <n v="0"/>
    <n v="0"/>
    <n v="2198"/>
    <n v="2500"/>
    <m/>
    <n v="0"/>
    <n v="0"/>
    <n v="1"/>
    <n v="1"/>
    <n v="0"/>
    <n v="0"/>
    <n v="0"/>
    <n v="1"/>
    <n v="0"/>
    <n v="1"/>
    <n v="1"/>
    <n v="1"/>
    <n v="1"/>
    <n v="0"/>
    <n v="1"/>
    <n v="0"/>
    <n v="0"/>
    <n v="38"/>
    <x v="0"/>
    <x v="0"/>
    <x v="1"/>
    <x v="1"/>
    <x v="0"/>
    <x v="1"/>
    <x v="1"/>
    <x v="0"/>
    <x v="0"/>
    <n v="0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0.03"/>
    <n v="24000000"/>
    <n v="0.08"/>
    <x v="3"/>
    <s v="Todo bien"/>
    <x v="1"/>
    <x v="3"/>
    <n v="1306.8007527"/>
    <x v="1"/>
    <x v="2"/>
    <s v="Grande"/>
    <x v="0"/>
    <n v="3000"/>
  </r>
  <r>
    <s v="Supertech Araville"/>
    <x v="42"/>
    <n v="6178"/>
    <n v="2"/>
    <x v="1"/>
    <x v="2"/>
    <s v=" Sector 79 Gurgaon"/>
    <n v="0"/>
    <n v="0"/>
    <n v="2"/>
    <n v="9"/>
    <n v="3"/>
    <x v="0"/>
    <n v="24"/>
    <n v="0"/>
    <n v="0"/>
    <n v="0"/>
    <n v="0"/>
    <n v="1294.9174490126254"/>
    <m/>
    <n v="129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174490126201E-2"/>
    <n v="8000000"/>
    <n v="6.1780000000000002E-2"/>
    <x v="1"/>
    <s v="Todo bien"/>
    <x v="0"/>
    <x v="2"/>
    <n v="564.06636568468525"/>
    <x v="1"/>
    <x v="2"/>
    <s v="Pequeña"/>
    <x v="1"/>
    <n v="1294.9174490126254"/>
  </r>
  <r>
    <s v="Godrej Summit"/>
    <x v="56"/>
    <n v="8298"/>
    <n v="3"/>
    <x v="1"/>
    <x v="0"/>
    <s v=" Sector 104 Gurgaon"/>
    <n v="0"/>
    <n v="0"/>
    <n v="2"/>
    <n v="16"/>
    <n v="3"/>
    <x v="1"/>
    <n v="18"/>
    <n v="0"/>
    <n v="1"/>
    <n v="1"/>
    <n v="0"/>
    <n v="144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613159797541E-2"/>
    <n v="12000000"/>
    <n v="8.2979999999999998E-2"/>
    <x v="2"/>
    <s v="Todo bien"/>
    <x v="1"/>
    <x v="5"/>
    <n v="629.93528691250651"/>
    <x v="1"/>
    <x v="2"/>
    <s v="Pequeña"/>
    <x v="0"/>
    <n v="1446.1315979754158"/>
  </r>
  <r>
    <s v="Sare Crescent Parc"/>
    <x v="1"/>
    <n v="5000"/>
    <n v="2"/>
    <x v="1"/>
    <x v="0"/>
    <s v=" Sector 92 Gurgaon"/>
    <n v="0"/>
    <n v="0"/>
    <n v="2"/>
    <n v="2"/>
    <n v="2"/>
    <x v="0"/>
    <n v="3"/>
    <n v="0"/>
    <n v="0"/>
    <n v="0"/>
    <n v="0"/>
    <n v="1000"/>
    <m/>
    <n v="1000"/>
    <n v="0"/>
    <n v="0"/>
    <n v="1"/>
    <n v="0"/>
    <n v="0"/>
    <n v="0"/>
    <n v="0"/>
    <n v="1"/>
    <n v="1"/>
    <n v="1"/>
    <n v="1"/>
    <n v="1"/>
    <n v="1"/>
    <n v="1"/>
    <n v="1"/>
    <n v="1"/>
    <n v="1"/>
    <n v="3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3"/>
    <n v="435.60025090000005"/>
    <x v="0"/>
    <x v="0"/>
    <s v="Pequeña"/>
    <x v="0"/>
    <n v="1000"/>
  </r>
  <r>
    <s v="Sare Crescent Parc"/>
    <x v="119"/>
    <n v="4854"/>
    <n v="4"/>
    <x v="2"/>
    <x v="5"/>
    <s v=" Sector 92 Gurgaon"/>
    <n v="0"/>
    <n v="0"/>
    <n v="5"/>
    <n v="14"/>
    <n v="3"/>
    <x v="2"/>
    <n v="15"/>
    <n v="0"/>
    <n v="0"/>
    <n v="0"/>
    <n v="0"/>
    <n v="1600"/>
    <n v="1895"/>
    <m/>
    <n v="0"/>
    <n v="1"/>
    <n v="1"/>
    <n v="0"/>
    <n v="0"/>
    <n v="0"/>
    <n v="1"/>
    <n v="1"/>
    <n v="1"/>
    <n v="0"/>
    <n v="1"/>
    <n v="1"/>
    <n v="1"/>
    <n v="0"/>
    <n v="1"/>
    <n v="1"/>
    <n v="1"/>
    <n v="38"/>
    <x v="0"/>
    <x v="0"/>
    <x v="1"/>
    <x v="1"/>
    <x v="1"/>
    <x v="1"/>
    <x v="1"/>
    <x v="0"/>
    <x v="0"/>
    <n v="0"/>
    <n v="3"/>
    <n v="1"/>
    <n v="3"/>
    <n v="1"/>
    <n v="0"/>
    <n v="0"/>
    <n v="0"/>
    <n v="0"/>
    <n v="0"/>
    <n v="0"/>
    <n v="0"/>
    <n v="1"/>
    <n v="1"/>
    <n v="1"/>
    <n v="4"/>
    <n v="1"/>
    <n v="0"/>
    <n v="0"/>
    <n v="0"/>
    <n v="0"/>
    <n v="0"/>
    <n v="0"/>
    <n v="2"/>
    <n v="1.8953440461474999E-2"/>
    <n v="9200000"/>
    <n v="4.854E-2"/>
    <x v="1"/>
    <s v="Todo bien"/>
    <x v="1"/>
    <x v="3"/>
    <n v="825.61234204367224"/>
    <x v="1"/>
    <x v="2"/>
    <s v="Grande"/>
    <x v="0"/>
    <n v="1895.3440461475072"/>
  </r>
  <r>
    <s v="Green Court"/>
    <x v="1"/>
    <n v="8333"/>
    <n v="2"/>
    <x v="1"/>
    <x v="2"/>
    <s v=" Sector 90 Gurgaon"/>
    <n v="0"/>
    <n v="0"/>
    <n v="2"/>
    <n v="8"/>
    <n v="1"/>
    <x v="0"/>
    <n v="14"/>
    <n v="0"/>
    <n v="0"/>
    <n v="0"/>
    <n v="0"/>
    <n v="600"/>
    <m/>
    <n v="700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1"/>
    <n v="261.37060536421092"/>
    <x v="0"/>
    <x v="1"/>
    <s v="Pequeña"/>
    <x v="0"/>
    <n v="600.02400096003839"/>
  </r>
  <r>
    <s v="Supertech Araville"/>
    <x v="32"/>
    <n v="6023"/>
    <n v="2"/>
    <x v="1"/>
    <x v="0"/>
    <s v=" Sector 79 Gurgaon"/>
    <n v="0"/>
    <n v="0"/>
    <n v="2"/>
    <n v="17"/>
    <n v="3"/>
    <x v="0"/>
    <n v="17"/>
    <n v="0"/>
    <n v="0"/>
    <n v="0"/>
    <n v="0"/>
    <n v="1295.0356964967625"/>
    <m/>
    <n v="129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569649676E-2"/>
    <n v="7800000"/>
    <n v="6.0229999999999999E-2"/>
    <x v="1"/>
    <s v="Todo bien"/>
    <x v="0"/>
    <x v="2"/>
    <n v="564.11787431844493"/>
    <x v="1"/>
    <x v="2"/>
    <s v="Pequeña"/>
    <x v="1"/>
    <n v="1295.0356964967625"/>
  </r>
  <r>
    <s v="Signature Global Synera"/>
    <x v="1"/>
    <n v="7886"/>
    <n v="2"/>
    <x v="4"/>
    <x v="2"/>
    <s v=" Sector 81 Gurgaon"/>
    <n v="0"/>
    <n v="0"/>
    <n v="2"/>
    <n v="11"/>
    <n v="1"/>
    <x v="0"/>
    <n v="12"/>
    <n v="0"/>
    <n v="0"/>
    <n v="0"/>
    <n v="0"/>
    <n v="634"/>
    <m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0"/>
    <x v="1"/>
    <x v="1"/>
    <x v="1"/>
    <x v="1"/>
    <x v="0"/>
    <x v="0"/>
    <x v="0"/>
    <x v="0"/>
    <n v="0"/>
    <n v="0"/>
    <n v="0"/>
    <n v="0"/>
    <n v="0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6.3403499873193004E-3"/>
    <n v="5000000"/>
    <n v="7.886E-2"/>
    <x v="1"/>
    <s v="Todo bien"/>
    <x v="2"/>
    <x v="3"/>
    <n v="276.18580452700991"/>
    <x v="0"/>
    <x v="0"/>
    <s v="Pequeña"/>
    <x v="0"/>
    <n v="634.03499873193005"/>
  </r>
  <r>
    <s v="Godrej Summit"/>
    <x v="35"/>
    <n v="9027"/>
    <n v="3"/>
    <x v="1"/>
    <x v="0"/>
    <s v=" Sector 104 Gurgaon"/>
    <n v="0"/>
    <n v="0"/>
    <n v="2"/>
    <n v="16"/>
    <n v="3"/>
    <x v="1"/>
    <n v="18"/>
    <n v="0"/>
    <n v="1"/>
    <n v="1"/>
    <n v="1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3"/>
    <n v="1"/>
    <n v="3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012407222776E-2"/>
    <n v="13000000"/>
    <n v="9.0270000000000003E-2"/>
    <x v="2"/>
    <s v="Todo bien"/>
    <x v="1"/>
    <x v="2"/>
    <n v="627.31840718954197"/>
    <x v="1"/>
    <x v="2"/>
    <s v="Pequeña"/>
    <x v="1"/>
    <n v="1440.1240722277612"/>
  </r>
  <r>
    <s v="Prime Habitat"/>
    <x v="96"/>
    <n v="5432"/>
    <n v="2"/>
    <x v="2"/>
    <x v="2"/>
    <s v=" Sector 99A Gurgaon"/>
    <n v="0"/>
    <n v="0"/>
    <n v="2"/>
    <n v="4"/>
    <n v="1"/>
    <x v="0"/>
    <n v="12"/>
    <n v="0"/>
    <n v="0"/>
    <n v="0"/>
    <n v="0"/>
    <n v="497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9705449189985E-3"/>
    <n v="2700000"/>
    <n v="5.432E-2"/>
    <x v="0"/>
    <s v="Todo bien"/>
    <x v="0"/>
    <x v="2"/>
    <n v="216.5170613825467"/>
    <x v="0"/>
    <x v="1"/>
    <s v="Pequeña"/>
    <x v="0"/>
    <n v="497.05449189985274"/>
  </r>
  <r>
    <s v="Sare Homes"/>
    <x v="28"/>
    <n v="4786"/>
    <n v="4"/>
    <x v="1"/>
    <x v="5"/>
    <s v=" New Gurgaon"/>
    <n v="0"/>
    <n v="0"/>
    <n v="4"/>
    <n v="3"/>
    <n v="3"/>
    <x v="2"/>
    <n v="4"/>
    <n v="0"/>
    <n v="0"/>
    <n v="0"/>
    <n v="0"/>
    <n v="1776.01337233598"/>
    <m/>
    <n v="1776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1337233598E-2"/>
    <n v="8500000"/>
    <n v="4.786E-2"/>
    <x v="1"/>
    <s v="Todo bien"/>
    <x v="0"/>
    <x v="2"/>
    <n v="773.63187059130803"/>
    <x v="1"/>
    <x v="2"/>
    <s v="Pequeña"/>
    <x v="1"/>
    <n v="1776.01337233598"/>
  </r>
  <r>
    <s v="Bestech Park View Ananda"/>
    <x v="15"/>
    <n v="6618"/>
    <n v="2"/>
    <x v="1"/>
    <x v="2"/>
    <s v=" Sector 81 Gurgaon"/>
    <n v="0"/>
    <n v="0"/>
    <n v="2"/>
    <n v="8"/>
    <n v="3"/>
    <x v="0"/>
    <n v="15"/>
    <n v="0"/>
    <n v="0"/>
    <n v="0"/>
    <n v="0"/>
    <n v="1359.9274705349048"/>
    <m/>
    <n v="13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274705348999E-2"/>
    <n v="9000000"/>
    <n v="6.6180000000000003E-2"/>
    <x v="1"/>
    <s v="Todo bien"/>
    <x v="0"/>
    <x v="3"/>
    <n v="592.3847473708048"/>
    <x v="1"/>
    <x v="2"/>
    <s v="Pequeña"/>
    <x v="1"/>
    <n v="1359.9274705349048"/>
  </r>
  <r>
    <s v="Millenia"/>
    <x v="2"/>
    <n v="6666"/>
    <n v="2"/>
    <x v="4"/>
    <x v="2"/>
    <s v=" Sector 37C Gurgaon"/>
    <n v="0"/>
    <n v="0"/>
    <n v="2"/>
    <n v="4"/>
    <n v="2"/>
    <x v="0"/>
    <n v="14"/>
    <n v="0"/>
    <n v="0"/>
    <n v="0"/>
    <n v="0"/>
    <n v="600"/>
    <m/>
    <m/>
    <n v="0"/>
    <n v="0"/>
    <n v="0"/>
    <n v="0"/>
    <n v="0"/>
    <n v="0"/>
    <n v="0"/>
    <n v="1"/>
    <n v="0"/>
    <n v="1"/>
    <n v="0"/>
    <n v="0"/>
    <n v="1"/>
    <n v="0"/>
    <n v="0"/>
    <n v="0"/>
    <n v="1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6000600060002E-3"/>
    <n v="4000000"/>
    <n v="6.6659999999999997E-2"/>
    <x v="0"/>
    <s v="Todo bien"/>
    <x v="0"/>
    <x v="2"/>
    <n v="261.3862891689169"/>
    <x v="0"/>
    <x v="1"/>
    <s v="Pequeña"/>
    <x v="0"/>
    <n v="600.06000600060008"/>
  </r>
  <r>
    <s v="Sidhartha NCR One Phase "/>
    <x v="15"/>
    <n v="4500"/>
    <n v="3"/>
    <x v="1"/>
    <x v="0"/>
    <s v=" Sector 95 Gurgaon"/>
    <n v="0"/>
    <n v="0"/>
    <n v="3"/>
    <n v="15"/>
    <n v="1"/>
    <x v="1"/>
    <n v="16"/>
    <n v="0"/>
    <n v="0"/>
    <n v="0"/>
    <n v="0"/>
    <n v="2000"/>
    <n v="2000"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9000000"/>
    <n v="4.4999999999999998E-2"/>
    <x v="1"/>
    <s v="Todo bien"/>
    <x v="0"/>
    <x v="1"/>
    <n v="871.2005018000001"/>
    <x v="1"/>
    <x v="2"/>
    <s v="Grande"/>
    <x v="0"/>
    <n v="2000"/>
  </r>
  <r>
    <s v="Signature Andour Heights"/>
    <x v="95"/>
    <n v="9846"/>
    <n v="1"/>
    <x v="1"/>
    <x v="2"/>
    <s v=" Sector 71 Gurgaon"/>
    <n v="0"/>
    <n v="0"/>
    <n v="1"/>
    <n v="1"/>
    <n v="2"/>
    <x v="3"/>
    <n v="3"/>
    <n v="0"/>
    <n v="0"/>
    <n v="0"/>
    <n v="0"/>
    <n v="396.09993906154779"/>
    <m/>
    <n v="32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609993906154E-3"/>
    <n v="3900000"/>
    <n v="9.8460000000000006E-2"/>
    <x v="0"/>
    <s v="Todo bien"/>
    <x v="0"/>
    <x v="2"/>
    <n v="172.54123283668156"/>
    <x v="0"/>
    <x v="1"/>
    <s v="Pequeña"/>
    <x v="0"/>
    <n v="396.09993906154779"/>
  </r>
  <r>
    <s v="Sanskriti Apartments"/>
    <x v="51"/>
    <n v="13513"/>
    <n v="3"/>
    <x v="4"/>
    <x v="1"/>
    <s v=" Sector 43 Gurgaon"/>
    <n v="0"/>
    <n v="0"/>
    <n v="2"/>
    <n v="5"/>
    <n v="3"/>
    <x v="1"/>
    <n v="8"/>
    <n v="0"/>
    <n v="1"/>
    <n v="0"/>
    <n v="0"/>
    <n v="1850.0703026715016"/>
    <m/>
    <n v="185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703026714999E-2"/>
    <n v="25000000"/>
    <n v="0.13513"/>
    <x v="3"/>
    <s v="Todo bien"/>
    <x v="0"/>
    <x v="2"/>
    <n v="805.89108802634428"/>
    <x v="1"/>
    <x v="2"/>
    <s v="Pequeña"/>
    <x v="1"/>
    <n v="1850.0703026715016"/>
  </r>
  <r>
    <s v="Sare Crescent Parc"/>
    <x v="42"/>
    <n v="4210"/>
    <n v="4"/>
    <x v="4"/>
    <x v="0"/>
    <s v=" Sector 92 Gurgaon"/>
    <n v="0"/>
    <n v="0"/>
    <n v="3"/>
    <n v="10"/>
    <n v="2"/>
    <x v="2"/>
    <n v="23"/>
    <n v="0"/>
    <n v="0"/>
    <n v="0"/>
    <n v="0"/>
    <n v="1900.2375296912114"/>
    <m/>
    <n v="1900"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2375296912101E-2"/>
    <n v="8000000"/>
    <n v="4.2099999999999999E-2"/>
    <x v="1"/>
    <s v="Todo bien"/>
    <x v="0"/>
    <x v="0"/>
    <n v="827.74394470308732"/>
    <x v="1"/>
    <x v="2"/>
    <s v="Pequeña"/>
    <x v="1"/>
    <n v="1900.2375296912114"/>
  </r>
  <r>
    <s v="MM skywalk"/>
    <x v="78"/>
    <n v="10714"/>
    <n v="2"/>
    <x v="1"/>
    <x v="2"/>
    <s v=" Sector 74 Gurgaon"/>
    <n v="0"/>
    <n v="0"/>
    <n v="2"/>
    <n v="8"/>
    <n v="1"/>
    <x v="0"/>
    <n v="30"/>
    <n v="0"/>
    <n v="0"/>
    <n v="0"/>
    <n v="0"/>
    <n v="1400"/>
    <m/>
    <m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0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003733432891E-2"/>
    <n v="15000000"/>
    <n v="0.10714"/>
    <x v="2"/>
    <s v="Todo bien"/>
    <x v="0"/>
    <x v="2"/>
    <n v="609.85661410304044"/>
    <x v="1"/>
    <x v="2"/>
    <s v="Pequeña"/>
    <x v="0"/>
    <n v="1400.0373343289154"/>
  </r>
  <r>
    <s v="Sare Homes"/>
    <x v="30"/>
    <n v="5384"/>
    <n v="3"/>
    <x v="0"/>
    <x v="0"/>
    <s v=" Sector 92 Gurgaon"/>
    <n v="0"/>
    <n v="0"/>
    <n v="3"/>
    <n v="12"/>
    <n v="3"/>
    <x v="1"/>
    <n v="15"/>
    <n v="0"/>
    <n v="0"/>
    <n v="0"/>
    <n v="0"/>
    <n v="1523.0312035661218"/>
    <n v="1221.18"/>
    <n v="1523"/>
    <n v="1"/>
    <n v="1"/>
    <n v="1"/>
    <n v="1"/>
    <n v="0"/>
    <n v="0"/>
    <n v="1"/>
    <n v="1"/>
    <n v="1"/>
    <n v="1"/>
    <n v="1"/>
    <n v="1"/>
    <n v="1"/>
    <n v="0"/>
    <n v="1"/>
    <n v="0"/>
    <n v="0"/>
    <n v="44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4"/>
    <n v="663.43277440193094"/>
    <x v="1"/>
    <x v="2"/>
    <s v="Mediana"/>
    <x v="1"/>
    <n v="1523.0312035661218"/>
  </r>
  <r>
    <s v="Puri Emerald Bay"/>
    <x v="7"/>
    <n v="8823"/>
    <n v="2"/>
    <x v="1"/>
    <x v="2"/>
    <s v=" Sector 104 Gurgaon"/>
    <n v="0"/>
    <n v="0"/>
    <n v="3"/>
    <n v="23"/>
    <n v="3"/>
    <x v="0"/>
    <n v="29"/>
    <n v="1"/>
    <n v="0"/>
    <n v="0"/>
    <n v="0"/>
    <n v="2040.1224073444405"/>
    <m/>
    <n v="1700"/>
    <n v="0"/>
    <n v="0"/>
    <n v="0"/>
    <n v="0"/>
    <n v="0"/>
    <n v="0"/>
    <n v="1"/>
    <n v="1"/>
    <n v="1"/>
    <n v="0"/>
    <n v="0"/>
    <n v="0"/>
    <n v="1"/>
    <n v="1"/>
    <n v="0"/>
    <n v="1"/>
    <n v="1"/>
    <n v="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1224073444399E-2"/>
    <n v="18000000"/>
    <n v="8.8230000000000003E-2"/>
    <x v="3"/>
    <s v="Todo bien"/>
    <x v="0"/>
    <x v="2"/>
    <n v="888.67783250595005"/>
    <x v="1"/>
    <x v="2"/>
    <s v="Pequeña"/>
    <x v="1"/>
    <n v="2040.1224073444405"/>
  </r>
  <r>
    <s v="Laxmi Apartment sector A Gurgaon"/>
    <x v="45"/>
    <n v="4615"/>
    <n v="2"/>
    <x v="1"/>
    <x v="2"/>
    <s v=" Sector 99A Gurgaon"/>
    <n v="0"/>
    <n v="0"/>
    <n v="2"/>
    <n v="4"/>
    <n v="1"/>
    <x v="0"/>
    <n v="10"/>
    <n v="0"/>
    <n v="0"/>
    <n v="0"/>
    <n v="0"/>
    <n v="550"/>
    <m/>
    <n v="6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3000000"/>
    <n v="4.6149999999999997E-2"/>
    <x v="0"/>
    <s v="Todo bien"/>
    <x v="0"/>
    <x v="1"/>
    <n v="283.16376006500468"/>
    <x v="0"/>
    <x v="1"/>
    <s v="Pequeña"/>
    <x v="0"/>
    <n v="650.0541711809318"/>
  </r>
  <r>
    <s v="Godrej Aria"/>
    <x v="82"/>
    <n v="8519"/>
    <n v="3"/>
    <x v="1"/>
    <x v="2"/>
    <s v=" Sector 79 Gurgaon"/>
    <n v="0"/>
    <n v="0"/>
    <n v="4"/>
    <n v="10"/>
    <n v="3"/>
    <x v="1"/>
    <n v="15"/>
    <n v="1"/>
    <n v="0"/>
    <n v="0"/>
    <n v="0"/>
    <n v="1121"/>
    <m/>
    <n v="228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00105646202E-2"/>
    <n v="19500000"/>
    <n v="8.5190000000000002E-2"/>
    <x v="3"/>
    <s v="Todo bien"/>
    <x v="0"/>
    <x v="2"/>
    <n v="997.08943450522099"/>
    <x v="1"/>
    <x v="0"/>
    <s v="Pequeña"/>
    <x v="2"/>
    <n v="2289.0010564620261"/>
  </r>
  <r>
    <s v="Ansal Estella"/>
    <x v="78"/>
    <n v="8670"/>
    <n v="3"/>
    <x v="1"/>
    <x v="3"/>
    <s v=" Sector 103 Gurgaon"/>
    <n v="0"/>
    <n v="0"/>
    <n v="3"/>
    <n v="6"/>
    <n v="3"/>
    <x v="1"/>
    <n v="18"/>
    <n v="0"/>
    <n v="0"/>
    <n v="0"/>
    <n v="0"/>
    <n v="1725"/>
    <m/>
    <n v="173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10380622837E-2"/>
    <n v="15000000"/>
    <n v="8.6699999999999999E-2"/>
    <x v="2"/>
    <s v="Todo bien"/>
    <x v="0"/>
    <x v="1"/>
    <n v="753.63365207612298"/>
    <x v="1"/>
    <x v="2"/>
    <s v="Pequeña"/>
    <x v="1"/>
    <n v="1730.1038062283737"/>
  </r>
  <r>
    <s v="Chanderlok Society"/>
    <x v="17"/>
    <n v="7234"/>
    <m/>
    <x v="1"/>
    <x v="4"/>
    <s v=" DLF Phase 4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7.2340000000000002E-2"/>
    <x v="0"/>
    <s v="Todo bien"/>
    <x v="0"/>
    <x v="2"/>
    <m/>
    <x v="0"/>
    <x v="1"/>
    <s v="Pequeña"/>
    <x v="0"/>
    <n v="0"/>
  </r>
  <r>
    <s v="Jammu and Kashmir Bank Employees CGHS"/>
    <x v="17"/>
    <n v="6129"/>
    <m/>
    <x v="1"/>
    <x v="4"/>
    <s v=" Sector 9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1289999999999997E-2"/>
    <x v="0"/>
    <s v="Todo bien"/>
    <x v="0"/>
    <x v="2"/>
    <m/>
    <x v="0"/>
    <x v="1"/>
    <s v="Pequeña"/>
    <x v="0"/>
    <n v="0"/>
  </r>
  <r>
    <s v="ILD Greens"/>
    <x v="17"/>
    <n v="4723"/>
    <m/>
    <x v="1"/>
    <x v="4"/>
    <s v=" Sector 37C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7230000000000001E-2"/>
    <x v="0"/>
    <s v="Todo bien"/>
    <x v="0"/>
    <x v="2"/>
    <m/>
    <x v="0"/>
    <x v="1"/>
    <s v="Pequeña"/>
    <x v="0"/>
    <n v="0"/>
  </r>
  <r>
    <s v="SS The Leaf residency"/>
    <x v="17"/>
    <n v="4818"/>
    <m/>
    <x v="1"/>
    <x v="4"/>
    <s v=" Adarsh Nagar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180000000000001E-2"/>
    <x v="0"/>
    <s v="Todo bien"/>
    <x v="0"/>
    <x v="2"/>
    <m/>
    <x v="0"/>
    <x v="1"/>
    <s v="Pequeña"/>
    <x v="0"/>
    <n v="0"/>
  </r>
  <r>
    <s v="Uphar lakshya homes"/>
    <x v="17"/>
    <n v="4200"/>
    <m/>
    <x v="1"/>
    <x v="4"/>
    <s v=" Rajendra Park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2000000000000003E-2"/>
    <x v="0"/>
    <s v="Todo bien"/>
    <x v="0"/>
    <x v="2"/>
    <m/>
    <x v="0"/>
    <x v="1"/>
    <s v="Pequeña"/>
    <x v="0"/>
    <n v="0"/>
  </r>
  <r>
    <s v="Supertech Araville"/>
    <x v="17"/>
    <n v="9000"/>
    <m/>
    <x v="1"/>
    <x v="4"/>
    <s v=" Sector 7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09"/>
    <x v="0"/>
    <s v="Todo bien"/>
    <x v="0"/>
    <x v="2"/>
    <m/>
    <x v="0"/>
    <x v="1"/>
    <s v="Pequeña"/>
    <x v="0"/>
    <n v="0"/>
  </r>
  <r>
    <s v="Corona Optus"/>
    <x v="17"/>
    <n v="6361"/>
    <m/>
    <x v="1"/>
    <x v="4"/>
    <s v=" Sector 37C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361E-2"/>
    <x v="0"/>
    <s v="Todo bien"/>
    <x v="0"/>
    <x v="2"/>
    <m/>
    <x v="0"/>
    <x v="1"/>
    <s v="Pequeña"/>
    <x v="0"/>
    <n v="0"/>
  </r>
  <r>
    <s v="Umang Monsoon Breeze"/>
    <x v="17"/>
    <n v="6493"/>
    <m/>
    <x v="1"/>
    <x v="4"/>
    <s v=" Sector 78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4930000000000002E-2"/>
    <x v="0"/>
    <s v="Todo bien"/>
    <x v="0"/>
    <x v="2"/>
    <m/>
    <x v="0"/>
    <x v="1"/>
    <s v="Pequeña"/>
    <x v="0"/>
    <n v="0"/>
  </r>
  <r>
    <s v="Godrej Oasis"/>
    <x v="17"/>
    <n v="8108"/>
    <m/>
    <x v="1"/>
    <x v="4"/>
    <s v=" Sector 88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1079999999999999E-2"/>
    <x v="0"/>
    <s v="Todo bien"/>
    <x v="0"/>
    <x v="2"/>
    <m/>
    <x v="0"/>
    <x v="1"/>
    <s v="Pequeña"/>
    <x v="0"/>
    <n v="0"/>
  </r>
  <r>
    <s v="Godrej Aria , sector  , Gurgaon"/>
    <x v="17"/>
    <n v="11111"/>
    <m/>
    <x v="1"/>
    <x v="4"/>
    <s v=" Godrej Aria , sector 79 ,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1111"/>
    <x v="0"/>
    <s v="Todo bien"/>
    <x v="0"/>
    <x v="2"/>
    <m/>
    <x v="0"/>
    <x v="1"/>
    <s v="Pequeña"/>
    <x v="0"/>
    <n v="0"/>
  </r>
  <r>
    <s v="Chanderlok Society"/>
    <x v="15"/>
    <n v="7234"/>
    <n v="4"/>
    <x v="1"/>
    <x v="1"/>
    <s v=" DLF Phase 4"/>
    <n v="0"/>
    <n v="0"/>
    <n v="2"/>
    <n v="1"/>
    <n v="3"/>
    <x v="2"/>
    <n v="2"/>
    <n v="0"/>
    <n v="0"/>
    <n v="0"/>
    <n v="0"/>
    <n v="1244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12496544097E-2"/>
    <n v="9000000"/>
    <n v="7.2340000000000002E-2"/>
    <x v="1"/>
    <s v="Todo bien"/>
    <x v="0"/>
    <x v="2"/>
    <n v="541.94114709704036"/>
    <x v="1"/>
    <x v="2"/>
    <s v="Pequeña"/>
    <x v="0"/>
    <n v="1244.1249654409733"/>
  </r>
  <r>
    <s v="Jammu and Kashmir Bank Employees CGHS"/>
    <x v="13"/>
    <n v="6129"/>
    <n v="3"/>
    <x v="0"/>
    <x v="5"/>
    <s v=" Sector 9A Gurgaon"/>
    <n v="0"/>
    <n v="0"/>
    <n v="3"/>
    <n v="5"/>
    <n v="2"/>
    <x v="1"/>
    <n v="5"/>
    <n v="0"/>
    <n v="0"/>
    <n v="0"/>
    <n v="0"/>
    <n v="1550.0081579376733"/>
    <m/>
    <n v="1550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55000815793767E-2"/>
    <n v="9500000"/>
    <n v="6.1289999999999997E-2"/>
    <x v="1"/>
    <s v="Todo bien"/>
    <x v="0"/>
    <x v="0"/>
    <n v="675.18394249469588"/>
    <x v="1"/>
    <x v="2"/>
    <s v="Pequeña"/>
    <x v="1"/>
    <n v="1550.0081579376733"/>
  </r>
  <r>
    <s v="ILD Greens"/>
    <x v="50"/>
    <n v="4723"/>
    <n v="3"/>
    <x v="1"/>
    <x v="3"/>
    <s v=" Sector 37C Gurgaon"/>
    <n v="0"/>
    <n v="0"/>
    <n v="3"/>
    <n v="3"/>
    <n v="3"/>
    <x v="1"/>
    <n v="15"/>
    <n v="0"/>
    <n v="0"/>
    <n v="0"/>
    <n v="0"/>
    <n v="2117.2983273343211"/>
    <m/>
    <n v="18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72983273343202E-2"/>
    <n v="10000000"/>
    <n v="4.7230000000000001E-2"/>
    <x v="1"/>
    <s v="Todo bien"/>
    <x v="0"/>
    <x v="2"/>
    <n v="922.29568261698023"/>
    <x v="1"/>
    <x v="2"/>
    <s v="Pequeña"/>
    <x v="1"/>
    <n v="2117.2983273343211"/>
  </r>
  <r>
    <s v="SS The Leaf residency"/>
    <x v="286"/>
    <n v="4818"/>
    <n v="3"/>
    <x v="1"/>
    <x v="0"/>
    <s v=" Adarsh Nagar"/>
    <n v="0"/>
    <n v="0"/>
    <n v="3"/>
    <n v="2"/>
    <n v="2"/>
    <x v="1"/>
    <n v="4"/>
    <n v="0"/>
    <n v="0"/>
    <n v="0"/>
    <n v="0"/>
    <n v="1100.0415110004151"/>
    <m/>
    <n v="1100"/>
    <n v="0"/>
    <n v="0"/>
    <n v="0"/>
    <n v="1"/>
    <n v="0"/>
    <n v="0"/>
    <n v="0"/>
    <n v="0"/>
    <n v="0"/>
    <n v="0"/>
    <n v="1"/>
    <n v="0"/>
    <n v="1"/>
    <n v="0"/>
    <n v="0"/>
    <n v="0"/>
    <n v="0"/>
    <n v="14"/>
    <x v="0"/>
    <x v="0"/>
    <x v="0"/>
    <x v="0"/>
    <x v="0"/>
    <x v="0"/>
    <x v="0"/>
    <x v="0"/>
    <x v="0"/>
    <n v="0"/>
    <n v="2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000415110004101E-2"/>
    <n v="5300000"/>
    <n v="4.8180000000000001E-2"/>
    <x v="1"/>
    <s v="Todo bien"/>
    <x v="1"/>
    <x v="0"/>
    <n v="479.1783581921938"/>
    <x v="0"/>
    <x v="0"/>
    <s v="Pequeña"/>
    <x v="1"/>
    <n v="1100.0415110004151"/>
  </r>
  <r>
    <s v="Uphar lakshya homes"/>
    <x v="23"/>
    <n v="4200"/>
    <n v="3"/>
    <x v="4"/>
    <x v="0"/>
    <s v=" Rajendra Park"/>
    <n v="0"/>
    <n v="0"/>
    <n v="2"/>
    <n v="1"/>
    <n v="1"/>
    <x v="1"/>
    <n v="4"/>
    <n v="0"/>
    <n v="0"/>
    <n v="0"/>
    <n v="0"/>
    <n v="100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200000"/>
    <n v="4.2000000000000003E-2"/>
    <x v="0"/>
    <s v="Todo bien"/>
    <x v="0"/>
    <x v="2"/>
    <n v="435.60025090000005"/>
    <x v="0"/>
    <x v="0"/>
    <s v="Pequeña"/>
    <x v="0"/>
    <n v="999.99999999999989"/>
  </r>
  <r>
    <s v="Supertech Araville"/>
    <x v="12"/>
    <n v="9000"/>
    <n v="2"/>
    <x v="4"/>
    <x v="2"/>
    <s v=" Sector 79 Gurgaon"/>
    <n v="0"/>
    <n v="0"/>
    <n v="2"/>
    <n v="6"/>
    <n v="3"/>
    <x v="0"/>
    <n v="18"/>
    <n v="0"/>
    <n v="1"/>
    <n v="0"/>
    <n v="0"/>
    <n v="1200"/>
    <n v="1350"/>
    <n v="153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999999999999999E-2"/>
    <n v="13500000"/>
    <n v="0.09"/>
    <x v="2"/>
    <s v="Todo bien"/>
    <x v="1"/>
    <x v="4"/>
    <n v="653.40037634999999"/>
    <x v="1"/>
    <x v="0"/>
    <s v="Mediana"/>
    <x v="1"/>
    <n v="1500"/>
  </r>
  <r>
    <s v="Corona Optus"/>
    <x v="78"/>
    <n v="6361"/>
    <n v="3"/>
    <x v="2"/>
    <x v="2"/>
    <s v=" Sector 37C Gurgaon"/>
    <n v="0"/>
    <n v="0"/>
    <n v="4"/>
    <n v="14"/>
    <n v="3"/>
    <x v="1"/>
    <n v="14"/>
    <n v="1"/>
    <n v="0"/>
    <n v="0"/>
    <n v="0"/>
    <n v="2358.1197924854582"/>
    <m/>
    <n v="235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35811979248545E-2"/>
    <n v="15000000"/>
    <n v="6.361E-2"/>
    <x v="2"/>
    <s v="Todo bien"/>
    <x v="0"/>
    <x v="5"/>
    <n v="1027.1975732589181"/>
    <x v="1"/>
    <x v="2"/>
    <s v="Pequeña"/>
    <x v="2"/>
    <n v="2358.1197924854582"/>
  </r>
  <r>
    <s v="Umang Monsoon Breeze"/>
    <x v="56"/>
    <n v="6493"/>
    <n v="3"/>
    <x v="1"/>
    <x v="5"/>
    <s v=" Sector 78 Gurgaon"/>
    <n v="0"/>
    <n v="0"/>
    <n v="3"/>
    <n v="8"/>
    <n v="2"/>
    <x v="1"/>
    <n v="12"/>
    <n v="0"/>
    <n v="0"/>
    <n v="1"/>
    <n v="0"/>
    <n v="1848"/>
    <m/>
    <n v="225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1"/>
    <x v="0"/>
    <x v="1"/>
    <x v="1"/>
    <x v="0"/>
    <x v="1"/>
    <x v="1"/>
    <x v="1"/>
    <x v="0"/>
    <n v="0"/>
    <n v="0"/>
    <n v="0"/>
    <n v="3"/>
    <n v="1"/>
    <n v="1"/>
    <n v="1"/>
    <n v="1"/>
    <n v="1"/>
    <n v="0"/>
    <n v="0"/>
    <n v="1"/>
    <n v="0"/>
    <n v="0"/>
    <n v="1"/>
    <n v="3"/>
    <n v="1"/>
    <n v="1"/>
    <n v="0"/>
    <n v="0"/>
    <n v="0"/>
    <n v="0"/>
    <n v="0"/>
    <n v="1"/>
    <n v="1.8481441552441E-2"/>
    <n v="12000000"/>
    <n v="6.4930000000000002E-2"/>
    <x v="2"/>
    <s v="Todo bien"/>
    <x v="2"/>
    <x v="2"/>
    <n v="805.05205772369857"/>
    <x v="1"/>
    <x v="2"/>
    <s v="Pequeña"/>
    <x v="2"/>
    <n v="1848.144155244109"/>
  </r>
  <r>
    <s v="Godrej Oasis"/>
    <x v="78"/>
    <n v="8108"/>
    <n v="3"/>
    <x v="1"/>
    <x v="0"/>
    <s v=" Sector 88A Gurgaon"/>
    <n v="0"/>
    <n v="0"/>
    <n v="3"/>
    <n v="3"/>
    <n v="2"/>
    <x v="1"/>
    <n v="17"/>
    <n v="0"/>
    <n v="0"/>
    <n v="0"/>
    <n v="0"/>
    <n v="1850"/>
    <m/>
    <m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x v="2"/>
    <s v="Todo bien"/>
    <x v="0"/>
    <x v="1"/>
    <n v="805.87120911445493"/>
    <x v="1"/>
    <x v="2"/>
    <s v="Pequeña"/>
    <x v="0"/>
    <n v="1850.02466699556"/>
  </r>
  <r>
    <s v="Godrej Aria , sector  , Gurgaon"/>
    <x v="78"/>
    <n v="11111"/>
    <n v="2"/>
    <x v="2"/>
    <x v="2"/>
    <s v=" Godrej Aria , sector 79 , Gurgaon"/>
    <n v="0"/>
    <n v="0"/>
    <n v="2"/>
    <n v="7"/>
    <n v="3"/>
    <x v="0"/>
    <n v="13"/>
    <n v="0"/>
    <n v="0"/>
    <n v="0"/>
    <n v="0"/>
    <n v="13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2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13500135E-2"/>
    <n v="15000000"/>
    <n v="0.11111"/>
    <x v="2"/>
    <s v="Todo bien"/>
    <x v="1"/>
    <x v="1"/>
    <n v="588.06621937719319"/>
    <x v="1"/>
    <x v="2"/>
    <s v="Pequeña"/>
    <x v="0"/>
    <n v="1350.0135001350013"/>
  </r>
  <r>
    <s v="Raheja Sampada"/>
    <x v="15"/>
    <n v="6569"/>
    <n v="3"/>
    <x v="4"/>
    <x v="0"/>
    <s v=" Sector 92 Gurgaon"/>
    <n v="0"/>
    <n v="0"/>
    <n v="2"/>
    <n v="11"/>
    <n v="3"/>
    <x v="1"/>
    <n v="14"/>
    <n v="0"/>
    <n v="0"/>
    <n v="0"/>
    <n v="0"/>
    <n v="1370.0715481808495"/>
    <m/>
    <n v="137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0715481808399E-2"/>
    <n v="9000000"/>
    <n v="6.5689999999999998E-2"/>
    <x v="1"/>
    <s v="Todo bien"/>
    <x v="0"/>
    <x v="5"/>
    <n v="596.80351013852533"/>
    <x v="1"/>
    <x v="2"/>
    <s v="Pequeña"/>
    <x v="1"/>
    <n v="1370.0715481808495"/>
  </r>
  <r>
    <s v="Sare Green ParC Phase "/>
    <x v="85"/>
    <n v="5150"/>
    <n v="4"/>
    <x v="1"/>
    <x v="2"/>
    <s v=" Sector 92 Gurgaon"/>
    <n v="0"/>
    <n v="0"/>
    <n v="4"/>
    <n v="16"/>
    <n v="2"/>
    <x v="2"/>
    <n v="19"/>
    <n v="1"/>
    <n v="0"/>
    <n v="0"/>
    <n v="0"/>
    <n v="2097.0873786407769"/>
    <m/>
    <n v="20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708737864077E-2"/>
    <n v="10800000"/>
    <n v="5.1499999999999997E-2"/>
    <x v="2"/>
    <s v="Todo bien"/>
    <x v="0"/>
    <x v="5"/>
    <n v="913.49178829514278"/>
    <x v="1"/>
    <x v="2"/>
    <s v="Pequeña"/>
    <x v="2"/>
    <n v="2097.0873786407769"/>
  </r>
  <r>
    <s v="Raheja Navodaya"/>
    <x v="438"/>
    <n v="4807"/>
    <n v="2"/>
    <x v="1"/>
    <x v="2"/>
    <s v=" Sector 92 Gurgaon"/>
    <n v="0"/>
    <n v="0"/>
    <n v="2"/>
    <n v="5"/>
    <n v="2"/>
    <x v="0"/>
    <n v="15"/>
    <n v="0"/>
    <n v="0"/>
    <n v="0"/>
    <n v="0"/>
    <n v="1064"/>
    <n v="1498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8722696068E-2"/>
    <n v="6250000"/>
    <n v="4.8070000000000002E-2"/>
    <x v="1"/>
    <s v="Todo bien"/>
    <x v="0"/>
    <x v="2"/>
    <n v="566.36188228104743"/>
    <x v="1"/>
    <x v="0"/>
    <s v="Mediana"/>
    <x v="0"/>
    <n v="1300.1872269606822"/>
  </r>
  <r>
    <s v="Pareena Mi Casa"/>
    <x v="74"/>
    <n v="8500"/>
    <n v="4"/>
    <x v="1"/>
    <x v="2"/>
    <s v=" Sector 68 Gurgaon"/>
    <n v="0"/>
    <n v="0"/>
    <n v="4"/>
    <n v="23"/>
    <n v="3"/>
    <x v="2"/>
    <n v="36"/>
    <n v="0"/>
    <n v="0"/>
    <n v="0"/>
    <n v="0"/>
    <n v="1999.9999999999998"/>
    <m/>
    <n v="199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.02"/>
    <n v="17000000"/>
    <n v="8.5000000000000006E-2"/>
    <x v="3"/>
    <s v="Todo bien"/>
    <x v="0"/>
    <x v="4"/>
    <n v="871.2005018000001"/>
    <x v="1"/>
    <x v="2"/>
    <s v="Pequeña"/>
    <x v="1"/>
    <n v="1999.9999999999998"/>
  </r>
  <r>
    <s v="Palam Vihar Society"/>
    <x v="2"/>
    <n v="8602"/>
    <n v="1"/>
    <x v="5"/>
    <x v="5"/>
    <s v=" Palam Vihar"/>
    <n v="0"/>
    <n v="0"/>
    <n v="1"/>
    <n v="5"/>
    <n v="1"/>
    <x v="3"/>
    <n v="16"/>
    <n v="0"/>
    <n v="0"/>
    <n v="0"/>
    <n v="0"/>
    <n v="425"/>
    <n v="450"/>
    <n v="465"/>
    <n v="0"/>
    <n v="0"/>
    <n v="0"/>
    <n v="0"/>
    <n v="0"/>
    <n v="1"/>
    <n v="0"/>
    <n v="1"/>
    <n v="0"/>
    <n v="1"/>
    <n v="0"/>
    <n v="1"/>
    <n v="1"/>
    <n v="0"/>
    <n v="1"/>
    <n v="0"/>
    <n v="0"/>
    <n v="23"/>
    <x v="0"/>
    <x v="0"/>
    <x v="0"/>
    <x v="1"/>
    <x v="0"/>
    <x v="0"/>
    <x v="0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4.650081376424E-3"/>
    <n v="4000000"/>
    <n v="8.6019999999999999E-2"/>
    <x v="0"/>
    <s v="Todo bien"/>
    <x v="2"/>
    <x v="1"/>
    <n v="202.55766142757119"/>
    <x v="0"/>
    <x v="1"/>
    <s v="Pequeña"/>
    <x v="0"/>
    <n v="465.00813764240877"/>
  </r>
  <r>
    <s v="MM Woodshire"/>
    <x v="100"/>
    <n v="5929"/>
    <n v="3"/>
    <x v="4"/>
    <x v="2"/>
    <s v=" Sector 107 Gurgaon"/>
    <n v="0"/>
    <n v="0"/>
    <n v="4"/>
    <n v="1"/>
    <n v="0"/>
    <x v="1"/>
    <n v="14"/>
    <n v="0"/>
    <n v="0"/>
    <n v="0"/>
    <n v="0"/>
    <n v="2361.2750885478158"/>
    <m/>
    <n v="236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x v="2"/>
    <s v="Todo bien"/>
    <x v="0"/>
    <x v="3"/>
    <n v="1028.5720210153459"/>
    <x v="1"/>
    <x v="2"/>
    <s v="Pequeña"/>
    <x v="2"/>
    <n v="2361.2750885478158"/>
  </r>
  <r>
    <s v="Krishna appartment"/>
    <x v="290"/>
    <n v="3500"/>
    <n v="3"/>
    <x v="1"/>
    <x v="1"/>
    <s v=" Dharam Colony"/>
    <n v="0"/>
    <n v="0"/>
    <n v="3"/>
    <n v="2"/>
    <n v="1"/>
    <x v="1"/>
    <n v="5"/>
    <n v="0"/>
    <n v="0"/>
    <n v="0"/>
    <n v="0"/>
    <n v="999.99999999999989"/>
    <m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3500000"/>
    <n v="3.5000000000000003E-2"/>
    <x v="0"/>
    <s v="Todo bien"/>
    <x v="0"/>
    <x v="2"/>
    <n v="435.60025090000005"/>
    <x v="0"/>
    <x v="0"/>
    <s v="Pequeña"/>
    <x v="0"/>
    <n v="999.99999999999989"/>
  </r>
  <r>
    <s v="Spire Woods Now Ananda by Alpha corp"/>
    <x v="43"/>
    <n v="6902"/>
    <n v="3"/>
    <x v="1"/>
    <x v="3"/>
    <s v=" Sector 103 Gurgaon"/>
    <n v="0"/>
    <n v="0"/>
    <n v="4"/>
    <n v="11"/>
    <n v="3"/>
    <x v="1"/>
    <n v="13"/>
    <n v="1"/>
    <n v="1"/>
    <n v="0"/>
    <n v="0"/>
    <n v="1811"/>
    <m/>
    <m/>
    <n v="1"/>
    <n v="0"/>
    <n v="1"/>
    <n v="1"/>
    <n v="0"/>
    <n v="1"/>
    <n v="1"/>
    <n v="1"/>
    <n v="1"/>
    <n v="0"/>
    <n v="1"/>
    <n v="1"/>
    <n v="1"/>
    <n v="1"/>
    <n v="1"/>
    <n v="1"/>
    <n v="1"/>
    <n v="49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0692552883199E-2"/>
    <n v="12500000"/>
    <n v="6.9019999999999998E-2"/>
    <x v="2"/>
    <s v="Todo bien"/>
    <x v="0"/>
    <x v="4"/>
    <n v="788.90222200086839"/>
    <x v="1"/>
    <x v="2"/>
    <s v="Pequeña"/>
    <x v="0"/>
    <n v="1811.0692552883222"/>
  </r>
  <r>
    <s v="DLF Regency Park "/>
    <x v="12"/>
    <n v="11992"/>
    <n v="2"/>
    <x v="1"/>
    <x v="5"/>
    <s v=" DLF Phase 4"/>
    <n v="0"/>
    <n v="0"/>
    <n v="2"/>
    <n v="1"/>
    <n v="2"/>
    <x v="0"/>
    <n v="26"/>
    <n v="0"/>
    <n v="0"/>
    <n v="0"/>
    <n v="0"/>
    <n v="1125.7505003335557"/>
    <n v="110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75050033355E-2"/>
    <n v="13500000"/>
    <n v="0.11992"/>
    <x v="2"/>
    <s v="Todo bien"/>
    <x v="0"/>
    <x v="2"/>
    <n v="490.37720039609491"/>
    <x v="0"/>
    <x v="0"/>
    <s v="Mediana"/>
    <x v="0"/>
    <n v="1125.7505003335557"/>
  </r>
  <r>
    <s v="Ansal Heights "/>
    <x v="16"/>
    <n v="5541"/>
    <n v="3"/>
    <x v="2"/>
    <x v="3"/>
    <s v=" Sector 86 Gurgaon"/>
    <n v="0"/>
    <n v="0"/>
    <n v="3"/>
    <n v="9"/>
    <n v="3"/>
    <x v="1"/>
    <n v="13"/>
    <n v="1"/>
    <n v="0"/>
    <n v="0"/>
    <n v="0"/>
    <n v="1894.9648077964266"/>
    <m/>
    <n v="1895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49648077964201E-2"/>
    <n v="10500000"/>
    <n v="5.5410000000000001E-2"/>
    <x v="2"/>
    <s v="Todo bien"/>
    <x v="0"/>
    <x v="2"/>
    <n v="825.44714572279088"/>
    <x v="1"/>
    <x v="2"/>
    <s v="Pequeña"/>
    <x v="1"/>
    <n v="1894.9648077964266"/>
  </r>
  <r>
    <s v="Parsvnath Green Ville"/>
    <x v="178"/>
    <n v="9984"/>
    <n v="5"/>
    <x v="1"/>
    <x v="1"/>
    <s v=" Sector 48 Gurgaon"/>
    <n v="0"/>
    <n v="0"/>
    <n v="5"/>
    <n v="4"/>
    <n v="3"/>
    <x v="4"/>
    <n v="5"/>
    <n v="1"/>
    <n v="0"/>
    <n v="0"/>
    <n v="0"/>
    <n v="3305.2884615384614"/>
    <n v="3305"/>
    <n v="3905"/>
    <n v="0"/>
    <n v="0"/>
    <n v="1"/>
    <n v="0"/>
    <n v="0"/>
    <n v="0"/>
    <n v="1"/>
    <n v="1"/>
    <n v="1"/>
    <n v="0"/>
    <n v="1"/>
    <n v="1"/>
    <n v="1"/>
    <n v="0"/>
    <n v="1"/>
    <n v="1"/>
    <n v="0"/>
    <n v="3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052884615384602E-2"/>
    <n v="33000000"/>
    <n v="9.9839999999999998E-2"/>
    <x v="5"/>
    <s v="Todo bien"/>
    <x v="0"/>
    <x v="3"/>
    <n v="1439.7844831430284"/>
    <x v="1"/>
    <x v="3"/>
    <s v="Muy grande"/>
    <x v="3"/>
    <n v="3305.2884615384614"/>
  </r>
  <r>
    <s v="Raheja Vedaanta"/>
    <x v="13"/>
    <n v="5214"/>
    <n v="3"/>
    <x v="1"/>
    <x v="0"/>
    <s v=" Sector 108 Gurgaon"/>
    <n v="0"/>
    <n v="0"/>
    <n v="3"/>
    <n v="3"/>
    <n v="3"/>
    <x v="1"/>
    <n v="22"/>
    <n v="0"/>
    <n v="0"/>
    <n v="0"/>
    <n v="0"/>
    <n v="1822.0176448024549"/>
    <m/>
    <n v="182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176448024501E-2"/>
    <n v="9500000"/>
    <n v="5.2139999999999999E-2"/>
    <x v="1"/>
    <s v="Todo bien"/>
    <x v="0"/>
    <x v="4"/>
    <n v="793.67134322017432"/>
    <x v="1"/>
    <x v="2"/>
    <s v="Pequeña"/>
    <x v="1"/>
    <n v="1822.0176448024549"/>
  </r>
  <r>
    <s v="Ambience Lagoon"/>
    <x v="329"/>
    <n v="12500"/>
    <n v="3"/>
    <x v="2"/>
    <x v="1"/>
    <s v=" DLF Phase 3"/>
    <n v="0"/>
    <n v="0"/>
    <n v="4"/>
    <n v="9"/>
    <n v="3"/>
    <x v="1"/>
    <n v="9"/>
    <n v="1"/>
    <n v="1"/>
    <n v="1"/>
    <n v="0"/>
    <n v="4640"/>
    <n v="3700"/>
    <m/>
    <n v="1"/>
    <n v="0"/>
    <n v="0"/>
    <n v="1"/>
    <n v="0"/>
    <n v="0"/>
    <n v="0"/>
    <n v="1"/>
    <n v="0"/>
    <n v="1"/>
    <n v="1"/>
    <n v="1"/>
    <n v="1"/>
    <n v="0"/>
    <n v="1"/>
    <n v="0"/>
    <n v="1"/>
    <n v="28"/>
    <x v="0"/>
    <x v="0"/>
    <x v="0"/>
    <x v="0"/>
    <x v="0"/>
    <x v="1"/>
    <x v="1"/>
    <x v="1"/>
    <x v="0"/>
    <n v="1"/>
    <n v="7"/>
    <n v="1"/>
    <n v="4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4.6399999999999997E-2"/>
    <n v="58000000"/>
    <n v="0.125"/>
    <x v="4"/>
    <s v="Todo bien"/>
    <x v="2"/>
    <x v="1"/>
    <n v="2021.1851641759999"/>
    <x v="3"/>
    <x v="3"/>
    <s v="Muy grande"/>
    <x v="0"/>
    <n v="4640"/>
  </r>
  <r>
    <s v="DLF The Crest"/>
    <x v="243"/>
    <n v="35222"/>
    <n v="4"/>
    <x v="1"/>
    <x v="0"/>
    <s v=" Sector 54 Gurgaon"/>
    <n v="0"/>
    <n v="0"/>
    <n v="6"/>
    <n v="7"/>
    <n v="3"/>
    <x v="2"/>
    <n v="36"/>
    <n v="1"/>
    <n v="0"/>
    <n v="0"/>
    <n v="0"/>
    <n v="3123.0480949406624"/>
    <m/>
    <n v="3123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0"/>
    <x v="1"/>
    <x v="1"/>
    <x v="1"/>
    <x v="1"/>
    <x v="0"/>
    <x v="0"/>
    <x v="1"/>
    <x v="1"/>
    <n v="1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3.12304809494066E-2"/>
    <n v="110000000"/>
    <n v="0.35221999999999998"/>
    <x v="6"/>
    <s v="Todo bien"/>
    <x v="2"/>
    <x v="5"/>
    <n v="1360.4005337289186"/>
    <x v="1"/>
    <x v="3"/>
    <s v="Pequeña"/>
    <x v="3"/>
    <n v="3123.0480949406624"/>
  </r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Apna Enclave"/>
    <x v="1"/>
    <n v="7692"/>
    <n v="2"/>
    <x v="4"/>
    <x v="1"/>
    <s v=" Ashok Vihar"/>
    <n v="0"/>
    <n v="0"/>
    <n v="2"/>
    <n v="1"/>
    <n v="1"/>
    <x v="0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x v="1"/>
    <s v="Todo bien"/>
    <x v="1"/>
    <x v="0"/>
    <n v="283.15148914456512"/>
    <x v="0"/>
    <x v="0"/>
    <s v="Pequeña"/>
    <x v="0"/>
    <n v="650.026001040041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581FF4-E818-451D-8869-0BFFF698E43A}" name="Estado de la propieda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32:C38" firstHeaderRow="1" firstDataRow="1" firstDataCol="1"/>
  <pivotFields count="85">
    <pivotField showAll="0"/>
    <pivotField dataField="1" showAll="0"/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1"/>
        <item x="0"/>
        <item t="default"/>
      </items>
    </pivotField>
    <pivotField axis="axisRow" showAll="0">
      <items count="7">
        <item x="5"/>
        <item x="2"/>
        <item x="1"/>
        <item x="0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Promedio de price (lakhs)" fld="1" subtotal="average" baseField="5" baseItem="0" numFmtId="1"/>
  </dataFields>
  <formats count="1">
    <format dxfId="0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09751B-003D-4685-957F-FA1CB8B546A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B112:C119" firstHeaderRow="1" firstDataRow="1" firstDataCol="1"/>
  <pivotFields count="85">
    <pivotField showAll="0"/>
    <pivotField showAll="0">
      <items count="440">
        <item x="383"/>
        <item x="326"/>
        <item x="392"/>
        <item x="328"/>
        <item x="330"/>
        <item x="240"/>
        <item x="88"/>
        <item x="44"/>
        <item x="304"/>
        <item x="72"/>
        <item x="325"/>
        <item x="36"/>
        <item x="413"/>
        <item x="79"/>
        <item x="317"/>
        <item x="435"/>
        <item x="434"/>
        <item x="96"/>
        <item x="254"/>
        <item x="303"/>
        <item x="221"/>
        <item x="63"/>
        <item x="67"/>
        <item x="11"/>
        <item x="93"/>
        <item x="419"/>
        <item x="31"/>
        <item x="45"/>
        <item x="302"/>
        <item x="73"/>
        <item x="54"/>
        <item x="75"/>
        <item x="397"/>
        <item x="327"/>
        <item x="77"/>
        <item x="290"/>
        <item x="305"/>
        <item x="89"/>
        <item x="319"/>
        <item x="316"/>
        <item x="429"/>
        <item x="414"/>
        <item x="94"/>
        <item x="95"/>
        <item x="407"/>
        <item x="2"/>
        <item x="396"/>
        <item x="5"/>
        <item x="273"/>
        <item x="23"/>
        <item x="338"/>
        <item x="66"/>
        <item x="373"/>
        <item x="0"/>
        <item x="60"/>
        <item x="401"/>
        <item x="332"/>
        <item x="314"/>
        <item x="214"/>
        <item x="382"/>
        <item x="1"/>
        <item x="306"/>
        <item x="248"/>
        <item x="343"/>
        <item x="124"/>
        <item x="286"/>
        <item x="341"/>
        <item x="345"/>
        <item x="112"/>
        <item x="410"/>
        <item x="191"/>
        <item x="52"/>
        <item x="271"/>
        <item x="266"/>
        <item x="57"/>
        <item x="206"/>
        <item x="389"/>
        <item x="399"/>
        <item x="99"/>
        <item x="91"/>
        <item x="403"/>
        <item x="216"/>
        <item x="438"/>
        <item x="370"/>
        <item x="62"/>
        <item x="428"/>
        <item x="279"/>
        <item x="53"/>
        <item x="340"/>
        <item x="123"/>
        <item x="230"/>
        <item x="346"/>
        <item x="331"/>
        <item x="297"/>
        <item x="433"/>
        <item x="174"/>
        <item x="4"/>
        <item x="393"/>
        <item x="109"/>
        <item x="301"/>
        <item x="120"/>
        <item x="108"/>
        <item x="344"/>
        <item x="313"/>
        <item x="436"/>
        <item x="33"/>
        <item x="29"/>
        <item x="295"/>
        <item x="32"/>
        <item x="47"/>
        <item x="298"/>
        <item x="42"/>
        <item x="292"/>
        <item x="315"/>
        <item x="30"/>
        <item x="402"/>
        <item x="41"/>
        <item x="299"/>
        <item x="28"/>
        <item x="296"/>
        <item x="377"/>
        <item x="21"/>
        <item x="385"/>
        <item x="379"/>
        <item x="147"/>
        <item x="121"/>
        <item x="378"/>
        <item x="83"/>
        <item x="387"/>
        <item x="213"/>
        <item x="309"/>
        <item x="246"/>
        <item x="437"/>
        <item x="15"/>
        <item x="342"/>
        <item x="122"/>
        <item x="119"/>
        <item x="55"/>
        <item x="294"/>
        <item x="394"/>
        <item x="291"/>
        <item x="420"/>
        <item x="386"/>
        <item x="13"/>
        <item x="390"/>
        <item x="256"/>
        <item x="10"/>
        <item x="391"/>
        <item x="115"/>
        <item x="415"/>
        <item x="366"/>
        <item x="187"/>
        <item x="268"/>
        <item x="205"/>
        <item x="432"/>
        <item x="48"/>
        <item x="249"/>
        <item x="50"/>
        <item x="19"/>
        <item x="257"/>
        <item x="211"/>
        <item x="16"/>
        <item x="318"/>
        <item x="146"/>
        <item x="85"/>
        <item x="195"/>
        <item x="8"/>
        <item x="272"/>
        <item x="210"/>
        <item x="281"/>
        <item x="253"/>
        <item x="81"/>
        <item x="201"/>
        <item x="228"/>
        <item x="148"/>
        <item x="190"/>
        <item x="56"/>
        <item x="255"/>
        <item x="282"/>
        <item x="336"/>
        <item x="224"/>
        <item x="43"/>
        <item x="192"/>
        <item x="143"/>
        <item x="154"/>
        <item x="70"/>
        <item x="35"/>
        <item x="233"/>
        <item x="98"/>
        <item x="207"/>
        <item x="280"/>
        <item x="12"/>
        <item x="144"/>
        <item x="226"/>
        <item x="65"/>
        <item x="274"/>
        <item x="100"/>
        <item x="110"/>
        <item x="113"/>
        <item x="260"/>
        <item x="276"/>
        <item x="59"/>
        <item x="369"/>
        <item x="3"/>
        <item x="130"/>
        <item x="131"/>
        <item x="78"/>
        <item x="179"/>
        <item x="203"/>
        <item x="400"/>
        <item x="150"/>
        <item x="46"/>
        <item x="163"/>
        <item x="275"/>
        <item x="234"/>
        <item x="244"/>
        <item x="26"/>
        <item x="335"/>
        <item x="337"/>
        <item x="182"/>
        <item x="71"/>
        <item x="300"/>
        <item x="136"/>
        <item x="235"/>
        <item x="267"/>
        <item x="74"/>
        <item x="125"/>
        <item x="252"/>
        <item x="217"/>
        <item x="353"/>
        <item x="68"/>
        <item x="184"/>
        <item x="197"/>
        <item x="186"/>
        <item x="87"/>
        <item x="7"/>
        <item x="258"/>
        <item x="38"/>
        <item x="359"/>
        <item x="20"/>
        <item x="376"/>
        <item x="196"/>
        <item x="284"/>
        <item x="49"/>
        <item x="264"/>
        <item x="308"/>
        <item x="128"/>
        <item x="82"/>
        <item x="406"/>
        <item x="138"/>
        <item x="37"/>
        <item x="6"/>
        <item x="160"/>
        <item x="423"/>
        <item x="209"/>
        <item x="231"/>
        <item x="111"/>
        <item x="371"/>
        <item x="372"/>
        <item x="165"/>
        <item x="263"/>
        <item x="69"/>
        <item x="320"/>
        <item x="134"/>
        <item x="354"/>
        <item x="265"/>
        <item x="86"/>
        <item x="355"/>
        <item x="18"/>
        <item x="245"/>
        <item x="229"/>
        <item x="334"/>
        <item x="232"/>
        <item x="39"/>
        <item x="164"/>
        <item x="204"/>
        <item x="114"/>
        <item x="133"/>
        <item x="375"/>
        <item x="105"/>
        <item x="170"/>
        <item x="168"/>
        <item x="269"/>
        <item x="137"/>
        <item x="365"/>
        <item x="92"/>
        <item x="422"/>
        <item x="425"/>
        <item x="158"/>
        <item x="247"/>
        <item x="368"/>
        <item x="51"/>
        <item x="155"/>
        <item x="349"/>
        <item x="412"/>
        <item x="161"/>
        <item x="171"/>
        <item x="259"/>
        <item x="153"/>
        <item x="339"/>
        <item x="348"/>
        <item x="270"/>
        <item x="367"/>
        <item x="97"/>
        <item x="411"/>
        <item x="58"/>
        <item x="241"/>
        <item x="76"/>
        <item x="333"/>
        <item x="222"/>
        <item x="106"/>
        <item x="40"/>
        <item x="188"/>
        <item x="22"/>
        <item x="384"/>
        <item x="167"/>
        <item x="90"/>
        <item x="80"/>
        <item x="364"/>
        <item x="193"/>
        <item x="398"/>
        <item x="289"/>
        <item x="225"/>
        <item x="166"/>
        <item x="101"/>
        <item x="200"/>
        <item x="293"/>
        <item x="250"/>
        <item x="212"/>
        <item x="34"/>
        <item x="189"/>
        <item x="416"/>
        <item x="27"/>
        <item x="104"/>
        <item x="178"/>
        <item x="194"/>
        <item x="84"/>
        <item x="149"/>
        <item x="107"/>
        <item x="129"/>
        <item x="261"/>
        <item x="132"/>
        <item x="151"/>
        <item x="202"/>
        <item x="185"/>
        <item x="157"/>
        <item x="141"/>
        <item x="102"/>
        <item x="139"/>
        <item x="388"/>
        <item x="162"/>
        <item x="431"/>
        <item x="172"/>
        <item x="208"/>
        <item x="251"/>
        <item x="103"/>
        <item x="64"/>
        <item x="135"/>
        <item x="14"/>
        <item x="409"/>
        <item x="427"/>
        <item x="127"/>
        <item x="408"/>
        <item x="118"/>
        <item x="357"/>
        <item x="374"/>
        <item x="356"/>
        <item x="117"/>
        <item x="421"/>
        <item x="285"/>
        <item x="219"/>
        <item x="218"/>
        <item x="347"/>
        <item x="61"/>
        <item x="358"/>
        <item x="236"/>
        <item x="180"/>
        <item x="220"/>
        <item x="140"/>
        <item x="215"/>
        <item x="9"/>
        <item x="237"/>
        <item x="283"/>
        <item x="152"/>
        <item x="287"/>
        <item x="350"/>
        <item x="307"/>
        <item x="198"/>
        <item x="227"/>
        <item x="351"/>
        <item x="173"/>
        <item x="223"/>
        <item x="239"/>
        <item x="199"/>
        <item x="262"/>
        <item x="175"/>
        <item x="145"/>
        <item x="142"/>
        <item x="126"/>
        <item x="322"/>
        <item x="329"/>
        <item x="159"/>
        <item x="169"/>
        <item x="418"/>
        <item x="321"/>
        <item x="24"/>
        <item x="238"/>
        <item x="324"/>
        <item x="25"/>
        <item x="176"/>
        <item x="277"/>
        <item x="156"/>
        <item x="183"/>
        <item x="288"/>
        <item x="181"/>
        <item x="430"/>
        <item x="242"/>
        <item x="395"/>
        <item x="278"/>
        <item x="405"/>
        <item x="417"/>
        <item x="362"/>
        <item x="116"/>
        <item x="312"/>
        <item x="360"/>
        <item x="361"/>
        <item x="426"/>
        <item x="311"/>
        <item x="381"/>
        <item x="352"/>
        <item x="380"/>
        <item x="323"/>
        <item x="310"/>
        <item x="243"/>
        <item x="177"/>
        <item x="363"/>
        <item x="424"/>
        <item x="404"/>
        <item x="17"/>
        <item t="default"/>
      </items>
    </pivotField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axis="axisRow" showAll="0">
      <items count="7">
        <item x="2"/>
        <item x="1"/>
        <item x="0"/>
        <item x="3"/>
        <item x="4"/>
        <item x="5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</pivotFields>
  <rowFields count="1">
    <field x="7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luxury_score" fld="38" subtotal="count" baseField="78" baseItem="0"/>
  </dataFields>
  <formats count="1">
    <format dxfId="1">
      <pivotArea outline="0" collapsedLevelsAreSubtotals="1" fieldPosition="0"/>
    </format>
  </formats>
  <chartFormats count="2">
    <chartFormat chart="1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8486B9-E7E8-41C8-A28F-F1658CD6D11C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B96:C101" firstHeaderRow="1" firstDataRow="1" firstDataCol="1"/>
  <pivotFields count="85">
    <pivotField showAll="0"/>
    <pivotField showAll="0"/>
    <pivotField dataField="1"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>
      <items count="6">
        <item x="2"/>
        <item x="0"/>
        <item x="3"/>
        <item x="1"/>
        <item x="4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</pivotFields>
  <rowFields count="1">
    <field x="8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price_per_sqft (rupias)" fld="2" subtotal="average" baseField="83" baseItem="0" numFmtId="164"/>
  </dataFields>
  <formats count="1">
    <format dxfId="2">
      <pivotArea outline="0" collapsedLevelsAreSubtotals="1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021D43-8745-48A1-8795-73E756BF3A5D}" name="Orientación de la propieda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50:C60" firstHeaderRow="1" firstDataRow="1" firstDataCol="1"/>
  <pivotFields count="85">
    <pivotField showAll="0"/>
    <pivotField dataField="1" showAll="0"/>
    <pivotField showAll="0"/>
    <pivotField showAll="0"/>
    <pivotField axis="axisRow"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Promedio de price (lakhs)" fld="1" subtotal="average" baseField="5" baseItem="0"/>
  </dataFields>
  <formats count="1">
    <format dxfId="3">
      <pivotArea collapsedLevelsAreSubtotals="1" fieldPosition="0">
        <references count="1">
          <reference field="4" count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angos_de_precios" xr10:uid="{5F9B85B9-B04C-48D5-B3EE-190E3D87FD0C}" sourceName="Rangos de precios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7">
        <i x="5" s="1"/>
        <i x="0" s="1"/>
        <i x="4" s="1"/>
        <i x="2" s="1"/>
        <i x="3" s="1"/>
        <i x="1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BHK" xr10:uid="{A2964E42-2EED-49CA-9A2D-CD51F1369A8E}" sourceName="BHK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6">
        <i x="3" s="1"/>
        <i x="0" s="1"/>
        <i x="1" s="1"/>
        <i x="2" s="1"/>
        <i x="4" s="1"/>
        <i x="5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urnishing_type_descripction" xr10:uid="{C1314E96-AE4F-4910-81A1-CFE8E60877FF}" sourceName="Furnishing type descripction">
  <pivotTables>
    <pivotTable tabId="1" name="TablaDinámica3"/>
  </pivotTables>
  <data>
    <tabular pivotCacheId="1182411787">
      <items count="3"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angos de precios" xr10:uid="{B3B86732-3736-4220-977B-FAAB5164AE56}" cache="SegmentaciónDeDatos_Rangos_de_precios" caption="Rangos de precios" style="SlicerStyleLight6" rowHeight="249238"/>
  <slicer name="BHK" xr10:uid="{6B528E83-5903-4C93-9D7B-A8764A428666}" cache="SegmentaciónDeDatos_BHK" caption="BHK" style="SlicerStyleLight6" rowHeight="249238"/>
  <slicer name="Furnishing type descripction" xr10:uid="{9A83D667-E8E3-417E-9CC5-B223A183ACEC}" cache="SegmentaciónDeDatos_Furnishing_type_descripction" caption="Furnishing type descripction" style="SlicerStyleLight6" rowHeight="249238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1664C-E6FC-4019-81C2-B7B182ADC676}">
  <sheetPr>
    <tabColor theme="9" tint="0.79998168889431442"/>
  </sheetPr>
  <dimension ref="F6:U21"/>
  <sheetViews>
    <sheetView showGridLines="0" tabSelected="1" zoomScale="55" zoomScaleNormal="55" workbookViewId="0">
      <selection activeCell="W19" sqref="W19"/>
    </sheetView>
  </sheetViews>
  <sheetFormatPr baseColWidth="10" defaultRowHeight="15.75" x14ac:dyDescent="0.5"/>
  <cols>
    <col min="1" max="1" width="10.6640625" style="1"/>
    <col min="2" max="2" width="4.265625" style="1" customWidth="1"/>
    <col min="3" max="14" width="10.6640625" style="1"/>
    <col min="15" max="15" width="15.1328125" style="1" bestFit="1" customWidth="1"/>
    <col min="16" max="16" width="9.9296875" style="1" bestFit="1" customWidth="1"/>
    <col min="17" max="17" width="9.796875" style="1" bestFit="1" customWidth="1"/>
    <col min="18" max="18" width="11.9296875" style="1" bestFit="1" customWidth="1"/>
    <col min="19" max="22" width="10.6640625" style="1"/>
    <col min="23" max="23" width="25.19921875" style="1" bestFit="1" customWidth="1"/>
    <col min="24" max="24" width="24.59765625" style="1" bestFit="1" customWidth="1"/>
    <col min="25" max="16384" width="10.6640625" style="1"/>
  </cols>
  <sheetData>
    <row r="6" spans="6:21" x14ac:dyDescent="0.5">
      <c r="F6" s="35" t="e">
        <f>GETPIVOTDATA("Attrition",[1]Análisis!$B$7,"Attrition","no")</f>
        <v>#REF!</v>
      </c>
      <c r="G6" s="35"/>
      <c r="I6" s="36">
        <f>[1]Análisis!C19</f>
        <v>36.934782608695649</v>
      </c>
      <c r="J6" s="36"/>
      <c r="L6" s="37">
        <f>[1]Análisis!G8</f>
        <v>0</v>
      </c>
      <c r="M6" s="38"/>
      <c r="O6" s="37">
        <f>[1]Análisis!H10</f>
        <v>0</v>
      </c>
      <c r="P6" s="38"/>
    </row>
    <row r="7" spans="6:21" x14ac:dyDescent="0.5">
      <c r="F7" s="35"/>
      <c r="G7" s="35"/>
      <c r="I7" s="36"/>
      <c r="J7" s="36"/>
      <c r="L7" s="38"/>
      <c r="M7" s="38"/>
      <c r="O7" s="38"/>
      <c r="P7" s="38"/>
    </row>
    <row r="10" spans="6:21" x14ac:dyDescent="0.5">
      <c r="O10"/>
      <c r="P10"/>
      <c r="Q10"/>
      <c r="R10"/>
    </row>
    <row r="11" spans="6:21" x14ac:dyDescent="0.5">
      <c r="O11"/>
      <c r="P11"/>
      <c r="Q11"/>
      <c r="R11"/>
    </row>
    <row r="12" spans="6:21" x14ac:dyDescent="0.5">
      <c r="O12"/>
      <c r="P12"/>
      <c r="Q12"/>
      <c r="R12"/>
    </row>
    <row r="13" spans="6:21" x14ac:dyDescent="0.5">
      <c r="O13"/>
      <c r="P13"/>
      <c r="Q13"/>
      <c r="R13"/>
    </row>
    <row r="14" spans="6:21" x14ac:dyDescent="0.5">
      <c r="O14"/>
      <c r="P14"/>
      <c r="Q14"/>
      <c r="R14"/>
      <c r="T14" s="2"/>
    </row>
    <row r="15" spans="6:21" x14ac:dyDescent="0.5">
      <c r="O15"/>
      <c r="P15"/>
      <c r="Q15"/>
      <c r="R15"/>
      <c r="T15" s="2"/>
      <c r="U15"/>
    </row>
    <row r="16" spans="6:21" x14ac:dyDescent="0.5">
      <c r="O16"/>
      <c r="P16"/>
      <c r="Q16"/>
      <c r="R16"/>
      <c r="U16"/>
    </row>
    <row r="17" spans="21:21" x14ac:dyDescent="0.5">
      <c r="U17"/>
    </row>
    <row r="18" spans="21:21" x14ac:dyDescent="0.5">
      <c r="U18"/>
    </row>
    <row r="19" spans="21:21" x14ac:dyDescent="0.5">
      <c r="U19" t="s">
        <v>0</v>
      </c>
    </row>
    <row r="20" spans="21:21" x14ac:dyDescent="0.5">
      <c r="U20"/>
    </row>
    <row r="21" spans="21:21" x14ac:dyDescent="0.5">
      <c r="U21"/>
    </row>
  </sheetData>
  <mergeCells count="4">
    <mergeCell ref="F6:G7"/>
    <mergeCell ref="I6:J7"/>
    <mergeCell ref="L6:M7"/>
    <mergeCell ref="O6:P7"/>
  </mergeCell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C28F6-2A3C-4764-A169-F13D0706F903}">
  <sheetPr>
    <tabColor theme="9" tint="0.79998168889431442"/>
  </sheetPr>
  <dimension ref="B2:R119"/>
  <sheetViews>
    <sheetView showGridLines="0" topLeftCell="A21" zoomScale="85" zoomScaleNormal="85" workbookViewId="0">
      <selection activeCell="C93" sqref="C93"/>
    </sheetView>
  </sheetViews>
  <sheetFormatPr baseColWidth="10" defaultRowHeight="14.25" x14ac:dyDescent="0.45"/>
  <cols>
    <col min="2" max="2" width="16.46484375" bestFit="1" customWidth="1"/>
    <col min="3" max="3" width="19.796875" bestFit="1" customWidth="1"/>
    <col min="4" max="6" width="15" bestFit="1" customWidth="1"/>
  </cols>
  <sheetData>
    <row r="2" spans="2:18" ht="18.399999999999999" thickBot="1" x14ac:dyDescent="0.6">
      <c r="B2" s="3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2:18" ht="14.65" thickBot="1" x14ac:dyDescent="0.5"/>
    <row r="4" spans="2:18" x14ac:dyDescent="0.45">
      <c r="B4" s="5" t="s">
        <v>1</v>
      </c>
      <c r="C4" s="12">
        <f>[2]Estadísticos!$C$45</f>
        <v>170.93796096200768</v>
      </c>
    </row>
    <row r="5" spans="2:18" x14ac:dyDescent="0.45">
      <c r="B5" s="6" t="s">
        <v>10</v>
      </c>
      <c r="C5" s="15">
        <f>[2]Estadísticos!$C$239</f>
        <v>2543.8067105985751</v>
      </c>
    </row>
    <row r="6" spans="2:18" x14ac:dyDescent="0.45">
      <c r="B6" s="6" t="s">
        <v>3</v>
      </c>
      <c r="C6" s="19">
        <v>3016</v>
      </c>
    </row>
    <row r="7" spans="2:18" ht="14.65" thickBot="1" x14ac:dyDescent="0.5">
      <c r="B7" s="7" t="s">
        <v>2</v>
      </c>
      <c r="C7" s="16">
        <f>[2]Estadísticos!$C$79</f>
        <v>9386.1692103516925</v>
      </c>
    </row>
    <row r="10" spans="2:18" x14ac:dyDescent="0.45">
      <c r="B10" s="8" t="s">
        <v>5</v>
      </c>
      <c r="F10" s="8" t="s">
        <v>12</v>
      </c>
    </row>
    <row r="12" spans="2:18" x14ac:dyDescent="0.45">
      <c r="B12" s="9" t="s">
        <v>6</v>
      </c>
      <c r="C12" s="9"/>
      <c r="F12" t="s">
        <v>13</v>
      </c>
    </row>
    <row r="13" spans="2:18" ht="14.65" thickBot="1" x14ac:dyDescent="0.5">
      <c r="B13" s="9" t="s">
        <v>11</v>
      </c>
      <c r="C13" s="9"/>
    </row>
    <row r="14" spans="2:18" ht="14.65" thickBot="1" x14ac:dyDescent="0.5">
      <c r="B14" s="9"/>
      <c r="C14" s="9"/>
      <c r="F14" s="17" t="s">
        <v>14</v>
      </c>
      <c r="G14" s="18">
        <f>C5*0.092903</f>
        <v>236.32727483473943</v>
      </c>
    </row>
    <row r="15" spans="2:18" x14ac:dyDescent="0.45">
      <c r="B15" s="10" t="s">
        <v>7</v>
      </c>
      <c r="C15" s="13">
        <f>C4*100000</f>
        <v>17093796.096200768</v>
      </c>
    </row>
    <row r="16" spans="2:18" ht="14.65" thickBot="1" x14ac:dyDescent="0.5">
      <c r="B16" s="11" t="s">
        <v>8</v>
      </c>
      <c r="C16" s="14">
        <f>C15/16762.25</f>
        <v>1019.7793313070005</v>
      </c>
    </row>
    <row r="17" spans="2:18" ht="14.65" thickBot="1" x14ac:dyDescent="0.5"/>
    <row r="18" spans="2:18" ht="14.65" thickBot="1" x14ac:dyDescent="0.5">
      <c r="B18" s="17" t="s">
        <v>8</v>
      </c>
      <c r="C18" s="18">
        <f>C7/16762.25</f>
        <v>0.55995878896637941</v>
      </c>
    </row>
    <row r="21" spans="2:18" ht="18.399999999999999" thickBot="1" x14ac:dyDescent="0.6">
      <c r="B21" s="3" t="s">
        <v>15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5" spans="2:18" x14ac:dyDescent="0.45">
      <c r="B25" t="s">
        <v>16</v>
      </c>
    </row>
    <row r="26" spans="2:18" x14ac:dyDescent="0.45">
      <c r="B26" t="s">
        <v>17</v>
      </c>
    </row>
    <row r="28" spans="2:18" x14ac:dyDescent="0.45">
      <c r="B28" s="22" t="s">
        <v>26</v>
      </c>
    </row>
    <row r="30" spans="2:18" x14ac:dyDescent="0.45">
      <c r="B30" t="s">
        <v>27</v>
      </c>
    </row>
    <row r="32" spans="2:18" x14ac:dyDescent="0.45">
      <c r="B32" s="20" t="s">
        <v>18</v>
      </c>
      <c r="C32" t="s">
        <v>25</v>
      </c>
      <c r="D32" t="s">
        <v>51</v>
      </c>
      <c r="E32" t="s">
        <v>52</v>
      </c>
    </row>
    <row r="33" spans="2:5" x14ac:dyDescent="0.45">
      <c r="B33" s="21" t="s">
        <v>19</v>
      </c>
      <c r="C33" s="32">
        <v>208.32041666666663</v>
      </c>
      <c r="D33" s="33">
        <f t="shared" ref="D33:D38" si="0">C33*100000</f>
        <v>20832041.666666664</v>
      </c>
      <c r="E33" s="33">
        <f t="shared" ref="E33:E38" si="1">D33/16762.25</f>
        <v>1242.79507027199</v>
      </c>
    </row>
    <row r="34" spans="2:5" x14ac:dyDescent="0.45">
      <c r="B34" s="21" t="s">
        <v>20</v>
      </c>
      <c r="C34" s="32">
        <v>152.30767924528303</v>
      </c>
      <c r="D34" s="33">
        <f t="shared" si="0"/>
        <v>15230767.924528303</v>
      </c>
      <c r="E34" s="33">
        <f t="shared" si="1"/>
        <v>908.63505344021848</v>
      </c>
    </row>
    <row r="35" spans="2:5" x14ac:dyDescent="0.45">
      <c r="B35" s="21" t="s">
        <v>21</v>
      </c>
      <c r="C35" s="32">
        <v>188.47101449275362</v>
      </c>
      <c r="D35" s="33">
        <f t="shared" si="0"/>
        <v>18847101.449275363</v>
      </c>
      <c r="E35" s="33">
        <f t="shared" si="1"/>
        <v>1124.377780386008</v>
      </c>
    </row>
    <row r="36" spans="2:5" x14ac:dyDescent="0.45">
      <c r="B36" s="21" t="s">
        <v>22</v>
      </c>
      <c r="C36" s="32">
        <v>167.40008795669826</v>
      </c>
      <c r="D36" s="33">
        <f t="shared" si="0"/>
        <v>16740008.795669826</v>
      </c>
      <c r="E36" s="33">
        <f t="shared" si="1"/>
        <v>998.67313729778675</v>
      </c>
    </row>
    <row r="37" spans="2:5" x14ac:dyDescent="0.45">
      <c r="B37" s="21" t="s">
        <v>23</v>
      </c>
      <c r="C37" s="32">
        <v>171.2682051282051</v>
      </c>
      <c r="D37" s="33">
        <f t="shared" si="0"/>
        <v>17126820.512820508</v>
      </c>
      <c r="E37" s="33">
        <f t="shared" si="1"/>
        <v>1021.7494974016321</v>
      </c>
    </row>
    <row r="38" spans="2:5" x14ac:dyDescent="0.45">
      <c r="B38" s="21" t="s">
        <v>24</v>
      </c>
      <c r="C38" s="32">
        <v>171.24899964015833</v>
      </c>
      <c r="D38" s="33">
        <f t="shared" si="0"/>
        <v>17124899.964015834</v>
      </c>
      <c r="E38" s="33">
        <f t="shared" si="1"/>
        <v>1021.6349215657704</v>
      </c>
    </row>
    <row r="48" spans="2:5" x14ac:dyDescent="0.45">
      <c r="B48" s="22" t="s">
        <v>28</v>
      </c>
    </row>
    <row r="50" spans="2:5" x14ac:dyDescent="0.45">
      <c r="B50" s="20" t="s">
        <v>18</v>
      </c>
      <c r="C50" t="s">
        <v>25</v>
      </c>
    </row>
    <row r="51" spans="2:5" x14ac:dyDescent="0.45">
      <c r="B51" s="21" t="s">
        <v>29</v>
      </c>
      <c r="C51" s="32">
        <v>174.86159509202452</v>
      </c>
      <c r="D51" s="33">
        <f t="shared" ref="D51:D55" si="2">C51*100000</f>
        <v>17486159.509202451</v>
      </c>
      <c r="E51" s="33">
        <f t="shared" ref="E51:E55" si="3">D51/16762.25</f>
        <v>1043.1868937166819</v>
      </c>
    </row>
    <row r="52" spans="2:5" x14ac:dyDescent="0.45">
      <c r="B52" s="21" t="s">
        <v>30</v>
      </c>
      <c r="C52" s="32">
        <v>180.65006644518272</v>
      </c>
      <c r="D52" s="33">
        <f t="shared" si="2"/>
        <v>18065006.644518271</v>
      </c>
      <c r="E52" s="33">
        <f t="shared" si="3"/>
        <v>1077.7196763273589</v>
      </c>
    </row>
    <row r="53" spans="2:5" x14ac:dyDescent="0.45">
      <c r="B53" s="21" t="s">
        <v>31</v>
      </c>
      <c r="C53" s="32">
        <v>193.94807920792078</v>
      </c>
      <c r="D53" s="33">
        <f t="shared" si="2"/>
        <v>19394807.920792077</v>
      </c>
      <c r="E53" s="33">
        <f t="shared" si="3"/>
        <v>1157.0527775681712</v>
      </c>
    </row>
    <row r="54" spans="2:5" x14ac:dyDescent="0.45">
      <c r="B54" s="21" t="s">
        <v>32</v>
      </c>
      <c r="C54" s="32">
        <v>169.495</v>
      </c>
      <c r="D54" s="33">
        <f t="shared" si="2"/>
        <v>16949500</v>
      </c>
      <c r="E54" s="33">
        <f t="shared" si="3"/>
        <v>1011.1709346895555</v>
      </c>
    </row>
    <row r="55" spans="2:5" x14ac:dyDescent="0.45">
      <c r="B55" s="21" t="s">
        <v>33</v>
      </c>
      <c r="C55" s="32">
        <v>177.61059113300496</v>
      </c>
      <c r="D55" s="33">
        <f t="shared" si="2"/>
        <v>17761059.113300495</v>
      </c>
      <c r="E55" s="33">
        <f t="shared" si="3"/>
        <v>1059.5868164059416</v>
      </c>
    </row>
    <row r="56" spans="2:5" x14ac:dyDescent="0.45">
      <c r="B56" s="21" t="s">
        <v>34</v>
      </c>
      <c r="C56" s="32">
        <v>194.76041666666666</v>
      </c>
      <c r="D56" s="33">
        <f t="shared" ref="D56:D59" si="4">C56*100000</f>
        <v>19476041.666666664</v>
      </c>
      <c r="E56" s="33">
        <f t="shared" ref="E56:E59" si="5">D56/16762.25</f>
        <v>1161.8990091823391</v>
      </c>
    </row>
    <row r="57" spans="2:5" x14ac:dyDescent="0.45">
      <c r="B57" s="21" t="s">
        <v>35</v>
      </c>
      <c r="C57" s="32">
        <v>173.20888888888891</v>
      </c>
      <c r="D57" s="33">
        <f t="shared" si="4"/>
        <v>17320888.888888892</v>
      </c>
      <c r="E57" s="33">
        <f t="shared" si="5"/>
        <v>1033.3272018308337</v>
      </c>
    </row>
    <row r="58" spans="2:5" x14ac:dyDescent="0.45">
      <c r="B58" s="21" t="s">
        <v>37</v>
      </c>
      <c r="C58" s="32">
        <v>180.70070270270273</v>
      </c>
      <c r="D58" s="33">
        <f t="shared" si="4"/>
        <v>18070070.270270273</v>
      </c>
      <c r="E58" s="33">
        <f t="shared" si="5"/>
        <v>1078.0217614145042</v>
      </c>
    </row>
    <row r="59" spans="2:5" x14ac:dyDescent="0.45">
      <c r="B59" s="21" t="s">
        <v>36</v>
      </c>
      <c r="C59" s="32">
        <v>143.54969036697247</v>
      </c>
      <c r="D59" s="33">
        <f t="shared" si="4"/>
        <v>14354969.036697246</v>
      </c>
      <c r="E59" s="33">
        <f t="shared" si="5"/>
        <v>856.38676410966582</v>
      </c>
    </row>
    <row r="60" spans="2:5" x14ac:dyDescent="0.45">
      <c r="B60" s="21" t="s">
        <v>24</v>
      </c>
      <c r="C60">
        <v>170.68543724966619</v>
      </c>
    </row>
    <row r="69" spans="2:4" x14ac:dyDescent="0.45">
      <c r="B69" t="s">
        <v>38</v>
      </c>
    </row>
    <row r="70" spans="2:4" ht="14.65" thickBot="1" x14ac:dyDescent="0.5"/>
    <row r="71" spans="2:4" ht="14.65" thickBot="1" x14ac:dyDescent="0.5">
      <c r="C71" s="23" t="s">
        <v>49</v>
      </c>
      <c r="D71" s="24" t="s">
        <v>50</v>
      </c>
    </row>
    <row r="72" spans="2:4" x14ac:dyDescent="0.45">
      <c r="B72" s="25" t="s">
        <v>39</v>
      </c>
      <c r="C72" s="26">
        <v>238.63727755644089</v>
      </c>
      <c r="D72" s="26">
        <v>149.86535067347887</v>
      </c>
    </row>
    <row r="73" spans="2:4" x14ac:dyDescent="0.45">
      <c r="B73" s="27" t="s">
        <v>40</v>
      </c>
      <c r="C73" s="28">
        <v>210.58004285714281</v>
      </c>
      <c r="D73" s="28">
        <v>160.90115140525839</v>
      </c>
    </row>
    <row r="74" spans="2:4" x14ac:dyDescent="0.45">
      <c r="B74" s="27" t="s">
        <v>41</v>
      </c>
      <c r="C74" s="28">
        <v>188.6746392552366</v>
      </c>
      <c r="D74" s="28">
        <v>160.26738404452689</v>
      </c>
    </row>
    <row r="75" spans="2:4" x14ac:dyDescent="0.45">
      <c r="B75" s="27" t="s">
        <v>42</v>
      </c>
      <c r="C75" s="28">
        <v>187.3021854304636</v>
      </c>
      <c r="D75" s="28">
        <v>148.96015539305301</v>
      </c>
    </row>
    <row r="76" spans="2:4" x14ac:dyDescent="0.45">
      <c r="B76" s="27" t="s">
        <v>43</v>
      </c>
      <c r="C76" s="28">
        <v>185.39019078947371</v>
      </c>
      <c r="D76" s="28">
        <v>159.13483405483404</v>
      </c>
    </row>
    <row r="77" spans="2:4" x14ac:dyDescent="0.45">
      <c r="B77" s="27" t="s">
        <v>44</v>
      </c>
      <c r="C77" s="28">
        <v>181.34362971985382</v>
      </c>
      <c r="D77" s="28">
        <v>125.74404063205418</v>
      </c>
    </row>
    <row r="78" spans="2:4" x14ac:dyDescent="0.45">
      <c r="B78" s="27" t="s">
        <v>45</v>
      </c>
      <c r="C78" s="28">
        <v>180.9270634920635</v>
      </c>
      <c r="D78" s="28">
        <v>144.21847962382446</v>
      </c>
    </row>
    <row r="79" spans="2:4" x14ac:dyDescent="0.45">
      <c r="B79" s="27" t="s">
        <v>46</v>
      </c>
      <c r="C79" s="28">
        <v>180.51374732334051</v>
      </c>
      <c r="D79" s="28">
        <v>171.40387453874541</v>
      </c>
    </row>
    <row r="80" spans="2:4" x14ac:dyDescent="0.45">
      <c r="B80" s="27" t="s">
        <v>47</v>
      </c>
      <c r="C80" s="28">
        <v>179.29773413897283</v>
      </c>
      <c r="D80" s="28">
        <v>172.04132815533981</v>
      </c>
    </row>
    <row r="81" spans="2:4" ht="14.65" thickBot="1" x14ac:dyDescent="0.5">
      <c r="B81" s="27" t="s">
        <v>48</v>
      </c>
      <c r="C81" s="28">
        <v>165.4675882352941</v>
      </c>
      <c r="D81" s="28">
        <v>175.12848607367476</v>
      </c>
    </row>
    <row r="82" spans="2:4" ht="14.65" thickBot="1" x14ac:dyDescent="0.5">
      <c r="B82" s="29" t="s">
        <v>9</v>
      </c>
      <c r="C82" s="30">
        <v>189.81340987982827</v>
      </c>
      <c r="D82" s="31">
        <v>156.76650845947898</v>
      </c>
    </row>
    <row r="96" spans="2:4" x14ac:dyDescent="0.45">
      <c r="B96" s="20" t="s">
        <v>18</v>
      </c>
      <c r="C96" t="s">
        <v>63</v>
      </c>
    </row>
    <row r="97" spans="2:3" x14ac:dyDescent="0.45">
      <c r="B97" s="21" t="s">
        <v>59</v>
      </c>
      <c r="C97" s="34">
        <v>9317.5580065359482</v>
      </c>
    </row>
    <row r="98" spans="2:3" x14ac:dyDescent="0.45">
      <c r="B98" s="21" t="s">
        <v>60</v>
      </c>
      <c r="C98" s="34">
        <v>8689.6506787330309</v>
      </c>
    </row>
    <row r="99" spans="2:3" x14ac:dyDescent="0.45">
      <c r="B99" s="21" t="s">
        <v>61</v>
      </c>
      <c r="C99" s="34">
        <v>10248.86404293381</v>
      </c>
    </row>
    <row r="100" spans="2:3" x14ac:dyDescent="0.45">
      <c r="B100" s="21" t="s">
        <v>62</v>
      </c>
      <c r="C100" s="34">
        <v>12333.682539682539</v>
      </c>
    </row>
    <row r="101" spans="2:3" x14ac:dyDescent="0.45">
      <c r="B101" s="21" t="s">
        <v>24</v>
      </c>
      <c r="C101" s="34">
        <v>9386.1692103516925</v>
      </c>
    </row>
    <row r="112" spans="2:3" x14ac:dyDescent="0.45">
      <c r="B112" s="20" t="s">
        <v>18</v>
      </c>
      <c r="C112" t="s">
        <v>64</v>
      </c>
    </row>
    <row r="113" spans="2:3" x14ac:dyDescent="0.45">
      <c r="B113" s="21" t="s">
        <v>54</v>
      </c>
      <c r="C113" s="32">
        <v>619</v>
      </c>
    </row>
    <row r="114" spans="2:3" x14ac:dyDescent="0.45">
      <c r="B114" s="21" t="s">
        <v>55</v>
      </c>
      <c r="C114" s="32">
        <v>656</v>
      </c>
    </row>
    <row r="115" spans="2:3" x14ac:dyDescent="0.45">
      <c r="B115" s="21" t="s">
        <v>57</v>
      </c>
      <c r="C115" s="32">
        <v>278</v>
      </c>
    </row>
    <row r="116" spans="2:3" x14ac:dyDescent="0.45">
      <c r="B116" s="21" t="s">
        <v>53</v>
      </c>
      <c r="C116" s="32">
        <v>334</v>
      </c>
    </row>
    <row r="117" spans="2:3" x14ac:dyDescent="0.45">
      <c r="B117" s="21" t="s">
        <v>58</v>
      </c>
      <c r="C117" s="32">
        <v>348</v>
      </c>
    </row>
    <row r="118" spans="2:3" x14ac:dyDescent="0.45">
      <c r="B118" s="21" t="s">
        <v>56</v>
      </c>
      <c r="C118" s="32">
        <v>781</v>
      </c>
    </row>
    <row r="119" spans="2:3" x14ac:dyDescent="0.45">
      <c r="B119" s="21" t="s">
        <v>24</v>
      </c>
      <c r="C119" s="32">
        <v>3016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Dashboard</vt:lpstr>
      <vt:lpstr>Análisis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jiménez</dc:creator>
  <cp:lastModifiedBy>gabriela jiménez</cp:lastModifiedBy>
  <dcterms:created xsi:type="dcterms:W3CDTF">2024-11-12T19:02:02Z</dcterms:created>
  <dcterms:modified xsi:type="dcterms:W3CDTF">2024-11-13T15:12:34Z</dcterms:modified>
</cp:coreProperties>
</file>